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2025/DICIEMBRE/LIQUIDACIONES WOMPI/"/>
    </mc:Choice>
  </mc:AlternateContent>
  <xr:revisionPtr revIDLastSave="3" documentId="8_{AEB095C1-C10E-4F1B-83CD-52C9FB74C542}" xr6:coauthVersionLast="47" xr6:coauthVersionMax="47" xr10:uidLastSave="{51B29C59-082B-4F08-A2A2-9396F2242444}"/>
  <bookViews>
    <workbookView xWindow="28680" yWindow="-120" windowWidth="29040" windowHeight="15720" activeTab="2" xr2:uid="{00000000-000D-0000-FFFF-FFFF00000000}"/>
  </bookViews>
  <sheets>
    <sheet name="RESUMEN" sheetId="5" r:id="rId1"/>
    <sheet name="BASE TARIFA 2025" sheetId="4" r:id="rId2"/>
    <sheet name="TD" sheetId="8" r:id="rId3"/>
    <sheet name="Hoja1" sheetId="7" state="hidden" r:id="rId4"/>
    <sheet name="ENTREGA DE ROLLOS EN BODEGAS" sheetId="1" r:id="rId5"/>
  </sheets>
  <externalReferences>
    <externalReference r:id="rId6"/>
  </externalReferences>
  <definedNames>
    <definedName name="_xlnm._FilterDatabase" localSheetId="1" hidden="1">'BASE TARIFA 2025'!$A$1:$F$23</definedName>
    <definedName name="_xlnm._FilterDatabase" localSheetId="4" hidden="1">'ENTREGA DE ROLLOS EN BODEGAS'!$A$1:$R$784</definedName>
  </definedNames>
  <calcPr calcId="191028"/>
  <pivotCaches>
    <pivotCache cacheId="19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Q2" i="1" s="1"/>
  <c r="P3" i="1"/>
  <c r="P4" i="1"/>
  <c r="R4" i="1" s="1"/>
  <c r="P5" i="1"/>
  <c r="R5" i="1" s="1"/>
  <c r="P6" i="1"/>
  <c r="Q6" i="1" s="1"/>
  <c r="R6" i="1"/>
  <c r="P7" i="1"/>
  <c r="P8" i="1"/>
  <c r="Q8" i="1" s="1"/>
  <c r="P9" i="1"/>
  <c r="R9" i="1" s="1"/>
  <c r="P10" i="1"/>
  <c r="Q10" i="1" s="1"/>
  <c r="P11" i="1"/>
  <c r="Q11" i="1" s="1"/>
  <c r="P12" i="1"/>
  <c r="Q12" i="1" s="1"/>
  <c r="P13" i="1"/>
  <c r="R13" i="1" s="1"/>
  <c r="Q13" i="1"/>
  <c r="P14" i="1"/>
  <c r="P15" i="1"/>
  <c r="Q15" i="1" s="1"/>
  <c r="P16" i="1"/>
  <c r="Q16" i="1" s="1"/>
  <c r="P17" i="1"/>
  <c r="R17" i="1" s="1"/>
  <c r="P18" i="1"/>
  <c r="Q18" i="1" s="1"/>
  <c r="R18" i="1"/>
  <c r="P19" i="1"/>
  <c r="P20" i="1"/>
  <c r="R20" i="1" s="1"/>
  <c r="P21" i="1"/>
  <c r="R21" i="1" s="1"/>
  <c r="P22" i="1"/>
  <c r="Q22" i="1" s="1"/>
  <c r="P23" i="1"/>
  <c r="P24" i="1"/>
  <c r="Q24" i="1" s="1"/>
  <c r="P25" i="1"/>
  <c r="P26" i="1"/>
  <c r="Q26" i="1" s="1"/>
  <c r="P27" i="1"/>
  <c r="Q27" i="1" s="1"/>
  <c r="P28" i="1"/>
  <c r="R28" i="1" s="1"/>
  <c r="Q28" i="1"/>
  <c r="P29" i="1"/>
  <c r="R29" i="1" s="1"/>
  <c r="P30" i="1"/>
  <c r="P31" i="1"/>
  <c r="Q31" i="1" s="1"/>
  <c r="P32" i="1"/>
  <c r="Q32" i="1" s="1"/>
  <c r="P33" i="1"/>
  <c r="R33" i="1" s="1"/>
  <c r="P34" i="1"/>
  <c r="R34" i="1" s="1"/>
  <c r="Q34" i="1"/>
  <c r="P35" i="1"/>
  <c r="Q35" i="1" s="1"/>
  <c r="R35" i="1"/>
  <c r="P36" i="1"/>
  <c r="Q36" i="1" s="1"/>
  <c r="P37" i="1"/>
  <c r="R37" i="1" s="1"/>
  <c r="P38" i="1"/>
  <c r="Q38" i="1" s="1"/>
  <c r="P39" i="1"/>
  <c r="P40" i="1"/>
  <c r="P41" i="1"/>
  <c r="R41" i="1" s="1"/>
  <c r="P42" i="1"/>
  <c r="Q42" i="1" s="1"/>
  <c r="P43" i="1"/>
  <c r="P44" i="1"/>
  <c r="R44" i="1" s="1"/>
  <c r="Q44" i="1"/>
  <c r="P45" i="1"/>
  <c r="R45" i="1" s="1"/>
  <c r="Q45" i="1"/>
  <c r="P46" i="1"/>
  <c r="R46" i="1" s="1"/>
  <c r="P47" i="1"/>
  <c r="Q47" i="1" s="1"/>
  <c r="R47" i="1"/>
  <c r="P48" i="1"/>
  <c r="R48" i="1" s="1"/>
  <c r="P49" i="1"/>
  <c r="P50" i="1"/>
  <c r="P51" i="1"/>
  <c r="Q51" i="1" s="1"/>
  <c r="P52" i="1"/>
  <c r="Q52" i="1" s="1"/>
  <c r="P53" i="1"/>
  <c r="P54" i="1"/>
  <c r="P55" i="1"/>
  <c r="Q55" i="1" s="1"/>
  <c r="P56" i="1"/>
  <c r="Q56" i="1" s="1"/>
  <c r="P57" i="1"/>
  <c r="R57" i="1" s="1"/>
  <c r="P58" i="1"/>
  <c r="Q58" i="1" s="1"/>
  <c r="P59" i="1"/>
  <c r="Q59" i="1" s="1"/>
  <c r="R59" i="1"/>
  <c r="P60" i="1"/>
  <c r="Q60" i="1" s="1"/>
  <c r="P61" i="1"/>
  <c r="R61" i="1" s="1"/>
  <c r="P62" i="1"/>
  <c r="Q62" i="1" s="1"/>
  <c r="P63" i="1"/>
  <c r="P64" i="1"/>
  <c r="Q64" i="1" s="1"/>
  <c r="R64" i="1"/>
  <c r="P65" i="1"/>
  <c r="R65" i="1" s="1"/>
  <c r="P66" i="1"/>
  <c r="Q66" i="1"/>
  <c r="R66" i="1"/>
  <c r="P67" i="1"/>
  <c r="Q67" i="1" s="1"/>
  <c r="P68" i="1"/>
  <c r="R68" i="1" s="1"/>
  <c r="P69" i="1"/>
  <c r="R69" i="1" s="1"/>
  <c r="P70" i="1"/>
  <c r="Q70" i="1" s="1"/>
  <c r="P71" i="1"/>
  <c r="P72" i="1"/>
  <c r="R72" i="1" s="1"/>
  <c r="Q72" i="1"/>
  <c r="P73" i="1"/>
  <c r="P74" i="1"/>
  <c r="Q74" i="1" s="1"/>
  <c r="P75" i="1"/>
  <c r="Q75" i="1" s="1"/>
  <c r="P76" i="1"/>
  <c r="P77" i="1"/>
  <c r="R77" i="1" s="1"/>
  <c r="P78" i="1"/>
  <c r="P79" i="1"/>
  <c r="Q79" i="1" s="1"/>
  <c r="P80" i="1"/>
  <c r="Q80" i="1" s="1"/>
  <c r="P81" i="1"/>
  <c r="R81" i="1" s="1"/>
  <c r="P82" i="1"/>
  <c r="Q82" i="1"/>
  <c r="R82" i="1"/>
  <c r="P83" i="1"/>
  <c r="Q83" i="1" s="1"/>
  <c r="R83" i="1"/>
  <c r="P84" i="1"/>
  <c r="Q84" i="1" s="1"/>
  <c r="P85" i="1"/>
  <c r="R85" i="1" s="1"/>
  <c r="Q85" i="1"/>
  <c r="P86" i="1"/>
  <c r="Q86" i="1" s="1"/>
  <c r="P87" i="1"/>
  <c r="Q87" i="1" s="1"/>
  <c r="R87" i="1"/>
  <c r="P88" i="1"/>
  <c r="Q88" i="1"/>
  <c r="R88" i="1"/>
  <c r="P89" i="1"/>
  <c r="R89" i="1" s="1"/>
  <c r="Q89" i="1"/>
  <c r="P90" i="1"/>
  <c r="Q90" i="1" s="1"/>
  <c r="P91" i="1"/>
  <c r="Q91" i="1" s="1"/>
  <c r="R91" i="1"/>
  <c r="P92" i="1"/>
  <c r="R92" i="1" s="1"/>
  <c r="P93" i="1"/>
  <c r="R93" i="1" s="1"/>
  <c r="Q93" i="1"/>
  <c r="P94" i="1"/>
  <c r="Q94" i="1" s="1"/>
  <c r="P95" i="1"/>
  <c r="Q95" i="1" s="1"/>
  <c r="R95" i="1"/>
  <c r="P96" i="1"/>
  <c r="P97" i="1"/>
  <c r="P98" i="1"/>
  <c r="Q98" i="1" s="1"/>
  <c r="P99" i="1"/>
  <c r="Q99" i="1" s="1"/>
  <c r="P100" i="1"/>
  <c r="Q100" i="1" s="1"/>
  <c r="P101" i="1"/>
  <c r="R101" i="1" s="1"/>
  <c r="P102" i="1"/>
  <c r="P103" i="1"/>
  <c r="Q103" i="1" s="1"/>
  <c r="P104" i="1"/>
  <c r="P105" i="1"/>
  <c r="R105" i="1" s="1"/>
  <c r="P106" i="1"/>
  <c r="Q106" i="1" s="1"/>
  <c r="P107" i="1"/>
  <c r="Q107" i="1" s="1"/>
  <c r="R107" i="1"/>
  <c r="P108" i="1"/>
  <c r="Q108" i="1" s="1"/>
  <c r="P109" i="1"/>
  <c r="R109" i="1" s="1"/>
  <c r="Q109" i="1"/>
  <c r="P110" i="1"/>
  <c r="P111" i="1"/>
  <c r="Q111" i="1" s="1"/>
  <c r="P112" i="1"/>
  <c r="P113" i="1"/>
  <c r="R113" i="1" s="1"/>
  <c r="P114" i="1"/>
  <c r="Q114" i="1" s="1"/>
  <c r="R114" i="1"/>
  <c r="P115" i="1"/>
  <c r="Q115" i="1" s="1"/>
  <c r="P116" i="1"/>
  <c r="R116" i="1" s="1"/>
  <c r="P117" i="1"/>
  <c r="R117" i="1" s="1"/>
  <c r="P118" i="1"/>
  <c r="R118" i="1" s="1"/>
  <c r="P119" i="1"/>
  <c r="Q119" i="1" s="1"/>
  <c r="P120" i="1"/>
  <c r="P121" i="1"/>
  <c r="P122" i="1"/>
  <c r="R122" i="1" s="1"/>
  <c r="Q122" i="1"/>
  <c r="P123" i="1"/>
  <c r="Q123" i="1" s="1"/>
  <c r="P124" i="1"/>
  <c r="P125" i="1"/>
  <c r="R125" i="1" s="1"/>
  <c r="P126" i="1"/>
  <c r="P127" i="1"/>
  <c r="Q127" i="1" s="1"/>
  <c r="P128" i="1"/>
  <c r="Q128" i="1" s="1"/>
  <c r="P129" i="1"/>
  <c r="R129" i="1" s="1"/>
  <c r="P130" i="1"/>
  <c r="P131" i="1"/>
  <c r="Q131" i="1" s="1"/>
  <c r="P132" i="1"/>
  <c r="Q132" i="1" s="1"/>
  <c r="P133" i="1"/>
  <c r="P134" i="1"/>
  <c r="Q134" i="1" s="1"/>
  <c r="P135" i="1"/>
  <c r="Q135" i="1" s="1"/>
  <c r="R135" i="1"/>
  <c r="P136" i="1"/>
  <c r="R136" i="1" s="1"/>
  <c r="Q136" i="1"/>
  <c r="P137" i="1"/>
  <c r="R137" i="1" s="1"/>
  <c r="Q137" i="1"/>
  <c r="P138" i="1"/>
  <c r="Q138" i="1" s="1"/>
  <c r="P139" i="1"/>
  <c r="Q139" i="1" s="1"/>
  <c r="P140" i="1"/>
  <c r="R140" i="1" s="1"/>
  <c r="P141" i="1"/>
  <c r="R141" i="1" s="1"/>
  <c r="P142" i="1"/>
  <c r="R142" i="1" s="1"/>
  <c r="P143" i="1"/>
  <c r="P144" i="1"/>
  <c r="Q144" i="1" s="1"/>
  <c r="R144" i="1"/>
  <c r="P145" i="1"/>
  <c r="P146" i="1"/>
  <c r="Q146" i="1" s="1"/>
  <c r="P147" i="1"/>
  <c r="Q147" i="1" s="1"/>
  <c r="P148" i="1"/>
  <c r="Q148" i="1" s="1"/>
  <c r="P149" i="1"/>
  <c r="P150" i="1"/>
  <c r="P151" i="1"/>
  <c r="Q151" i="1" s="1"/>
  <c r="P152" i="1"/>
  <c r="Q152" i="1" s="1"/>
  <c r="P153" i="1"/>
  <c r="R153" i="1" s="1"/>
  <c r="P154" i="1"/>
  <c r="P155" i="1"/>
  <c r="Q155" i="1" s="1"/>
  <c r="R155" i="1"/>
  <c r="P156" i="1"/>
  <c r="P157" i="1"/>
  <c r="R157" i="1" s="1"/>
  <c r="Q157" i="1"/>
  <c r="P158" i="1"/>
  <c r="P159" i="1"/>
  <c r="P160" i="1"/>
  <c r="R160" i="1" s="1"/>
  <c r="P161" i="1"/>
  <c r="R161" i="1" s="1"/>
  <c r="P162" i="1"/>
  <c r="Q162" i="1"/>
  <c r="R162" i="1"/>
  <c r="P163" i="1"/>
  <c r="Q163" i="1" s="1"/>
  <c r="P164" i="1"/>
  <c r="P165" i="1"/>
  <c r="P166" i="1"/>
  <c r="R166" i="1" s="1"/>
  <c r="P167" i="1"/>
  <c r="Q167" i="1" s="1"/>
  <c r="P168" i="1"/>
  <c r="Q168" i="1" s="1"/>
  <c r="P169" i="1"/>
  <c r="P170" i="1"/>
  <c r="P171" i="1"/>
  <c r="P172" i="1"/>
  <c r="P173" i="1"/>
  <c r="R173" i="1" s="1"/>
  <c r="Q173" i="1"/>
  <c r="P174" i="1"/>
  <c r="Q174" i="1" s="1"/>
  <c r="R174" i="1"/>
  <c r="P175" i="1"/>
  <c r="Q175" i="1" s="1"/>
  <c r="P176" i="1"/>
  <c r="P177" i="1"/>
  <c r="R177" i="1" s="1"/>
  <c r="P178" i="1"/>
  <c r="P179" i="1"/>
  <c r="Q179" i="1" s="1"/>
  <c r="P180" i="1"/>
  <c r="Q180" i="1" s="1"/>
  <c r="P181" i="1"/>
  <c r="P182" i="1"/>
  <c r="Q182" i="1"/>
  <c r="R182" i="1"/>
  <c r="P183" i="1"/>
  <c r="P184" i="1"/>
  <c r="Q184" i="1" s="1"/>
  <c r="P185" i="1"/>
  <c r="R185" i="1" s="1"/>
  <c r="P186" i="1"/>
  <c r="R186" i="1" s="1"/>
  <c r="P187" i="1"/>
  <c r="Q187" i="1" s="1"/>
  <c r="P188" i="1"/>
  <c r="P189" i="1"/>
  <c r="P190" i="1"/>
  <c r="P191" i="1"/>
  <c r="Q191" i="1" s="1"/>
  <c r="P192" i="1"/>
  <c r="Q192" i="1" s="1"/>
  <c r="P193" i="1"/>
  <c r="P194" i="1"/>
  <c r="Q194" i="1" s="1"/>
  <c r="P195" i="1"/>
  <c r="P196" i="1"/>
  <c r="Q196" i="1" s="1"/>
  <c r="P197" i="1"/>
  <c r="R197" i="1" s="1"/>
  <c r="P198" i="1"/>
  <c r="Q198" i="1" s="1"/>
  <c r="P199" i="1"/>
  <c r="Q199" i="1" s="1"/>
  <c r="P200" i="1"/>
  <c r="R200" i="1" s="1"/>
  <c r="P201" i="1"/>
  <c r="R201" i="1" s="1"/>
  <c r="P202" i="1"/>
  <c r="Q202" i="1" s="1"/>
  <c r="P203" i="1"/>
  <c r="P204" i="1"/>
  <c r="Q204" i="1" s="1"/>
  <c r="P205" i="1"/>
  <c r="P206" i="1"/>
  <c r="Q206" i="1" s="1"/>
  <c r="P207" i="1"/>
  <c r="Q207" i="1" s="1"/>
  <c r="P208" i="1"/>
  <c r="P209" i="1"/>
  <c r="P210" i="1"/>
  <c r="P211" i="1"/>
  <c r="Q211" i="1" s="1"/>
  <c r="P212" i="1"/>
  <c r="P213" i="1"/>
  <c r="R213" i="1" s="1"/>
  <c r="P214" i="1"/>
  <c r="P215" i="1"/>
  <c r="P216" i="1"/>
  <c r="Q216" i="1" s="1"/>
  <c r="P217" i="1"/>
  <c r="P218" i="1"/>
  <c r="Q218" i="1" s="1"/>
  <c r="P219" i="1"/>
  <c r="P220" i="1"/>
  <c r="P221" i="1"/>
  <c r="R221" i="1" s="1"/>
  <c r="P222" i="1"/>
  <c r="Q222" i="1" s="1"/>
  <c r="P223" i="1"/>
  <c r="Q223" i="1" s="1"/>
  <c r="P224" i="1"/>
  <c r="Q224" i="1" s="1"/>
  <c r="R224" i="1"/>
  <c r="P225" i="1"/>
  <c r="R225" i="1" s="1"/>
  <c r="P226" i="1"/>
  <c r="R226" i="1" s="1"/>
  <c r="Q226" i="1"/>
  <c r="P227" i="1"/>
  <c r="Q227" i="1" s="1"/>
  <c r="P228" i="1"/>
  <c r="Q228" i="1" s="1"/>
  <c r="R228" i="1"/>
  <c r="P229" i="1"/>
  <c r="R229" i="1" s="1"/>
  <c r="Q229" i="1"/>
  <c r="P230" i="1"/>
  <c r="P231" i="1"/>
  <c r="Q231" i="1" s="1"/>
  <c r="P232" i="1"/>
  <c r="P233" i="1"/>
  <c r="R233" i="1" s="1"/>
  <c r="P234" i="1"/>
  <c r="Q234" i="1" s="1"/>
  <c r="P235" i="1"/>
  <c r="P236" i="1"/>
  <c r="R236" i="1" s="1"/>
  <c r="P237" i="1"/>
  <c r="R237" i="1" s="1"/>
  <c r="P238" i="1"/>
  <c r="Q238" i="1"/>
  <c r="R238" i="1"/>
  <c r="P239" i="1"/>
  <c r="Q239" i="1" s="1"/>
  <c r="P240" i="1"/>
  <c r="P241" i="1"/>
  <c r="P242" i="1"/>
  <c r="R242" i="1" s="1"/>
  <c r="P243" i="1"/>
  <c r="Q243" i="1" s="1"/>
  <c r="P244" i="1"/>
  <c r="R244" i="1" s="1"/>
  <c r="P245" i="1"/>
  <c r="R245" i="1" s="1"/>
  <c r="P246" i="1"/>
  <c r="Q246" i="1" s="1"/>
  <c r="R246" i="1"/>
  <c r="P247" i="1"/>
  <c r="P248" i="1"/>
  <c r="R248" i="1" s="1"/>
  <c r="Q248" i="1"/>
  <c r="P249" i="1"/>
  <c r="R249" i="1" s="1"/>
  <c r="P250" i="1"/>
  <c r="Q250" i="1" s="1"/>
  <c r="P251" i="1"/>
  <c r="Q251" i="1" s="1"/>
  <c r="P252" i="1"/>
  <c r="R252" i="1" s="1"/>
  <c r="Q252" i="1"/>
  <c r="P253" i="1"/>
  <c r="R253" i="1" s="1"/>
  <c r="P254" i="1"/>
  <c r="Q254" i="1" s="1"/>
  <c r="P255" i="1"/>
  <c r="Q255" i="1" s="1"/>
  <c r="R255" i="1"/>
  <c r="P256" i="1"/>
  <c r="R256" i="1" s="1"/>
  <c r="Q256" i="1"/>
  <c r="P257" i="1"/>
  <c r="R257" i="1" s="1"/>
  <c r="P258" i="1"/>
  <c r="R258" i="1" s="1"/>
  <c r="P259" i="1"/>
  <c r="Q259" i="1" s="1"/>
  <c r="P260" i="1"/>
  <c r="R260" i="1" s="1"/>
  <c r="P261" i="1"/>
  <c r="R261" i="1" s="1"/>
  <c r="P262" i="1"/>
  <c r="P263" i="1"/>
  <c r="Q263" i="1" s="1"/>
  <c r="P264" i="1"/>
  <c r="R264" i="1" s="1"/>
  <c r="Q264" i="1"/>
  <c r="P265" i="1"/>
  <c r="P266" i="1"/>
  <c r="P267" i="1"/>
  <c r="Q267" i="1" s="1"/>
  <c r="P268" i="1"/>
  <c r="Q268" i="1" s="1"/>
  <c r="R268" i="1"/>
  <c r="P269" i="1"/>
  <c r="R269" i="1" s="1"/>
  <c r="P270" i="1"/>
  <c r="Q270" i="1" s="1"/>
  <c r="P271" i="1"/>
  <c r="P272" i="1"/>
  <c r="Q272" i="1" s="1"/>
  <c r="P273" i="1"/>
  <c r="R273" i="1" s="1"/>
  <c r="P274" i="1"/>
  <c r="P275" i="1"/>
  <c r="Q275" i="1" s="1"/>
  <c r="R275" i="1"/>
  <c r="P276" i="1"/>
  <c r="P277" i="1"/>
  <c r="R277" i="1" s="1"/>
  <c r="Q277" i="1"/>
  <c r="P278" i="1"/>
  <c r="R278" i="1" s="1"/>
  <c r="P279" i="1"/>
  <c r="Q279" i="1" s="1"/>
  <c r="P280" i="1"/>
  <c r="R280" i="1" s="1"/>
  <c r="Q280" i="1"/>
  <c r="P281" i="1"/>
  <c r="P282" i="1"/>
  <c r="P283" i="1"/>
  <c r="Q283" i="1" s="1"/>
  <c r="R283" i="1"/>
  <c r="P284" i="1"/>
  <c r="R284" i="1" s="1"/>
  <c r="P285" i="1"/>
  <c r="R285" i="1" s="1"/>
  <c r="P286" i="1"/>
  <c r="P287" i="1"/>
  <c r="Q287" i="1" s="1"/>
  <c r="P288" i="1"/>
  <c r="R288" i="1" s="1"/>
  <c r="Q288" i="1"/>
  <c r="P289" i="1"/>
  <c r="P290" i="1"/>
  <c r="P291" i="1"/>
  <c r="P292" i="1"/>
  <c r="Q292" i="1" s="1"/>
  <c r="R292" i="1"/>
  <c r="P293" i="1"/>
  <c r="R293" i="1" s="1"/>
  <c r="P294" i="1"/>
  <c r="Q294" i="1" s="1"/>
  <c r="R294" i="1"/>
  <c r="P295" i="1"/>
  <c r="Q295" i="1" s="1"/>
  <c r="P296" i="1"/>
  <c r="P297" i="1"/>
  <c r="R297" i="1" s="1"/>
  <c r="P298" i="1"/>
  <c r="Q298" i="1" s="1"/>
  <c r="P299" i="1"/>
  <c r="Q299" i="1" s="1"/>
  <c r="P300" i="1"/>
  <c r="Q300" i="1" s="1"/>
  <c r="R300" i="1"/>
  <c r="P301" i="1"/>
  <c r="P302" i="1"/>
  <c r="Q302" i="1" s="1"/>
  <c r="P303" i="1"/>
  <c r="Q303" i="1" s="1"/>
  <c r="R303" i="1"/>
  <c r="P304" i="1"/>
  <c r="Q304" i="1" s="1"/>
  <c r="P305" i="1"/>
  <c r="R305" i="1" s="1"/>
  <c r="P306" i="1"/>
  <c r="P307" i="1"/>
  <c r="P308" i="1"/>
  <c r="R308" i="1" s="1"/>
  <c r="Q308" i="1"/>
  <c r="P309" i="1"/>
  <c r="R309" i="1" s="1"/>
  <c r="P310" i="1"/>
  <c r="Q310" i="1" s="1"/>
  <c r="R310" i="1"/>
  <c r="P311" i="1"/>
  <c r="P312" i="1"/>
  <c r="Q312" i="1" s="1"/>
  <c r="P313" i="1"/>
  <c r="P314" i="1"/>
  <c r="R314" i="1" s="1"/>
  <c r="P315" i="1"/>
  <c r="Q315" i="1" s="1"/>
  <c r="P316" i="1"/>
  <c r="P317" i="1"/>
  <c r="R317" i="1" s="1"/>
  <c r="P318" i="1"/>
  <c r="Q318" i="1" s="1"/>
  <c r="P319" i="1"/>
  <c r="Q319" i="1" s="1"/>
  <c r="P320" i="1"/>
  <c r="R320" i="1" s="1"/>
  <c r="Q320" i="1"/>
  <c r="P321" i="1"/>
  <c r="P322" i="1"/>
  <c r="Q322" i="1" s="1"/>
  <c r="P323" i="1"/>
  <c r="Q323" i="1" s="1"/>
  <c r="P324" i="1"/>
  <c r="P325" i="1"/>
  <c r="R325" i="1" s="1"/>
  <c r="P326" i="1"/>
  <c r="R326" i="1" s="1"/>
  <c r="P327" i="1"/>
  <c r="Q327" i="1" s="1"/>
  <c r="P328" i="1"/>
  <c r="Q328" i="1" s="1"/>
  <c r="R328" i="1"/>
  <c r="P329" i="1"/>
  <c r="R329" i="1" s="1"/>
  <c r="P330" i="1"/>
  <c r="Q330" i="1" s="1"/>
  <c r="P331" i="1"/>
  <c r="P332" i="1"/>
  <c r="R332" i="1" s="1"/>
  <c r="P333" i="1"/>
  <c r="R333" i="1" s="1"/>
  <c r="P334" i="1"/>
  <c r="P335" i="1"/>
  <c r="Q335" i="1" s="1"/>
  <c r="P336" i="1"/>
  <c r="R336" i="1" s="1"/>
  <c r="P337" i="1"/>
  <c r="P338" i="1"/>
  <c r="P339" i="1"/>
  <c r="Q339" i="1" s="1"/>
  <c r="P340" i="1"/>
  <c r="Q340" i="1" s="1"/>
  <c r="P341" i="1"/>
  <c r="R341" i="1" s="1"/>
  <c r="P342" i="1"/>
  <c r="Q342" i="1" s="1"/>
  <c r="P343" i="1"/>
  <c r="P344" i="1"/>
  <c r="R344" i="1" s="1"/>
  <c r="P345" i="1"/>
  <c r="Q345" i="1" s="1"/>
  <c r="P346" i="1"/>
  <c r="P347" i="1"/>
  <c r="Q347" i="1" s="1"/>
  <c r="R347" i="1"/>
  <c r="P348" i="1"/>
  <c r="R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P355" i="1"/>
  <c r="P356" i="1"/>
  <c r="P357" i="1"/>
  <c r="R357" i="1" s="1"/>
  <c r="Q357" i="1"/>
  <c r="P358" i="1"/>
  <c r="P359" i="1"/>
  <c r="R359" i="1" s="1"/>
  <c r="P360" i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P367" i="1"/>
  <c r="Q367" i="1" s="1"/>
  <c r="P368" i="1"/>
  <c r="P369" i="1"/>
  <c r="P370" i="1"/>
  <c r="Q370" i="1" s="1"/>
  <c r="P371" i="1"/>
  <c r="Q371" i="1" s="1"/>
  <c r="P372" i="1"/>
  <c r="R372" i="1" s="1"/>
  <c r="P373" i="1"/>
  <c r="Q373" i="1" s="1"/>
  <c r="R373" i="1"/>
  <c r="P374" i="1"/>
  <c r="P375" i="1"/>
  <c r="Q375" i="1" s="1"/>
  <c r="P376" i="1"/>
  <c r="R376" i="1" s="1"/>
  <c r="P377" i="1"/>
  <c r="Q377" i="1" s="1"/>
  <c r="P378" i="1"/>
  <c r="Q378" i="1" s="1"/>
  <c r="P379" i="1"/>
  <c r="Q379" i="1"/>
  <c r="R379" i="1"/>
  <c r="P380" i="1"/>
  <c r="P381" i="1"/>
  <c r="P382" i="1"/>
  <c r="Q382" i="1" s="1"/>
  <c r="P383" i="1"/>
  <c r="Q383" i="1" s="1"/>
  <c r="R383" i="1"/>
  <c r="P384" i="1"/>
  <c r="Q384" i="1" s="1"/>
  <c r="P385" i="1"/>
  <c r="P386" i="1"/>
  <c r="Q386" i="1" s="1"/>
  <c r="P387" i="1"/>
  <c r="Q387" i="1" s="1"/>
  <c r="P388" i="1"/>
  <c r="R388" i="1" s="1"/>
  <c r="P389" i="1"/>
  <c r="P390" i="1"/>
  <c r="Q390" i="1" s="1"/>
  <c r="P391" i="1"/>
  <c r="R391" i="1" s="1"/>
  <c r="Q391" i="1"/>
  <c r="P392" i="1"/>
  <c r="R392" i="1" s="1"/>
  <c r="Q392" i="1"/>
  <c r="P393" i="1"/>
  <c r="R393" i="1" s="1"/>
  <c r="P394" i="1"/>
  <c r="Q394" i="1" s="1"/>
  <c r="P395" i="1"/>
  <c r="Q395" i="1" s="1"/>
  <c r="P396" i="1"/>
  <c r="Q396" i="1" s="1"/>
  <c r="R396" i="1"/>
  <c r="P397" i="1"/>
  <c r="Q397" i="1"/>
  <c r="R397" i="1"/>
  <c r="P398" i="1"/>
  <c r="P399" i="1"/>
  <c r="P400" i="1"/>
  <c r="Q400" i="1" s="1"/>
  <c r="P401" i="1"/>
  <c r="Q401" i="1" s="1"/>
  <c r="P402" i="1"/>
  <c r="Q402" i="1" s="1"/>
  <c r="P403" i="1"/>
  <c r="R403" i="1" s="1"/>
  <c r="Q403" i="1"/>
  <c r="P404" i="1"/>
  <c r="Q404" i="1"/>
  <c r="R404" i="1"/>
  <c r="P405" i="1"/>
  <c r="P406" i="1"/>
  <c r="P407" i="1"/>
  <c r="R407" i="1" s="1"/>
  <c r="P408" i="1"/>
  <c r="Q408" i="1" s="1"/>
  <c r="P409" i="1"/>
  <c r="R409" i="1" s="1"/>
  <c r="Q409" i="1"/>
  <c r="P410" i="1"/>
  <c r="Q410" i="1" s="1"/>
  <c r="R410" i="1"/>
  <c r="P411" i="1"/>
  <c r="Q411" i="1" s="1"/>
  <c r="P412" i="1"/>
  <c r="P413" i="1"/>
  <c r="Q413" i="1" s="1"/>
  <c r="P414" i="1"/>
  <c r="Q414" i="1" s="1"/>
  <c r="R414" i="1"/>
  <c r="P415" i="1"/>
  <c r="Q415" i="1" s="1"/>
  <c r="P416" i="1"/>
  <c r="R416" i="1" s="1"/>
  <c r="P417" i="1"/>
  <c r="R417" i="1" s="1"/>
  <c r="Q417" i="1"/>
  <c r="P418" i="1"/>
  <c r="Q418" i="1" s="1"/>
  <c r="P419" i="1"/>
  <c r="R419" i="1" s="1"/>
  <c r="Q419" i="1"/>
  <c r="P420" i="1"/>
  <c r="P421" i="1"/>
  <c r="Q421" i="1" s="1"/>
  <c r="R421" i="1"/>
  <c r="P422" i="1"/>
  <c r="Q422" i="1" s="1"/>
  <c r="P423" i="1"/>
  <c r="Q423" i="1" s="1"/>
  <c r="P424" i="1"/>
  <c r="P425" i="1"/>
  <c r="P426" i="1"/>
  <c r="P427" i="1"/>
  <c r="Q427" i="1" s="1"/>
  <c r="R427" i="1"/>
  <c r="P428" i="1"/>
  <c r="Q428" i="1" s="1"/>
  <c r="R428" i="1"/>
  <c r="P429" i="1"/>
  <c r="R429" i="1" s="1"/>
  <c r="Q429" i="1"/>
  <c r="P430" i="1"/>
  <c r="Q430" i="1" s="1"/>
  <c r="P431" i="1"/>
  <c r="R431" i="1" s="1"/>
  <c r="P432" i="1"/>
  <c r="P433" i="1"/>
  <c r="Q433" i="1" s="1"/>
  <c r="P434" i="1"/>
  <c r="Q434" i="1" s="1"/>
  <c r="P435" i="1"/>
  <c r="Q435" i="1" s="1"/>
  <c r="P436" i="1"/>
  <c r="R436" i="1" s="1"/>
  <c r="Q436" i="1"/>
  <c r="P437" i="1"/>
  <c r="Q437" i="1" s="1"/>
  <c r="P438" i="1"/>
  <c r="P439" i="1"/>
  <c r="Q439" i="1" s="1"/>
  <c r="P440" i="1"/>
  <c r="Q440" i="1" s="1"/>
  <c r="P441" i="1"/>
  <c r="Q441" i="1" s="1"/>
  <c r="R441" i="1"/>
  <c r="P442" i="1"/>
  <c r="Q442" i="1" s="1"/>
  <c r="P443" i="1"/>
  <c r="Q443" i="1" s="1"/>
  <c r="P444" i="1"/>
  <c r="R444" i="1" s="1"/>
  <c r="Q444" i="1"/>
  <c r="P445" i="1"/>
  <c r="Q445" i="1" s="1"/>
  <c r="P446" i="1"/>
  <c r="P447" i="1"/>
  <c r="P448" i="1"/>
  <c r="Q448" i="1" s="1"/>
  <c r="R448" i="1"/>
  <c r="P449" i="1"/>
  <c r="Q449" i="1" s="1"/>
  <c r="P450" i="1"/>
  <c r="Q450" i="1" s="1"/>
  <c r="P451" i="1"/>
  <c r="R451" i="1" s="1"/>
  <c r="Q451" i="1"/>
  <c r="P452" i="1"/>
  <c r="Q452" i="1" s="1"/>
  <c r="R452" i="1"/>
  <c r="P453" i="1"/>
  <c r="P454" i="1"/>
  <c r="Q454" i="1" s="1"/>
  <c r="P455" i="1"/>
  <c r="Q455" i="1" s="1"/>
  <c r="P456" i="1"/>
  <c r="Q456" i="1" s="1"/>
  <c r="P457" i="1"/>
  <c r="P458" i="1"/>
  <c r="P459" i="1"/>
  <c r="R459" i="1" s="1"/>
  <c r="Q459" i="1"/>
  <c r="P460" i="1"/>
  <c r="P461" i="1"/>
  <c r="Q461" i="1" s="1"/>
  <c r="P462" i="1"/>
  <c r="Q462" i="1" s="1"/>
  <c r="P463" i="1"/>
  <c r="P464" i="1"/>
  <c r="P465" i="1"/>
  <c r="R465" i="1" s="1"/>
  <c r="Q465" i="1"/>
  <c r="P466" i="1"/>
  <c r="Q466" i="1" s="1"/>
  <c r="P467" i="1"/>
  <c r="R467" i="1" s="1"/>
  <c r="P468" i="1"/>
  <c r="Q468" i="1" s="1"/>
  <c r="P469" i="1"/>
  <c r="P470" i="1"/>
  <c r="Q470" i="1" s="1"/>
  <c r="P471" i="1"/>
  <c r="Q471" i="1" s="1"/>
  <c r="P472" i="1"/>
  <c r="R472" i="1" s="1"/>
  <c r="P473" i="1"/>
  <c r="P474" i="1"/>
  <c r="P475" i="1"/>
  <c r="R475" i="1" s="1"/>
  <c r="P476" i="1"/>
  <c r="Q476" i="1" s="1"/>
  <c r="R476" i="1"/>
  <c r="P477" i="1"/>
  <c r="R477" i="1" s="1"/>
  <c r="P478" i="1"/>
  <c r="Q478" i="1" s="1"/>
  <c r="R478" i="1"/>
  <c r="P479" i="1"/>
  <c r="P480" i="1"/>
  <c r="P481" i="1"/>
  <c r="Q481" i="1" s="1"/>
  <c r="R481" i="1"/>
  <c r="P482" i="1"/>
  <c r="Q482" i="1" s="1"/>
  <c r="P483" i="1"/>
  <c r="Q483" i="1" s="1"/>
  <c r="P484" i="1"/>
  <c r="P485" i="1"/>
  <c r="P486" i="1"/>
  <c r="P487" i="1"/>
  <c r="Q487" i="1" s="1"/>
  <c r="P488" i="1"/>
  <c r="P489" i="1"/>
  <c r="P490" i="1"/>
  <c r="Q490" i="1" s="1"/>
  <c r="P491" i="1"/>
  <c r="P492" i="1"/>
  <c r="Q492" i="1"/>
  <c r="R492" i="1"/>
  <c r="P493" i="1"/>
  <c r="P494" i="1"/>
  <c r="P495" i="1"/>
  <c r="P496" i="1"/>
  <c r="P497" i="1"/>
  <c r="Q497" i="1" s="1"/>
  <c r="P498" i="1"/>
  <c r="Q498" i="1" s="1"/>
  <c r="P499" i="1"/>
  <c r="R499" i="1" s="1"/>
  <c r="P500" i="1"/>
  <c r="R500" i="1" s="1"/>
  <c r="Q500" i="1"/>
  <c r="P501" i="1"/>
  <c r="Q501" i="1" s="1"/>
  <c r="P502" i="1"/>
  <c r="Q502" i="1" s="1"/>
  <c r="P503" i="1"/>
  <c r="P504" i="1"/>
  <c r="Q504" i="1" s="1"/>
  <c r="P505" i="1"/>
  <c r="Q505" i="1" s="1"/>
  <c r="R505" i="1"/>
  <c r="P506" i="1"/>
  <c r="Q506" i="1" s="1"/>
  <c r="P507" i="1"/>
  <c r="Q507" i="1" s="1"/>
  <c r="R507" i="1"/>
  <c r="P508" i="1"/>
  <c r="P509" i="1"/>
  <c r="Q509" i="1" s="1"/>
  <c r="R509" i="1"/>
  <c r="P510" i="1"/>
  <c r="Q510" i="1" s="1"/>
  <c r="P511" i="1"/>
  <c r="P512" i="1"/>
  <c r="R512" i="1" s="1"/>
  <c r="P513" i="1"/>
  <c r="R513" i="1" s="1"/>
  <c r="P514" i="1"/>
  <c r="P515" i="1"/>
  <c r="P516" i="1"/>
  <c r="P517" i="1"/>
  <c r="Q517" i="1" s="1"/>
  <c r="P518" i="1"/>
  <c r="Q518" i="1" s="1"/>
  <c r="P519" i="1"/>
  <c r="Q519" i="1" s="1"/>
  <c r="P520" i="1"/>
  <c r="R520" i="1" s="1"/>
  <c r="Q520" i="1"/>
  <c r="P521" i="1"/>
  <c r="P522" i="1"/>
  <c r="P523" i="1"/>
  <c r="Q523" i="1" s="1"/>
  <c r="R523" i="1"/>
  <c r="P524" i="1"/>
  <c r="Q524" i="1" s="1"/>
  <c r="P525" i="1"/>
  <c r="P526" i="1"/>
  <c r="Q526" i="1" s="1"/>
  <c r="R526" i="1"/>
  <c r="P527" i="1"/>
  <c r="R527" i="1" s="1"/>
  <c r="P528" i="1"/>
  <c r="Q528" i="1" s="1"/>
  <c r="R528" i="1"/>
  <c r="P529" i="1"/>
  <c r="Q529" i="1" s="1"/>
  <c r="P530" i="1"/>
  <c r="Q530" i="1" s="1"/>
  <c r="P531" i="1"/>
  <c r="P532" i="1"/>
  <c r="Q532" i="1" s="1"/>
  <c r="P533" i="1"/>
  <c r="Q533" i="1" s="1"/>
  <c r="P534" i="1"/>
  <c r="P535" i="1"/>
  <c r="R535" i="1" s="1"/>
  <c r="Q535" i="1"/>
  <c r="P536" i="1"/>
  <c r="Q536" i="1" s="1"/>
  <c r="P537" i="1"/>
  <c r="Q537" i="1" s="1"/>
  <c r="P538" i="1"/>
  <c r="P539" i="1"/>
  <c r="P540" i="1"/>
  <c r="R540" i="1" s="1"/>
  <c r="Q540" i="1"/>
  <c r="P541" i="1"/>
  <c r="R541" i="1" s="1"/>
  <c r="P542" i="1"/>
  <c r="Q542" i="1" s="1"/>
  <c r="P543" i="1"/>
  <c r="P544" i="1"/>
  <c r="P545" i="1"/>
  <c r="R545" i="1" s="1"/>
  <c r="P546" i="1"/>
  <c r="Q546" i="1" s="1"/>
  <c r="P547" i="1"/>
  <c r="P548" i="1"/>
  <c r="R548" i="1" s="1"/>
  <c r="P549" i="1"/>
  <c r="R549" i="1" s="1"/>
  <c r="Q549" i="1"/>
  <c r="P550" i="1"/>
  <c r="P551" i="1"/>
  <c r="Q551" i="1" s="1"/>
  <c r="R551" i="1"/>
  <c r="P552" i="1"/>
  <c r="Q552" i="1" s="1"/>
  <c r="P553" i="1"/>
  <c r="Q553" i="1" s="1"/>
  <c r="P554" i="1"/>
  <c r="P555" i="1"/>
  <c r="R555" i="1" s="1"/>
  <c r="P556" i="1"/>
  <c r="R556" i="1" s="1"/>
  <c r="P557" i="1"/>
  <c r="Q557" i="1" s="1"/>
  <c r="P558" i="1"/>
  <c r="P559" i="1"/>
  <c r="Q559" i="1" s="1"/>
  <c r="P560" i="1"/>
  <c r="Q560" i="1" s="1"/>
  <c r="P561" i="1"/>
  <c r="R561" i="1" s="1"/>
  <c r="P562" i="1"/>
  <c r="Q562" i="1" s="1"/>
  <c r="P563" i="1"/>
  <c r="P564" i="1"/>
  <c r="Q564" i="1" s="1"/>
  <c r="P565" i="1"/>
  <c r="Q565" i="1" s="1"/>
  <c r="P566" i="1"/>
  <c r="Q566" i="1" s="1"/>
  <c r="P567" i="1"/>
  <c r="Q567" i="1" s="1"/>
  <c r="P568" i="1"/>
  <c r="Q568" i="1" s="1"/>
  <c r="R568" i="1"/>
  <c r="P569" i="1"/>
  <c r="R569" i="1" s="1"/>
  <c r="Q569" i="1"/>
  <c r="P570" i="1"/>
  <c r="P571" i="1"/>
  <c r="R571" i="1" s="1"/>
  <c r="Q571" i="1"/>
  <c r="P572" i="1"/>
  <c r="Q572" i="1" s="1"/>
  <c r="P573" i="1"/>
  <c r="P574" i="1"/>
  <c r="Q574" i="1" s="1"/>
  <c r="P575" i="1"/>
  <c r="P576" i="1"/>
  <c r="R576" i="1" s="1"/>
  <c r="P577" i="1"/>
  <c r="P578" i="1"/>
  <c r="P579" i="1"/>
  <c r="R579" i="1" s="1"/>
  <c r="P580" i="1"/>
  <c r="Q580" i="1" s="1"/>
  <c r="P581" i="1"/>
  <c r="P582" i="1"/>
  <c r="P583" i="1"/>
  <c r="R583" i="1" s="1"/>
  <c r="P584" i="1"/>
  <c r="P585" i="1"/>
  <c r="R585" i="1" s="1"/>
  <c r="Q585" i="1"/>
  <c r="P586" i="1"/>
  <c r="P587" i="1"/>
  <c r="Q587" i="1" s="1"/>
  <c r="P588" i="1"/>
  <c r="R588" i="1" s="1"/>
  <c r="Q588" i="1"/>
  <c r="P589" i="1"/>
  <c r="P590" i="1"/>
  <c r="P591" i="1"/>
  <c r="P592" i="1"/>
  <c r="R592" i="1" s="1"/>
  <c r="Q592" i="1"/>
  <c r="P593" i="1"/>
  <c r="Q593" i="1" s="1"/>
  <c r="P594" i="1"/>
  <c r="P595" i="1"/>
  <c r="P596" i="1"/>
  <c r="Q596" i="1"/>
  <c r="R596" i="1"/>
  <c r="P597" i="1"/>
  <c r="R597" i="1" s="1"/>
  <c r="Q597" i="1"/>
  <c r="P598" i="1"/>
  <c r="Q598" i="1" s="1"/>
  <c r="R598" i="1"/>
  <c r="P599" i="1"/>
  <c r="R599" i="1" s="1"/>
  <c r="P600" i="1"/>
  <c r="Q600" i="1" s="1"/>
  <c r="R600" i="1"/>
  <c r="P601" i="1"/>
  <c r="Q601" i="1" s="1"/>
  <c r="P602" i="1"/>
  <c r="Q602" i="1" s="1"/>
  <c r="R602" i="1"/>
  <c r="P603" i="1"/>
  <c r="Q603" i="1" s="1"/>
  <c r="P604" i="1"/>
  <c r="P605" i="1"/>
  <c r="Q605" i="1" s="1"/>
  <c r="R605" i="1"/>
  <c r="P606" i="1"/>
  <c r="Q606" i="1" s="1"/>
  <c r="P607" i="1"/>
  <c r="Q607" i="1" s="1"/>
  <c r="P608" i="1"/>
  <c r="P609" i="1"/>
  <c r="Q609" i="1" s="1"/>
  <c r="P610" i="1"/>
  <c r="Q610" i="1" s="1"/>
  <c r="P611" i="1"/>
  <c r="Q611" i="1" s="1"/>
  <c r="P612" i="1"/>
  <c r="R612" i="1" s="1"/>
  <c r="Q612" i="1"/>
  <c r="P613" i="1"/>
  <c r="P614" i="1"/>
  <c r="Q614" i="1" s="1"/>
  <c r="P615" i="1"/>
  <c r="Q615" i="1" s="1"/>
  <c r="P616" i="1"/>
  <c r="Q616" i="1" s="1"/>
  <c r="P617" i="1"/>
  <c r="R617" i="1" s="1"/>
  <c r="P618" i="1"/>
  <c r="P619" i="1"/>
  <c r="R619" i="1" s="1"/>
  <c r="Q619" i="1"/>
  <c r="P620" i="1"/>
  <c r="R620" i="1" s="1"/>
  <c r="P621" i="1"/>
  <c r="Q621" i="1" s="1"/>
  <c r="P622" i="1"/>
  <c r="Q622" i="1" s="1"/>
  <c r="P623" i="1"/>
  <c r="R623" i="1" s="1"/>
  <c r="P624" i="1"/>
  <c r="Q624" i="1"/>
  <c r="R624" i="1"/>
  <c r="P625" i="1"/>
  <c r="P626" i="1"/>
  <c r="P627" i="1"/>
  <c r="R627" i="1" s="1"/>
  <c r="P628" i="1"/>
  <c r="R628" i="1" s="1"/>
  <c r="P629" i="1"/>
  <c r="P630" i="1"/>
  <c r="P631" i="1"/>
  <c r="Q631" i="1" s="1"/>
  <c r="P632" i="1"/>
  <c r="Q632" i="1" s="1"/>
  <c r="P633" i="1"/>
  <c r="R633" i="1" s="1"/>
  <c r="Q633" i="1"/>
  <c r="P634" i="1"/>
  <c r="Q634" i="1" s="1"/>
  <c r="P635" i="1"/>
  <c r="Q635" i="1" s="1"/>
  <c r="P636" i="1"/>
  <c r="R636" i="1" s="1"/>
  <c r="Q636" i="1"/>
  <c r="P637" i="1"/>
  <c r="Q637" i="1" s="1"/>
  <c r="P638" i="1"/>
  <c r="Q638" i="1" s="1"/>
  <c r="P639" i="1"/>
  <c r="R639" i="1" s="1"/>
  <c r="P640" i="1"/>
  <c r="P641" i="1"/>
  <c r="P642" i="1"/>
  <c r="P643" i="1"/>
  <c r="R643" i="1" s="1"/>
  <c r="Q643" i="1"/>
  <c r="P644" i="1"/>
  <c r="Q644" i="1" s="1"/>
  <c r="P645" i="1"/>
  <c r="R645" i="1" s="1"/>
  <c r="P646" i="1"/>
  <c r="Q646" i="1" s="1"/>
  <c r="P647" i="1"/>
  <c r="R647" i="1" s="1"/>
  <c r="Q647" i="1"/>
  <c r="P648" i="1"/>
  <c r="P649" i="1"/>
  <c r="P650" i="1"/>
  <c r="P651" i="1"/>
  <c r="Q651" i="1" s="1"/>
  <c r="P652" i="1"/>
  <c r="R652" i="1" s="1"/>
  <c r="P653" i="1"/>
  <c r="Q653" i="1" s="1"/>
  <c r="R653" i="1"/>
  <c r="P654" i="1"/>
  <c r="Q654" i="1" s="1"/>
  <c r="P655" i="1"/>
  <c r="P656" i="1"/>
  <c r="Q656" i="1" s="1"/>
  <c r="P657" i="1"/>
  <c r="Q657" i="1" s="1"/>
  <c r="P658" i="1"/>
  <c r="Q658" i="1" s="1"/>
  <c r="P659" i="1"/>
  <c r="R659" i="1" s="1"/>
  <c r="P660" i="1"/>
  <c r="Q660" i="1"/>
  <c r="R660" i="1"/>
  <c r="P661" i="1"/>
  <c r="Q661" i="1" s="1"/>
  <c r="P662" i="1"/>
  <c r="Q662" i="1" s="1"/>
  <c r="P663" i="1"/>
  <c r="R663" i="1" s="1"/>
  <c r="P664" i="1"/>
  <c r="P665" i="1"/>
  <c r="P666" i="1"/>
  <c r="Q666" i="1" s="1"/>
  <c r="P667" i="1"/>
  <c r="P668" i="1"/>
  <c r="Q668" i="1" s="1"/>
  <c r="P669" i="1"/>
  <c r="Q669" i="1" s="1"/>
  <c r="P670" i="1"/>
  <c r="Q670" i="1" s="1"/>
  <c r="P671" i="1"/>
  <c r="P672" i="1"/>
  <c r="R672" i="1" s="1"/>
  <c r="P673" i="1"/>
  <c r="P674" i="1"/>
  <c r="P675" i="1"/>
  <c r="Q675" i="1" s="1"/>
  <c r="P676" i="1"/>
  <c r="R676" i="1" s="1"/>
  <c r="P677" i="1"/>
  <c r="Q677" i="1" s="1"/>
  <c r="P678" i="1"/>
  <c r="P679" i="1"/>
  <c r="Q679" i="1"/>
  <c r="R679" i="1"/>
  <c r="P680" i="1"/>
  <c r="Q680" i="1" s="1"/>
  <c r="R680" i="1"/>
  <c r="P681" i="1"/>
  <c r="R681" i="1" s="1"/>
  <c r="P682" i="1"/>
  <c r="P683" i="1"/>
  <c r="Q683" i="1" s="1"/>
  <c r="R683" i="1"/>
  <c r="P684" i="1"/>
  <c r="Q684" i="1" s="1"/>
  <c r="R684" i="1"/>
  <c r="P685" i="1"/>
  <c r="Q685" i="1" s="1"/>
  <c r="P686" i="1"/>
  <c r="Q686" i="1" s="1"/>
  <c r="R686" i="1"/>
  <c r="P687" i="1"/>
  <c r="P688" i="1"/>
  <c r="Q688" i="1" s="1"/>
  <c r="P689" i="1"/>
  <c r="Q689" i="1" s="1"/>
  <c r="P690" i="1"/>
  <c r="Q690" i="1" s="1"/>
  <c r="R690" i="1"/>
  <c r="P691" i="1"/>
  <c r="P692" i="1"/>
  <c r="Q692" i="1" s="1"/>
  <c r="R692" i="1"/>
  <c r="P693" i="1"/>
  <c r="Q693" i="1" s="1"/>
  <c r="P694" i="1"/>
  <c r="Q694" i="1" s="1"/>
  <c r="P695" i="1"/>
  <c r="R695" i="1" s="1"/>
  <c r="P696" i="1"/>
  <c r="P697" i="1"/>
  <c r="Q697" i="1" s="1"/>
  <c r="R697" i="1"/>
  <c r="P698" i="1"/>
  <c r="Q698" i="1" s="1"/>
  <c r="P699" i="1"/>
  <c r="P700" i="1"/>
  <c r="R700" i="1" s="1"/>
  <c r="P701" i="1"/>
  <c r="P702" i="1"/>
  <c r="P703" i="1"/>
  <c r="Q703" i="1" s="1"/>
  <c r="P704" i="1"/>
  <c r="Q704" i="1" s="1"/>
  <c r="P705" i="1"/>
  <c r="Q705" i="1"/>
  <c r="R705" i="1"/>
  <c r="P706" i="1"/>
  <c r="Q706" i="1" s="1"/>
  <c r="P707" i="1"/>
  <c r="R707" i="1" s="1"/>
  <c r="Q707" i="1"/>
  <c r="P708" i="1"/>
  <c r="P709" i="1"/>
  <c r="P710" i="1"/>
  <c r="P711" i="1"/>
  <c r="R711" i="1" s="1"/>
  <c r="P712" i="1"/>
  <c r="Q712" i="1" s="1"/>
  <c r="P713" i="1"/>
  <c r="R713" i="1" s="1"/>
  <c r="P714" i="1"/>
  <c r="P715" i="1"/>
  <c r="P716" i="1"/>
  <c r="Q716" i="1" s="1"/>
  <c r="P717" i="1"/>
  <c r="P718" i="1"/>
  <c r="Q718" i="1" s="1"/>
  <c r="R718" i="1"/>
  <c r="P719" i="1"/>
  <c r="R719" i="1" s="1"/>
  <c r="P720" i="1"/>
  <c r="Q720" i="1" s="1"/>
  <c r="P721" i="1"/>
  <c r="P722" i="1"/>
  <c r="P723" i="1"/>
  <c r="Q723" i="1" s="1"/>
  <c r="P724" i="1"/>
  <c r="P725" i="1"/>
  <c r="Q725" i="1" s="1"/>
  <c r="R725" i="1"/>
  <c r="P726" i="1"/>
  <c r="Q726" i="1" s="1"/>
  <c r="P727" i="1"/>
  <c r="P728" i="1"/>
  <c r="R728" i="1" s="1"/>
  <c r="P729" i="1"/>
  <c r="Q729" i="1" s="1"/>
  <c r="R729" i="1"/>
  <c r="P730" i="1"/>
  <c r="P731" i="1"/>
  <c r="Q731" i="1" s="1"/>
  <c r="P732" i="1"/>
  <c r="R732" i="1" s="1"/>
  <c r="Q732" i="1"/>
  <c r="P733" i="1"/>
  <c r="P734" i="1"/>
  <c r="P735" i="1"/>
  <c r="Q735" i="1" s="1"/>
  <c r="R735" i="1"/>
  <c r="P736" i="1"/>
  <c r="R736" i="1" s="1"/>
  <c r="P737" i="1"/>
  <c r="R737" i="1" s="1"/>
  <c r="P738" i="1"/>
  <c r="P739" i="1"/>
  <c r="Q739" i="1" s="1"/>
  <c r="R739" i="1"/>
  <c r="P740" i="1"/>
  <c r="Q740" i="1" s="1"/>
  <c r="P741" i="1"/>
  <c r="Q741" i="1" s="1"/>
  <c r="P742" i="1"/>
  <c r="Q742" i="1" s="1"/>
  <c r="P743" i="1"/>
  <c r="Q743" i="1" s="1"/>
  <c r="P744" i="1"/>
  <c r="R744" i="1" s="1"/>
  <c r="P745" i="1"/>
  <c r="Q745" i="1" s="1"/>
  <c r="P746" i="1"/>
  <c r="Q746" i="1" s="1"/>
  <c r="P747" i="1"/>
  <c r="R747" i="1" s="1"/>
  <c r="Q747" i="1"/>
  <c r="P748" i="1"/>
  <c r="Q748" i="1" s="1"/>
  <c r="P749" i="1"/>
  <c r="Q749" i="1"/>
  <c r="R749" i="1"/>
  <c r="P750" i="1"/>
  <c r="Q750" i="1" s="1"/>
  <c r="P751" i="1"/>
  <c r="Q751" i="1" s="1"/>
  <c r="P752" i="1"/>
  <c r="Q752" i="1" s="1"/>
  <c r="P753" i="1"/>
  <c r="R753" i="1" s="1"/>
  <c r="Q753" i="1"/>
  <c r="P754" i="1"/>
  <c r="P755" i="1"/>
  <c r="P756" i="1"/>
  <c r="Q756" i="1" s="1"/>
  <c r="P757" i="1"/>
  <c r="Q757" i="1" s="1"/>
  <c r="P758" i="1"/>
  <c r="Q758" i="1" s="1"/>
  <c r="R758" i="1"/>
  <c r="P759" i="1"/>
  <c r="Q759" i="1" s="1"/>
  <c r="R759" i="1"/>
  <c r="P760" i="1"/>
  <c r="Q760" i="1"/>
  <c r="R760" i="1"/>
  <c r="P761" i="1"/>
  <c r="P762" i="1"/>
  <c r="P763" i="1"/>
  <c r="Q763" i="1" s="1"/>
  <c r="P764" i="1"/>
  <c r="Q764" i="1" s="1"/>
  <c r="R764" i="1"/>
  <c r="P765" i="1"/>
  <c r="R765" i="1" s="1"/>
  <c r="Q765" i="1"/>
  <c r="P766" i="1"/>
  <c r="Q766" i="1" s="1"/>
  <c r="R766" i="1"/>
  <c r="P767" i="1"/>
  <c r="Q767" i="1" s="1"/>
  <c r="P768" i="1"/>
  <c r="P769" i="1"/>
  <c r="Q769" i="1" s="1"/>
  <c r="P770" i="1"/>
  <c r="Q770" i="1" s="1"/>
  <c r="P771" i="1"/>
  <c r="P772" i="1"/>
  <c r="P773" i="1"/>
  <c r="Q773" i="1"/>
  <c r="R773" i="1"/>
  <c r="P774" i="1"/>
  <c r="Q774" i="1" s="1"/>
  <c r="P775" i="1"/>
  <c r="Q775" i="1" s="1"/>
  <c r="R775" i="1"/>
  <c r="P776" i="1"/>
  <c r="R776" i="1" s="1"/>
  <c r="P777" i="1"/>
  <c r="P778" i="1"/>
  <c r="Q778" i="1" s="1"/>
  <c r="R778" i="1"/>
  <c r="P779" i="1"/>
  <c r="Q779" i="1" s="1"/>
  <c r="P780" i="1"/>
  <c r="R780" i="1" s="1"/>
  <c r="Q780" i="1"/>
  <c r="P781" i="1"/>
  <c r="P782" i="1"/>
  <c r="P783" i="1"/>
  <c r="Q783" i="1" s="1"/>
  <c r="P784" i="1"/>
  <c r="R784" i="1" s="1"/>
  <c r="Q784" i="1"/>
  <c r="B5" i="5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R741" i="1" l="1"/>
  <c r="R704" i="1"/>
  <c r="R658" i="1"/>
  <c r="R601" i="1"/>
  <c r="Q548" i="1"/>
  <c r="R365" i="1"/>
  <c r="Q314" i="1"/>
  <c r="Q269" i="1"/>
  <c r="R218" i="1"/>
  <c r="R187" i="1"/>
  <c r="R179" i="1"/>
  <c r="Q161" i="1"/>
  <c r="Q142" i="1"/>
  <c r="Q105" i="1"/>
  <c r="Q628" i="1"/>
  <c r="Q527" i="1"/>
  <c r="Q499" i="1"/>
  <c r="R470" i="1"/>
  <c r="R433" i="1"/>
  <c r="Q393" i="1"/>
  <c r="Q344" i="1"/>
  <c r="R323" i="1"/>
  <c r="R287" i="1"/>
  <c r="R251" i="1"/>
  <c r="Q244" i="1"/>
  <c r="R196" i="1"/>
  <c r="Q113" i="1"/>
  <c r="Q4" i="1"/>
  <c r="Q186" i="1"/>
  <c r="R250" i="1"/>
  <c r="Q61" i="1"/>
  <c r="R675" i="1"/>
  <c r="R564" i="1"/>
  <c r="R779" i="1"/>
  <c r="R553" i="1"/>
  <c r="R487" i="1"/>
  <c r="R468" i="1"/>
  <c r="Q431" i="1"/>
  <c r="R362" i="1"/>
  <c r="R330" i="1"/>
  <c r="R302" i="1"/>
  <c r="Q293" i="1"/>
  <c r="Q242" i="1"/>
  <c r="Q233" i="1"/>
  <c r="R216" i="1"/>
  <c r="R194" i="1"/>
  <c r="Q166" i="1"/>
  <c r="R148" i="1"/>
  <c r="R139" i="1"/>
  <c r="R131" i="1"/>
  <c r="Q92" i="1"/>
  <c r="R86" i="1"/>
  <c r="Q68" i="1"/>
  <c r="Q41" i="1"/>
  <c r="R8" i="1"/>
  <c r="Q20" i="1"/>
  <c r="R2" i="1"/>
  <c r="R703" i="1"/>
  <c r="R685" i="1"/>
  <c r="R439" i="1"/>
  <c r="R400" i="1"/>
  <c r="R384" i="1"/>
  <c r="R184" i="1"/>
  <c r="Q177" i="1"/>
  <c r="R168" i="1"/>
  <c r="R106" i="1"/>
  <c r="Q46" i="1"/>
  <c r="R38" i="1"/>
  <c r="R720" i="1"/>
  <c r="R669" i="1"/>
  <c r="R631" i="1"/>
  <c r="Q407" i="1"/>
  <c r="Q376" i="1"/>
  <c r="R254" i="1"/>
  <c r="Q213" i="1"/>
  <c r="R202" i="1"/>
  <c r="Q160" i="1"/>
  <c r="R134" i="1"/>
  <c r="Q672" i="1"/>
  <c r="Q360" i="1"/>
  <c r="R360" i="1"/>
  <c r="Q730" i="1"/>
  <c r="R730" i="1"/>
  <c r="Q3" i="1"/>
  <c r="R3" i="1"/>
  <c r="Q738" i="1"/>
  <c r="R738" i="1"/>
  <c r="Q458" i="1"/>
  <c r="R458" i="1"/>
  <c r="R282" i="1"/>
  <c r="Q282" i="1"/>
  <c r="Q274" i="1"/>
  <c r="R274" i="1"/>
  <c r="Q39" i="1"/>
  <c r="R39" i="1"/>
  <c r="R761" i="1"/>
  <c r="Q761" i="1"/>
  <c r="Q457" i="1"/>
  <c r="R457" i="1"/>
  <c r="R316" i="1"/>
  <c r="Q316" i="1"/>
  <c r="Q307" i="1"/>
  <c r="R307" i="1"/>
  <c r="Q203" i="1"/>
  <c r="R203" i="1"/>
  <c r="R768" i="1"/>
  <c r="Q768" i="1"/>
  <c r="R503" i="1"/>
  <c r="Q503" i="1"/>
  <c r="R230" i="1"/>
  <c r="Q230" i="1"/>
  <c r="Q19" i="1"/>
  <c r="R19" i="1"/>
  <c r="R640" i="1"/>
  <c r="Q640" i="1"/>
  <c r="Q356" i="1"/>
  <c r="R356" i="1"/>
  <c r="Q648" i="1"/>
  <c r="R648" i="1"/>
  <c r="Q577" i="1"/>
  <c r="R577" i="1"/>
  <c r="R405" i="1"/>
  <c r="Q405" i="1"/>
  <c r="Q374" i="1"/>
  <c r="R374" i="1"/>
  <c r="Q586" i="1"/>
  <c r="R586" i="1"/>
  <c r="R420" i="1"/>
  <c r="Q420" i="1"/>
  <c r="R723" i="1"/>
  <c r="Q663" i="1"/>
  <c r="R479" i="1"/>
  <c r="Q479" i="1"/>
  <c r="Q156" i="1"/>
  <c r="R156" i="1"/>
  <c r="R130" i="1"/>
  <c r="Q130" i="1"/>
  <c r="R14" i="1"/>
  <c r="Q14" i="1"/>
  <c r="Q608" i="1"/>
  <c r="R608" i="1"/>
  <c r="Q176" i="1"/>
  <c r="R176" i="1"/>
  <c r="Q150" i="1"/>
  <c r="R150" i="1"/>
  <c r="R752" i="1"/>
  <c r="R745" i="1"/>
  <c r="Q736" i="1"/>
  <c r="R607" i="1"/>
  <c r="Q554" i="1"/>
  <c r="R554" i="1"/>
  <c r="R536" i="1"/>
  <c r="Q491" i="1"/>
  <c r="R491" i="1"/>
  <c r="Q446" i="1"/>
  <c r="R446" i="1"/>
  <c r="Q348" i="1"/>
  <c r="R339" i="1"/>
  <c r="Q258" i="1"/>
  <c r="Q245" i="1"/>
  <c r="Q219" i="1"/>
  <c r="R219" i="1"/>
  <c r="R211" i="1"/>
  <c r="R133" i="1"/>
  <c r="Q133" i="1"/>
  <c r="Q678" i="1"/>
  <c r="R678" i="1"/>
  <c r="Q625" i="1"/>
  <c r="R625" i="1"/>
  <c r="Q453" i="1"/>
  <c r="R453" i="1"/>
  <c r="Q190" i="1"/>
  <c r="R190" i="1"/>
  <c r="Q71" i="1"/>
  <c r="R71" i="1"/>
  <c r="Q544" i="1"/>
  <c r="R544" i="1"/>
  <c r="Q338" i="1"/>
  <c r="R338" i="1"/>
  <c r="Q104" i="1"/>
  <c r="R104" i="1"/>
  <c r="Q727" i="1"/>
  <c r="R727" i="1"/>
  <c r="R563" i="1"/>
  <c r="Q563" i="1"/>
  <c r="R110" i="1"/>
  <c r="Q110" i="1"/>
  <c r="Q639" i="1"/>
  <c r="Q496" i="1"/>
  <c r="R496" i="1"/>
  <c r="Q469" i="1"/>
  <c r="R469" i="1"/>
  <c r="R442" i="1"/>
  <c r="R363" i="1"/>
  <c r="R281" i="1"/>
  <c r="Q281" i="1"/>
  <c r="Q324" i="1"/>
  <c r="R324" i="1"/>
  <c r="R389" i="1"/>
  <c r="Q389" i="1"/>
  <c r="Q76" i="1"/>
  <c r="R76" i="1"/>
  <c r="Q40" i="1"/>
  <c r="R40" i="1"/>
  <c r="Q708" i="1"/>
  <c r="R708" i="1"/>
  <c r="Q7" i="1"/>
  <c r="R7" i="1"/>
  <c r="R649" i="1"/>
  <c r="Q649" i="1"/>
  <c r="Q343" i="1"/>
  <c r="R343" i="1"/>
  <c r="Q772" i="1"/>
  <c r="R772" i="1"/>
  <c r="Q488" i="1"/>
  <c r="R488" i="1"/>
  <c r="Q463" i="1"/>
  <c r="R463" i="1"/>
  <c r="R212" i="1"/>
  <c r="Q212" i="1"/>
  <c r="Q728" i="1"/>
  <c r="R712" i="1"/>
  <c r="R689" i="1"/>
  <c r="Q676" i="1"/>
  <c r="Q652" i="1"/>
  <c r="R637" i="1"/>
  <c r="Q630" i="1"/>
  <c r="R630" i="1"/>
  <c r="Q623" i="1"/>
  <c r="R606" i="1"/>
  <c r="Q558" i="1"/>
  <c r="R558" i="1"/>
  <c r="Q515" i="1"/>
  <c r="R515" i="1"/>
  <c r="R498" i="1"/>
  <c r="R445" i="1"/>
  <c r="R422" i="1"/>
  <c r="R394" i="1"/>
  <c r="R387" i="1"/>
  <c r="Q354" i="1"/>
  <c r="R354" i="1"/>
  <c r="Q336" i="1"/>
  <c r="R319" i="1"/>
  <c r="Q278" i="1"/>
  <c r="R270" i="1"/>
  <c r="R263" i="1"/>
  <c r="Q208" i="1"/>
  <c r="R208" i="1"/>
  <c r="Q197" i="1"/>
  <c r="R158" i="1"/>
  <c r="Q158" i="1"/>
  <c r="Q141" i="1"/>
  <c r="Q101" i="1"/>
  <c r="R62" i="1"/>
  <c r="Q9" i="1"/>
  <c r="Q575" i="1"/>
  <c r="R575" i="1"/>
  <c r="Q531" i="1"/>
  <c r="R531" i="1"/>
  <c r="Q232" i="1"/>
  <c r="R232" i="1"/>
  <c r="R756" i="1"/>
  <c r="Q711" i="1"/>
  <c r="Q681" i="1"/>
  <c r="R668" i="1"/>
  <c r="R651" i="1"/>
  <c r="Q583" i="1"/>
  <c r="Q539" i="1"/>
  <c r="R539" i="1"/>
  <c r="Q513" i="1"/>
  <c r="Q475" i="1"/>
  <c r="Q467" i="1"/>
  <c r="Q369" i="1"/>
  <c r="R369" i="1"/>
  <c r="R352" i="1"/>
  <c r="R335" i="1"/>
  <c r="R181" i="1"/>
  <c r="Q181" i="1"/>
  <c r="R163" i="1"/>
  <c r="Q140" i="1"/>
  <c r="R100" i="1"/>
  <c r="Q43" i="1"/>
  <c r="R43" i="1"/>
  <c r="R591" i="1"/>
  <c r="Q591" i="1"/>
  <c r="Q247" i="1"/>
  <c r="R247" i="1"/>
  <c r="Q50" i="1"/>
  <c r="R50" i="1"/>
  <c r="R667" i="1"/>
  <c r="Q667" i="1"/>
  <c r="R464" i="1"/>
  <c r="Q464" i="1"/>
  <c r="Q262" i="1"/>
  <c r="R262" i="1"/>
  <c r="Q112" i="1"/>
  <c r="R112" i="1"/>
  <c r="R484" i="1"/>
  <c r="Q484" i="1"/>
  <c r="Q620" i="1"/>
  <c r="Q713" i="1"/>
  <c r="R694" i="1"/>
  <c r="R646" i="1"/>
  <c r="Q617" i="1"/>
  <c r="R610" i="1"/>
  <c r="Q561" i="1"/>
  <c r="R519" i="1"/>
  <c r="Q512" i="1"/>
  <c r="Q472" i="1"/>
  <c r="R462" i="1"/>
  <c r="R456" i="1"/>
  <c r="R413" i="1"/>
  <c r="R402" i="1"/>
  <c r="R349" i="1"/>
  <c r="Q285" i="1"/>
  <c r="Q273" i="1"/>
  <c r="R267" i="1"/>
  <c r="Q261" i="1"/>
  <c r="Q249" i="1"/>
  <c r="R223" i="1"/>
  <c r="R128" i="1"/>
  <c r="R119" i="1"/>
  <c r="R80" i="1"/>
  <c r="R58" i="1"/>
  <c r="R32" i="1"/>
  <c r="Q17" i="1"/>
  <c r="R11" i="1"/>
  <c r="R603" i="1"/>
  <c r="R693" i="1"/>
  <c r="R688" i="1"/>
  <c r="R609" i="1"/>
  <c r="R574" i="1"/>
  <c r="R566" i="1"/>
  <c r="R524" i="1"/>
  <c r="R518" i="1"/>
  <c r="R504" i="1"/>
  <c r="R471" i="1"/>
  <c r="R461" i="1"/>
  <c r="R449" i="1"/>
  <c r="R437" i="1"/>
  <c r="R401" i="1"/>
  <c r="Q326" i="1"/>
  <c r="R312" i="1"/>
  <c r="R299" i="1"/>
  <c r="R272" i="1"/>
  <c r="R207" i="1"/>
  <c r="R199" i="1"/>
  <c r="R192" i="1"/>
  <c r="Q153" i="1"/>
  <c r="Q118" i="1"/>
  <c r="Q57" i="1"/>
  <c r="R16" i="1"/>
  <c r="R10" i="1"/>
  <c r="Q5" i="1"/>
  <c r="R614" i="1"/>
  <c r="R783" i="1"/>
  <c r="R769" i="1"/>
  <c r="R757" i="1"/>
  <c r="R750" i="1"/>
  <c r="Q744" i="1"/>
  <c r="R706" i="1"/>
  <c r="Q700" i="1"/>
  <c r="R677" i="1"/>
  <c r="R657" i="1"/>
  <c r="R644" i="1"/>
  <c r="R638" i="1"/>
  <c r="R632" i="1"/>
  <c r="Q627" i="1"/>
  <c r="R622" i="1"/>
  <c r="R615" i="1"/>
  <c r="Q599" i="1"/>
  <c r="R593" i="1"/>
  <c r="R587" i="1"/>
  <c r="R559" i="1"/>
  <c r="Q545" i="1"/>
  <c r="R510" i="1"/>
  <c r="R497" i="1"/>
  <c r="R483" i="1"/>
  <c r="Q477" i="1"/>
  <c r="R466" i="1"/>
  <c r="R454" i="1"/>
  <c r="R443" i="1"/>
  <c r="R430" i="1"/>
  <c r="R423" i="1"/>
  <c r="R418" i="1"/>
  <c r="R411" i="1"/>
  <c r="R375" i="1"/>
  <c r="R361" i="1"/>
  <c r="R304" i="1"/>
  <c r="R180" i="1"/>
  <c r="R138" i="1"/>
  <c r="R90" i="1"/>
  <c r="Q48" i="1"/>
  <c r="R42" i="1"/>
  <c r="Q37" i="1"/>
  <c r="Q21" i="1"/>
  <c r="R731" i="1"/>
  <c r="R726" i="1"/>
  <c r="Q719" i="1"/>
  <c r="R670" i="1"/>
  <c r="Q579" i="1"/>
  <c r="R529" i="1"/>
  <c r="R517" i="1"/>
  <c r="R382" i="1"/>
  <c r="R298" i="1"/>
  <c r="R227" i="1"/>
  <c r="R206" i="1"/>
  <c r="R198" i="1"/>
  <c r="Q185" i="1"/>
  <c r="Q125" i="1"/>
  <c r="Q117" i="1"/>
  <c r="Q69" i="1"/>
  <c r="R56" i="1"/>
  <c r="Q29" i="1"/>
  <c r="R15" i="1"/>
  <c r="R240" i="1"/>
  <c r="Q240" i="1"/>
  <c r="R214" i="1"/>
  <c r="Q214" i="1"/>
  <c r="Q159" i="1"/>
  <c r="R159" i="1"/>
  <c r="Q762" i="1"/>
  <c r="R762" i="1"/>
  <c r="R220" i="1"/>
  <c r="Q220" i="1"/>
  <c r="Q63" i="1"/>
  <c r="R63" i="1"/>
  <c r="Q23" i="1"/>
  <c r="R23" i="1"/>
  <c r="R30" i="1"/>
  <c r="Q30" i="1"/>
  <c r="R164" i="1"/>
  <c r="Q164" i="1"/>
  <c r="Q380" i="1"/>
  <c r="R380" i="1"/>
  <c r="Q570" i="1"/>
  <c r="R570" i="1"/>
  <c r="Q584" i="1"/>
  <c r="R584" i="1"/>
  <c r="Q576" i="1"/>
  <c r="Q493" i="1"/>
  <c r="R493" i="1"/>
  <c r="Q398" i="1"/>
  <c r="R398" i="1"/>
  <c r="R295" i="1"/>
  <c r="R239" i="1"/>
  <c r="Q714" i="1"/>
  <c r="R714" i="1"/>
  <c r="Q629" i="1"/>
  <c r="R629" i="1"/>
  <c r="Q618" i="1"/>
  <c r="R618" i="1"/>
  <c r="Q589" i="1"/>
  <c r="R589" i="1"/>
  <c r="R385" i="1"/>
  <c r="Q385" i="1"/>
  <c r="R721" i="1"/>
  <c r="Q721" i="1"/>
  <c r="Q432" i="1"/>
  <c r="R432" i="1"/>
  <c r="Q582" i="1"/>
  <c r="R582" i="1"/>
  <c r="Q366" i="1"/>
  <c r="R366" i="1"/>
  <c r="Q154" i="1"/>
  <c r="R154" i="1"/>
  <c r="R665" i="1"/>
  <c r="Q665" i="1"/>
  <c r="Q594" i="1"/>
  <c r="R594" i="1"/>
  <c r="R774" i="1"/>
  <c r="R743" i="1"/>
  <c r="Q737" i="1"/>
  <c r="R755" i="1"/>
  <c r="Q755" i="1"/>
  <c r="Q754" i="1"/>
  <c r="R754" i="1"/>
  <c r="R748" i="1"/>
  <c r="Q671" i="1"/>
  <c r="R671" i="1"/>
  <c r="Q664" i="1"/>
  <c r="R664" i="1"/>
  <c r="R525" i="1"/>
  <c r="Q525" i="1"/>
  <c r="Q771" i="1"/>
  <c r="R771" i="1"/>
  <c r="Q699" i="1"/>
  <c r="R699" i="1"/>
  <c r="Q438" i="1"/>
  <c r="R438" i="1"/>
  <c r="R770" i="1"/>
  <c r="R698" i="1"/>
  <c r="Q511" i="1"/>
  <c r="R511" i="1"/>
  <c r="Q424" i="1"/>
  <c r="R424" i="1"/>
  <c r="Q412" i="1"/>
  <c r="R412" i="1"/>
  <c r="Q709" i="1"/>
  <c r="R709" i="1"/>
  <c r="R781" i="1"/>
  <c r="Q781" i="1"/>
  <c r="R763" i="1"/>
  <c r="Q715" i="1"/>
  <c r="R715" i="1"/>
  <c r="Q691" i="1"/>
  <c r="R691" i="1"/>
  <c r="Q550" i="1"/>
  <c r="R550" i="1"/>
  <c r="Q543" i="1"/>
  <c r="R543" i="1"/>
  <c r="R301" i="1"/>
  <c r="Q301" i="1"/>
  <c r="Q172" i="1"/>
  <c r="R172" i="1"/>
  <c r="Q581" i="1"/>
  <c r="R581" i="1"/>
  <c r="Q406" i="1"/>
  <c r="R406" i="1"/>
  <c r="R321" i="1"/>
  <c r="Q321" i="1"/>
  <c r="R767" i="1"/>
  <c r="R751" i="1"/>
  <c r="R746" i="1"/>
  <c r="R740" i="1"/>
  <c r="Q695" i="1"/>
  <c r="Q674" i="1"/>
  <c r="R674" i="1"/>
  <c r="R654" i="1"/>
  <c r="R604" i="1"/>
  <c r="Q604" i="1"/>
  <c r="Q555" i="1"/>
  <c r="Q541" i="1"/>
  <c r="Q489" i="1"/>
  <c r="R489" i="1"/>
  <c r="Q178" i="1"/>
  <c r="R178" i="1"/>
  <c r="Q673" i="1"/>
  <c r="R673" i="1"/>
  <c r="Q306" i="1"/>
  <c r="R306" i="1"/>
  <c r="Q777" i="1"/>
  <c r="R777" i="1"/>
  <c r="Q717" i="1"/>
  <c r="R717" i="1"/>
  <c r="Q573" i="1"/>
  <c r="R573" i="1"/>
  <c r="R560" i="1"/>
  <c r="Q494" i="1"/>
  <c r="R494" i="1"/>
  <c r="Q183" i="1"/>
  <c r="R183" i="1"/>
  <c r="Q776" i="1"/>
  <c r="R716" i="1"/>
  <c r="Q710" i="1"/>
  <c r="R710" i="1"/>
  <c r="R666" i="1"/>
  <c r="Q659" i="1"/>
  <c r="Q642" i="1"/>
  <c r="R642" i="1"/>
  <c r="Q613" i="1"/>
  <c r="R613" i="1"/>
  <c r="Q578" i="1"/>
  <c r="R578" i="1"/>
  <c r="R565" i="1"/>
  <c r="Q514" i="1"/>
  <c r="R514" i="1"/>
  <c r="Q355" i="1"/>
  <c r="R355" i="1"/>
  <c r="R188" i="1"/>
  <c r="Q188" i="1"/>
  <c r="Q782" i="1"/>
  <c r="R782" i="1"/>
  <c r="Q215" i="1"/>
  <c r="R215" i="1"/>
  <c r="Q124" i="1"/>
  <c r="R124" i="1"/>
  <c r="Q641" i="1"/>
  <c r="R641" i="1"/>
  <c r="Q626" i="1"/>
  <c r="R626" i="1"/>
  <c r="R621" i="1"/>
  <c r="R616" i="1"/>
  <c r="R611" i="1"/>
  <c r="R580" i="1"/>
  <c r="Q547" i="1"/>
  <c r="R547" i="1"/>
  <c r="Q534" i="1"/>
  <c r="R534" i="1"/>
  <c r="Q480" i="1"/>
  <c r="R480" i="1"/>
  <c r="Q447" i="1"/>
  <c r="R447" i="1"/>
  <c r="R371" i="1"/>
  <c r="Q334" i="1"/>
  <c r="R334" i="1"/>
  <c r="Q724" i="1"/>
  <c r="R724" i="1"/>
  <c r="R662" i="1"/>
  <c r="R635" i="1"/>
  <c r="R546" i="1"/>
  <c r="R533" i="1"/>
  <c r="Q516" i="1"/>
  <c r="R516" i="1"/>
  <c r="Q474" i="1"/>
  <c r="R474" i="1"/>
  <c r="Q359" i="1"/>
  <c r="R353" i="1"/>
  <c r="Q325" i="1"/>
  <c r="Q266" i="1"/>
  <c r="R266" i="1"/>
  <c r="Q260" i="1"/>
  <c r="R149" i="1"/>
  <c r="Q149" i="1"/>
  <c r="R102" i="1"/>
  <c r="Q102" i="1"/>
  <c r="Q682" i="1"/>
  <c r="R682" i="1"/>
  <c r="Q485" i="1"/>
  <c r="R485" i="1"/>
  <c r="Q473" i="1"/>
  <c r="R473" i="1"/>
  <c r="R265" i="1"/>
  <c r="Q265" i="1"/>
  <c r="R687" i="1"/>
  <c r="Q687" i="1"/>
  <c r="R661" i="1"/>
  <c r="R656" i="1"/>
  <c r="Q645" i="1"/>
  <c r="R634" i="1"/>
  <c r="Q590" i="1"/>
  <c r="R590" i="1"/>
  <c r="Q556" i="1"/>
  <c r="Q388" i="1"/>
  <c r="R370" i="1"/>
  <c r="Q358" i="1"/>
  <c r="R358" i="1"/>
  <c r="Q331" i="1"/>
  <c r="R331" i="1"/>
  <c r="Q290" i="1"/>
  <c r="R290" i="1"/>
  <c r="Q271" i="1"/>
  <c r="R271" i="1"/>
  <c r="R259" i="1"/>
  <c r="Q734" i="1"/>
  <c r="R734" i="1"/>
  <c r="Q702" i="1"/>
  <c r="R702" i="1"/>
  <c r="Q696" i="1"/>
  <c r="R696" i="1"/>
  <c r="Q650" i="1"/>
  <c r="R650" i="1"/>
  <c r="Q595" i="1"/>
  <c r="R595" i="1"/>
  <c r="Q508" i="1"/>
  <c r="R508" i="1"/>
  <c r="R289" i="1"/>
  <c r="Q289" i="1"/>
  <c r="R189" i="1"/>
  <c r="Q189" i="1"/>
  <c r="R165" i="1"/>
  <c r="Q165" i="1"/>
  <c r="Q733" i="1"/>
  <c r="R733" i="1"/>
  <c r="Q722" i="1"/>
  <c r="R722" i="1"/>
  <c r="Q701" i="1"/>
  <c r="R701" i="1"/>
  <c r="Q655" i="1"/>
  <c r="R655" i="1"/>
  <c r="Q538" i="1"/>
  <c r="R538" i="1"/>
  <c r="Q381" i="1"/>
  <c r="R381" i="1"/>
  <c r="R296" i="1"/>
  <c r="Q296" i="1"/>
  <c r="R209" i="1"/>
  <c r="Q209" i="1"/>
  <c r="Q195" i="1"/>
  <c r="R195" i="1"/>
  <c r="Q305" i="1"/>
  <c r="Q276" i="1"/>
  <c r="R276" i="1"/>
  <c r="Q253" i="1"/>
  <c r="R243" i="1"/>
  <c r="Q225" i="1"/>
  <c r="Q200" i="1"/>
  <c r="Q171" i="1"/>
  <c r="R171" i="1"/>
  <c r="Q120" i="1"/>
  <c r="R120" i="1"/>
  <c r="R53" i="1"/>
  <c r="Q53" i="1"/>
  <c r="Q311" i="1"/>
  <c r="R311" i="1"/>
  <c r="R193" i="1"/>
  <c r="Q193" i="1"/>
  <c r="Q170" i="1"/>
  <c r="R170" i="1"/>
  <c r="R52" i="1"/>
  <c r="R502" i="1"/>
  <c r="Q416" i="1"/>
  <c r="Q341" i="1"/>
  <c r="Q329" i="1"/>
  <c r="Q286" i="1"/>
  <c r="R286" i="1"/>
  <c r="R169" i="1"/>
  <c r="Q169" i="1"/>
  <c r="R126" i="1"/>
  <c r="Q126" i="1"/>
  <c r="Q426" i="1"/>
  <c r="R426" i="1"/>
  <c r="Q368" i="1"/>
  <c r="R368" i="1"/>
  <c r="Q346" i="1"/>
  <c r="R346" i="1"/>
  <c r="Q235" i="1"/>
  <c r="R235" i="1"/>
  <c r="R205" i="1"/>
  <c r="Q205" i="1"/>
  <c r="R742" i="1"/>
  <c r="R572" i="1"/>
  <c r="R567" i="1"/>
  <c r="R542" i="1"/>
  <c r="R537" i="1"/>
  <c r="R532" i="1"/>
  <c r="R506" i="1"/>
  <c r="R501" i="1"/>
  <c r="Q486" i="1"/>
  <c r="R486" i="1"/>
  <c r="R455" i="1"/>
  <c r="R440" i="1"/>
  <c r="Q425" i="1"/>
  <c r="R425" i="1"/>
  <c r="R415" i="1"/>
  <c r="R367" i="1"/>
  <c r="R345" i="1"/>
  <c r="R340" i="1"/>
  <c r="Q291" i="1"/>
  <c r="R291" i="1"/>
  <c r="R234" i="1"/>
  <c r="R204" i="1"/>
  <c r="Q143" i="1"/>
  <c r="R143" i="1"/>
  <c r="R78" i="1"/>
  <c r="Q78" i="1"/>
  <c r="R562" i="1"/>
  <c r="R557" i="1"/>
  <c r="R552" i="1"/>
  <c r="Q522" i="1"/>
  <c r="R522" i="1"/>
  <c r="R490" i="1"/>
  <c r="Q460" i="1"/>
  <c r="R460" i="1"/>
  <c r="R450" i="1"/>
  <c r="R435" i="1"/>
  <c r="Q372" i="1"/>
  <c r="R350" i="1"/>
  <c r="R315" i="1"/>
  <c r="Q309" i="1"/>
  <c r="Q284" i="1"/>
  <c r="R279" i="1"/>
  <c r="Q210" i="1"/>
  <c r="R210" i="1"/>
  <c r="Q77" i="1"/>
  <c r="Q521" i="1"/>
  <c r="R521" i="1"/>
  <c r="Q495" i="1"/>
  <c r="R495" i="1"/>
  <c r="Q399" i="1"/>
  <c r="R399" i="1"/>
  <c r="Q96" i="1"/>
  <c r="R96" i="1"/>
  <c r="R378" i="1"/>
  <c r="Q333" i="1"/>
  <c r="R318" i="1"/>
  <c r="R313" i="1"/>
  <c r="Q313" i="1"/>
  <c r="Q257" i="1"/>
  <c r="Q237" i="1"/>
  <c r="R222" i="1"/>
  <c r="R217" i="1"/>
  <c r="Q217" i="1"/>
  <c r="R191" i="1"/>
  <c r="R152" i="1"/>
  <c r="R145" i="1"/>
  <c r="Q145" i="1"/>
  <c r="Q129" i="1"/>
  <c r="Q116" i="1"/>
  <c r="R111" i="1"/>
  <c r="Q81" i="1"/>
  <c r="R67" i="1"/>
  <c r="Q33" i="1"/>
  <c r="R408" i="1"/>
  <c r="R395" i="1"/>
  <c r="R73" i="1"/>
  <c r="Q73" i="1"/>
  <c r="R49" i="1"/>
  <c r="Q49" i="1"/>
  <c r="R25" i="1"/>
  <c r="Q25" i="1"/>
  <c r="R530" i="1"/>
  <c r="R482" i="1"/>
  <c r="R434" i="1"/>
  <c r="R386" i="1"/>
  <c r="R377" i="1"/>
  <c r="R364" i="1"/>
  <c r="R351" i="1"/>
  <c r="Q332" i="1"/>
  <c r="R327" i="1"/>
  <c r="R322" i="1"/>
  <c r="Q317" i="1"/>
  <c r="Q297" i="1"/>
  <c r="Q236" i="1"/>
  <c r="R231" i="1"/>
  <c r="Q221" i="1"/>
  <c r="Q201" i="1"/>
  <c r="R167" i="1"/>
  <c r="R121" i="1"/>
  <c r="Q121" i="1"/>
  <c r="R115" i="1"/>
  <c r="R97" i="1"/>
  <c r="Q97" i="1"/>
  <c r="R24" i="1"/>
  <c r="R390" i="1"/>
  <c r="R342" i="1"/>
  <c r="R337" i="1"/>
  <c r="Q337" i="1"/>
  <c r="R241" i="1"/>
  <c r="Q241" i="1"/>
  <c r="R54" i="1"/>
  <c r="Q54" i="1"/>
  <c r="R147" i="1"/>
  <c r="R123" i="1"/>
  <c r="R99" i="1"/>
  <c r="R94" i="1"/>
  <c r="R75" i="1"/>
  <c r="R70" i="1"/>
  <c r="R51" i="1"/>
  <c r="R27" i="1"/>
  <c r="R22" i="1"/>
  <c r="R132" i="1"/>
  <c r="R108" i="1"/>
  <c r="R84" i="1"/>
  <c r="Q65" i="1"/>
  <c r="R60" i="1"/>
  <c r="R36" i="1"/>
  <c r="R12" i="1"/>
  <c r="R175" i="1"/>
  <c r="R151" i="1"/>
  <c r="R146" i="1"/>
  <c r="R127" i="1"/>
  <c r="R103" i="1"/>
  <c r="R98" i="1"/>
  <c r="R79" i="1"/>
  <c r="R74" i="1"/>
  <c r="R55" i="1"/>
  <c r="R31" i="1"/>
  <c r="R26" i="1"/>
  <c r="A5" i="5"/>
  <c r="R785" i="1" l="1"/>
  <c r="C5" i="5" s="1"/>
  <c r="C6" i="5" l="1"/>
  <c r="C7" i="5" s="1"/>
  <c r="C8" i="5" s="1"/>
</calcChain>
</file>

<file path=xl/sharedStrings.xml><?xml version="1.0" encoding="utf-8"?>
<sst xmlns="http://schemas.openxmlformats.org/spreadsheetml/2006/main" count="8662" uniqueCount="4572">
  <si>
    <t>FACTURACIÓN ENTREGA DE ROLLOS A GESTORES</t>
  </si>
  <si>
    <t>WOMPI</t>
  </si>
  <si>
    <t>CONCEPTOS</t>
  </si>
  <si>
    <t>CANTIDAD</t>
  </si>
  <si>
    <t>TOTAL</t>
  </si>
  <si>
    <t xml:space="preserve">SUBTOTAL </t>
  </si>
  <si>
    <t>Iva</t>
  </si>
  <si>
    <t>PROPONENTE</t>
  </si>
  <si>
    <t>TIPO ACTIVIDAD</t>
  </si>
  <si>
    <t>BODEGA</t>
  </si>
  <si>
    <t>CENTRO DE COSTOS</t>
  </si>
  <si>
    <t>ENTREGA DE DATAFONOS EN BODEGAS</t>
  </si>
  <si>
    <t>ENTREGA DE ROLLOS EN BODEGAS</t>
  </si>
  <si>
    <t>WOMPI (SOLICITUD ADICIONAL)</t>
  </si>
  <si>
    <t>ENTREGA DE DATAFONOS EN BODEGAS UBICADAS EN CIUDADES PRINCIPALES</t>
  </si>
  <si>
    <t>MEDELLIN</t>
  </si>
  <si>
    <t>WOMPI NOROCCIDENTE</t>
  </si>
  <si>
    <t>BOGOTA</t>
  </si>
  <si>
    <t>WOMPI CENTRO</t>
  </si>
  <si>
    <t>CALI</t>
  </si>
  <si>
    <t>WOMPI SUROCCIDENTE</t>
  </si>
  <si>
    <t>PEREIRA</t>
  </si>
  <si>
    <t>WOMPI EJE CAFETERO</t>
  </si>
  <si>
    <t>BARRANQUILLA</t>
  </si>
  <si>
    <t>WOMPI COSTA</t>
  </si>
  <si>
    <t>BUCARAMANGA</t>
  </si>
  <si>
    <t>WOMPI SANTANDERES</t>
  </si>
  <si>
    <t>MONTERIA</t>
  </si>
  <si>
    <t>ENTREGA DE DATAFONOS EN BODEGAS UBICADAS EN CIUDADES REMOTAS CERTIFICADAS</t>
  </si>
  <si>
    <t>CUCUTA</t>
  </si>
  <si>
    <t>NEIVA</t>
  </si>
  <si>
    <t>WOMPI ORIENTE</t>
  </si>
  <si>
    <t>SANTA MARTA</t>
  </si>
  <si>
    <t>TUNJA</t>
  </si>
  <si>
    <t>VILLAVICENCIO</t>
  </si>
  <si>
    <t>ENTREGA DE DATAFONOS EN BODEGAS UBICADAS EN CIUDADES REMOTAS NO CERTIFICADAS</t>
  </si>
  <si>
    <t>APARTADO</t>
  </si>
  <si>
    <t>CARTAGENA</t>
  </si>
  <si>
    <t>FLORENCIA</t>
  </si>
  <si>
    <t>IBAGUE</t>
  </si>
  <si>
    <t>MANIZALES</t>
  </si>
  <si>
    <t>PASTO</t>
  </si>
  <si>
    <t>POPAYAN</t>
  </si>
  <si>
    <t>SINCELEJO</t>
  </si>
  <si>
    <t>VALLEDUPAR</t>
  </si>
  <si>
    <t>YOPAL</t>
  </si>
  <si>
    <t>Centro_de_Costos</t>
  </si>
  <si>
    <t>Suma de ENTREGA DE ROLLOS EN BODEGAS</t>
  </si>
  <si>
    <t>Total general</t>
  </si>
  <si>
    <t>Codigo_Punto</t>
  </si>
  <si>
    <t>cantidad_equipos</t>
  </si>
  <si>
    <t>CANTIDAD DE ROLLOS</t>
  </si>
  <si>
    <t>Nombre_Punto</t>
  </si>
  <si>
    <t>Nit_CC_Persona</t>
  </si>
  <si>
    <t>TelefonoCB</t>
  </si>
  <si>
    <t>Celular_Contacto1</t>
  </si>
  <si>
    <t>Celular_dueno</t>
  </si>
  <si>
    <t>Dirección_Establecimiento</t>
  </si>
  <si>
    <t>Latitud</t>
  </si>
  <si>
    <t>Longitud</t>
  </si>
  <si>
    <t>Departamento</t>
  </si>
  <si>
    <t>Municipio</t>
  </si>
  <si>
    <t>Corregimiento</t>
  </si>
  <si>
    <t>Codigo_Dane</t>
  </si>
  <si>
    <t>Fecha_Migracion</t>
  </si>
  <si>
    <t>Cantidad de Rollos por CB</t>
  </si>
  <si>
    <t>Bodega</t>
  </si>
  <si>
    <t>ANTIOQUIA</t>
  </si>
  <si>
    <t>RIONEGRO</t>
  </si>
  <si>
    <t>0</t>
  </si>
  <si>
    <t>CUNDINAMARCA</t>
  </si>
  <si>
    <t>1111111</t>
  </si>
  <si>
    <t>6050962</t>
  </si>
  <si>
    <t>BOYACÁ</t>
  </si>
  <si>
    <t>NARIÑO</t>
  </si>
  <si>
    <t>CAUCA</t>
  </si>
  <si>
    <t>META</t>
  </si>
  <si>
    <t>SAN CARLOS DE GUAROA</t>
  </si>
  <si>
    <t>VENTAQUEMADA</t>
  </si>
  <si>
    <t>CALDAS</t>
  </si>
  <si>
    <t>ANSERMA</t>
  </si>
  <si>
    <t>3134785390</t>
  </si>
  <si>
    <t>BOLÍVAR</t>
  </si>
  <si>
    <t>VIRACACHÁ</t>
  </si>
  <si>
    <t>ARANZAZU</t>
  </si>
  <si>
    <t>CÓRDOBA</t>
  </si>
  <si>
    <t>3133370645</t>
  </si>
  <si>
    <t>3666417</t>
  </si>
  <si>
    <t>RISARALDA</t>
  </si>
  <si>
    <t>HUILA</t>
  </si>
  <si>
    <t>9041876</t>
  </si>
  <si>
    <t>BUESACO</t>
  </si>
  <si>
    <t>NORTE DE SANTANDER</t>
  </si>
  <si>
    <t>EL ZULIA</t>
  </si>
  <si>
    <t>SANTANDER</t>
  </si>
  <si>
    <t>SUCRE</t>
  </si>
  <si>
    <t>PUERTO ESCONDIDO</t>
  </si>
  <si>
    <t>3195117362</t>
  </si>
  <si>
    <t>CONSACÁ</t>
  </si>
  <si>
    <t>7732304</t>
  </si>
  <si>
    <t>PAMPLONA</t>
  </si>
  <si>
    <t>5832270</t>
  </si>
  <si>
    <t>5.721</t>
  </si>
  <si>
    <t>TOLIMA</t>
  </si>
  <si>
    <t>BOJACÁ</t>
  </si>
  <si>
    <t>CHÍA</t>
  </si>
  <si>
    <t>QUINDÍO</t>
  </si>
  <si>
    <t>VILLA DEL ROSARIO</t>
  </si>
  <si>
    <t>3123103799</t>
  </si>
  <si>
    <t>3156682745</t>
  </si>
  <si>
    <t>VALLE DEL CAUCA</t>
  </si>
  <si>
    <t>SAN JUAN DE URABÁ</t>
  </si>
  <si>
    <t>CASANARE</t>
  </si>
  <si>
    <t>PUTUMAYO</t>
  </si>
  <si>
    <t>SAN FRANCISCO</t>
  </si>
  <si>
    <t>3118313651</t>
  </si>
  <si>
    <t>EL COLEGIO</t>
  </si>
  <si>
    <t>FACATATIVÁ</t>
  </si>
  <si>
    <t>3123934858</t>
  </si>
  <si>
    <t>PUERTO LÓPEZ</t>
  </si>
  <si>
    <t>RESTREPO</t>
  </si>
  <si>
    <t>LA UNIÓN</t>
  </si>
  <si>
    <t>LINARES</t>
  </si>
  <si>
    <t>SAN BERNARDO</t>
  </si>
  <si>
    <t>SIBUNDOY</t>
  </si>
  <si>
    <t>MEDELLÍN</t>
  </si>
  <si>
    <t>6450054</t>
  </si>
  <si>
    <t>3046583395</t>
  </si>
  <si>
    <t>4239530</t>
  </si>
  <si>
    <t>EL TAMBO</t>
  </si>
  <si>
    <t>1</t>
  </si>
  <si>
    <t>SILVIA</t>
  </si>
  <si>
    <t>TIMBÍO</t>
  </si>
  <si>
    <t>CERETÉ</t>
  </si>
  <si>
    <t>TIERRALTA</t>
  </si>
  <si>
    <t>MOSQUERA</t>
  </si>
  <si>
    <t>NEMOCÓN</t>
  </si>
  <si>
    <t>5.066969</t>
  </si>
  <si>
    <t>-73.880696</t>
  </si>
  <si>
    <t>PULÍ</t>
  </si>
  <si>
    <t>SOACHA</t>
  </si>
  <si>
    <t>ATLÁNTICO</t>
  </si>
  <si>
    <t>CHIQUINQUIRÁ</t>
  </si>
  <si>
    <t>3103028829</t>
  </si>
  <si>
    <t>CAQUETÁ</t>
  </si>
  <si>
    <t>SAN VICENTE DEL CAGUÁN</t>
  </si>
  <si>
    <t>4944263</t>
  </si>
  <si>
    <t>SAN JUAN DE RIOSECO</t>
  </si>
  <si>
    <t>SASAIMA</t>
  </si>
  <si>
    <t>TOCANCIPÁ</t>
  </si>
  <si>
    <t>UBAQUE</t>
  </si>
  <si>
    <t>VIANÍ</t>
  </si>
  <si>
    <t>VILLETA</t>
  </si>
  <si>
    <t>ZIPAQUIRÁ</t>
  </si>
  <si>
    <t>3212692205</t>
  </si>
  <si>
    <t>GIGANTE</t>
  </si>
  <si>
    <t>PALMIRA</t>
  </si>
  <si>
    <t>CÚCUTA</t>
  </si>
  <si>
    <t>-73.359</t>
  </si>
  <si>
    <t>5.529</t>
  </si>
  <si>
    <t>-73.368</t>
  </si>
  <si>
    <t>LÍBANO</t>
  </si>
  <si>
    <t>EL CERRITO</t>
  </si>
  <si>
    <t>DOSQUEBRADAS</t>
  </si>
  <si>
    <t>CIMITARRA</t>
  </si>
  <si>
    <t>3178878473</t>
  </si>
  <si>
    <t>6.1790439</t>
  </si>
  <si>
    <t>3004153169</t>
  </si>
  <si>
    <t>ARCABUCO</t>
  </si>
  <si>
    <t>SAN LUIS DE SINCÉ</t>
  </si>
  <si>
    <t>SINCÉ</t>
  </si>
  <si>
    <t>SANTIAGO DE TOLÚ</t>
  </si>
  <si>
    <t>TOLÚ VIEJO</t>
  </si>
  <si>
    <t>SOGAMOSO</t>
  </si>
  <si>
    <t>3114845759</t>
  </si>
  <si>
    <t>-72.933</t>
  </si>
  <si>
    <t>-72.938</t>
  </si>
  <si>
    <t>5.725</t>
  </si>
  <si>
    <t>-72.940</t>
  </si>
  <si>
    <t>-72.9293</t>
  </si>
  <si>
    <t>5.717</t>
  </si>
  <si>
    <t>CHINCHINÁ</t>
  </si>
  <si>
    <t>BELALCÁZAR</t>
  </si>
  <si>
    <t>LOS PATIOS</t>
  </si>
  <si>
    <t>CALARCÁ</t>
  </si>
  <si>
    <t>BELLO</t>
  </si>
  <si>
    <t>3117312577</t>
  </si>
  <si>
    <t>CORINTO</t>
  </si>
  <si>
    <t>3135451495</t>
  </si>
  <si>
    <t>SAN ANDRÉS DE SOTAVENTO</t>
  </si>
  <si>
    <t>SAN ANTERO</t>
  </si>
  <si>
    <t>SAN ANTONIO DEL TEQUENDAMA</t>
  </si>
  <si>
    <t>TENA</t>
  </si>
  <si>
    <t>ALGECIRAS</t>
  </si>
  <si>
    <t>2.389230</t>
  </si>
  <si>
    <t>-75.545958</t>
  </si>
  <si>
    <t>SAMANIEGO</t>
  </si>
  <si>
    <t>CHINÁCOTA</t>
  </si>
  <si>
    <t>GUÁTICA</t>
  </si>
  <si>
    <t>SANTA ROSA DE CABAL</t>
  </si>
  <si>
    <t>7465100</t>
  </si>
  <si>
    <t>BARICHARA</t>
  </si>
  <si>
    <t>BARRANCABERMEJA</t>
  </si>
  <si>
    <t>GIRÓN</t>
  </si>
  <si>
    <t>PIEDECUESTA</t>
  </si>
  <si>
    <t>JAMUNDÍ</t>
  </si>
  <si>
    <t>ITAGÜÍ</t>
  </si>
  <si>
    <t>PUERTO RICO</t>
  </si>
  <si>
    <t>SAN JOSÉ DEL FRAGUA</t>
  </si>
  <si>
    <t>POPAYÁN</t>
  </si>
  <si>
    <t>COROZAL</t>
  </si>
  <si>
    <t>6837593</t>
  </si>
  <si>
    <t>GALERAS</t>
  </si>
  <si>
    <t>CAICEDONIA</t>
  </si>
  <si>
    <t>FLORIDA</t>
  </si>
  <si>
    <t>GINEBRA</t>
  </si>
  <si>
    <t>CR 55C 51 10,BELLO</t>
  </si>
  <si>
    <t>6.3349392</t>
  </si>
  <si>
    <t>-75.5625377</t>
  </si>
  <si>
    <t>VRD LA CHINA CGT SAN FELIX,VEREDA LA CHINA ,CORREGIMIENTO SAN FÉLIX BELLO ANT</t>
  </si>
  <si>
    <t>6.3992554</t>
  </si>
  <si>
    <t>-75.6150391</t>
  </si>
  <si>
    <t>KM 7 VIA ANTIGUA A GUARNE ,EL PINAR</t>
  </si>
  <si>
    <t>6.3001703</t>
  </si>
  <si>
    <t>-75.5345878</t>
  </si>
  <si>
    <t>3234731942</t>
  </si>
  <si>
    <t>CL 10 43B 22,POBLADO MEDELLIN</t>
  </si>
  <si>
    <t>6.2109401</t>
  </si>
  <si>
    <t>-75.5713804</t>
  </si>
  <si>
    <t>3005304792</t>
  </si>
  <si>
    <t>CL 52 20 C 26,CAICEDO</t>
  </si>
  <si>
    <t>6.2404735</t>
  </si>
  <si>
    <t>-75.5450131</t>
  </si>
  <si>
    <t>3225690611</t>
  </si>
  <si>
    <t>CL 78B 69 240 LC 19,ROBLEDO</t>
  </si>
  <si>
    <t>6.2769201</t>
  </si>
  <si>
    <t>-75.5796903</t>
  </si>
  <si>
    <t>3103406407</t>
  </si>
  <si>
    <t xml:space="preserve"> CL 4 7 03</t>
  </si>
  <si>
    <t>5.5018876</t>
  </si>
  <si>
    <t>-73.3348425</t>
  </si>
  <si>
    <t>SORACÁ</t>
  </si>
  <si>
    <t>3002659903</t>
  </si>
  <si>
    <t>CL 14 12 52,CENTRO</t>
  </si>
  <si>
    <t>8.8885035</t>
  </si>
  <si>
    <t>-75.7902537</t>
  </si>
  <si>
    <t>3227606722</t>
  </si>
  <si>
    <t>CR 3 21 24 LC 2 BRR EL CABRERO</t>
  </si>
  <si>
    <t>4.7133989</t>
  </si>
  <si>
    <t>-74.2186155</t>
  </si>
  <si>
    <t>3206245902</t>
  </si>
  <si>
    <t>CL 42 ESTE 43-24</t>
  </si>
  <si>
    <t>4.5742338</t>
  </si>
  <si>
    <t>-74.177683</t>
  </si>
  <si>
    <t>3105693310</t>
  </si>
  <si>
    <t>TV 4D 5 30 SUR CA 84,QUINTAS DE LA LAGUNA</t>
  </si>
  <si>
    <t>4.5726348</t>
  </si>
  <si>
    <t>-74.2276658</t>
  </si>
  <si>
    <t>3118731616</t>
  </si>
  <si>
    <t>CR 5 ESTE 24 61,RICAURTE</t>
  </si>
  <si>
    <t>4.5781325</t>
  </si>
  <si>
    <t>-74.2077067</t>
  </si>
  <si>
    <t>3229345503</t>
  </si>
  <si>
    <t xml:space="preserve"> CL 19 51 09 LC 2</t>
  </si>
  <si>
    <t>2.94098365</t>
  </si>
  <si>
    <t>-75.24880249</t>
  </si>
  <si>
    <t>3112327008</t>
  </si>
  <si>
    <t>MERCANEIVA LC 0493 ,ZONA INDUSTRIAL</t>
  </si>
  <si>
    <t>2.8943430</t>
  </si>
  <si>
    <t>-75.2825581</t>
  </si>
  <si>
    <t>3165196655</t>
  </si>
  <si>
    <t>CR 5 23 74,SEVILLA</t>
  </si>
  <si>
    <t>2.9388053</t>
  </si>
  <si>
    <t>-75.2931677</t>
  </si>
  <si>
    <t>3155433406</t>
  </si>
  <si>
    <t>CR 7 12 43 LOCAL 6B ED LA CONCORDIA,CENTRO</t>
  </si>
  <si>
    <t>2.9315696</t>
  </si>
  <si>
    <t>-75.2881664</t>
  </si>
  <si>
    <t>3133654035</t>
  </si>
  <si>
    <t>CR 20 16 A 22 SUR,TIMANCON III ESTAPA</t>
  </si>
  <si>
    <t>2.9119142</t>
  </si>
  <si>
    <t>-75.2764960</t>
  </si>
  <si>
    <t>3024037068</t>
  </si>
  <si>
    <t>CL 52 1 W 06,CHICALA</t>
  </si>
  <si>
    <t>2.9569138</t>
  </si>
  <si>
    <t>-75.2972824</t>
  </si>
  <si>
    <t>3213601613</t>
  </si>
  <si>
    <t>MZ B LT 3 URB LAS TERRAZAS VRD BUENA ESPERANZA ,VRD BUENA ESPERANZA</t>
  </si>
  <si>
    <t>8.1618690</t>
  </si>
  <si>
    <t>-72.4609938</t>
  </si>
  <si>
    <t>3138962577</t>
  </si>
  <si>
    <t>KDX 217 1,VDA AGUA CLARA</t>
  </si>
  <si>
    <t>8.2377626</t>
  </si>
  <si>
    <t>-72.4266507</t>
  </si>
  <si>
    <t>3112733886</t>
  </si>
  <si>
    <t>AV 3 19 97 LC 2,SAN LUIS</t>
  </si>
  <si>
    <t>7.8868475</t>
  </si>
  <si>
    <t>-72.4845113</t>
  </si>
  <si>
    <t>3116787288</t>
  </si>
  <si>
    <t>AV 1 CL 3 LC 5,TRIGAL DEL NORTE</t>
  </si>
  <si>
    <t>7.9449659</t>
  </si>
  <si>
    <t>-72.5033777</t>
  </si>
  <si>
    <t>3218167957</t>
  </si>
  <si>
    <t>MZ 12 CA 4 BRR SANTIAGO LONDOÑO ,SANTIAGO LONDOÑO</t>
  </si>
  <si>
    <t>4.8115416</t>
  </si>
  <si>
    <t>-75.6633846</t>
  </si>
  <si>
    <t>3024135494</t>
  </si>
  <si>
    <t>KR 11 13 - 70,CENTRO</t>
  </si>
  <si>
    <t>4.8670405</t>
  </si>
  <si>
    <t>-75.6185710</t>
  </si>
  <si>
    <t>3104751949</t>
  </si>
  <si>
    <t>CR 14 15 17 ,CENTRO</t>
  </si>
  <si>
    <t>4.8674479</t>
  </si>
  <si>
    <t>-75.6214866</t>
  </si>
  <si>
    <t>3016106410</t>
  </si>
  <si>
    <t xml:space="preserve"> AV 11 E 7 B  09</t>
  </si>
  <si>
    <t>7.907083</t>
  </si>
  <si>
    <t>-72.492138</t>
  </si>
  <si>
    <t>CERRITO</t>
  </si>
  <si>
    <t>BARRIO CENTRO CARCASI</t>
  </si>
  <si>
    <t>CAPITANEJO</t>
  </si>
  <si>
    <t>BARRIO VEREDA BOSIGAS SOTAQUIRÁ</t>
  </si>
  <si>
    <t>1 AL 3O DE DICIEMBRE 2025</t>
  </si>
  <si>
    <t>BARRIO CALATRAVA ITAGUI</t>
  </si>
  <si>
    <t>3762974</t>
  </si>
  <si>
    <t>3147834317</t>
  </si>
  <si>
    <t>3209825116</t>
  </si>
  <si>
    <t xml:space="preserve"> CR 59A  57-04 CALATRAVA</t>
  </si>
  <si>
    <t>6.1796942</t>
  </si>
  <si>
    <t>-75.6092411</t>
  </si>
  <si>
    <t>2025-12-04</t>
  </si>
  <si>
    <t>BARRIO PLAZA MAYORISTA ITAGUI  1</t>
  </si>
  <si>
    <t>3116351859</t>
  </si>
  <si>
    <t>3117912430</t>
  </si>
  <si>
    <t>3192876016</t>
  </si>
  <si>
    <t>CL 85 48 1 BL 8 LC 16,CENTRAL MAYORISTA DE ANTIOQUIA</t>
  </si>
  <si>
    <t>6.1891746</t>
  </si>
  <si>
    <t>-75.5914119</t>
  </si>
  <si>
    <t>2025-12-01</t>
  </si>
  <si>
    <t>BARRIO SAN JOSE ITAGUI  2</t>
  </si>
  <si>
    <t>3136046087</t>
  </si>
  <si>
    <t>3104251385</t>
  </si>
  <si>
    <t>CL 36 A 38 30,SAN JOSE</t>
  </si>
  <si>
    <t>6.1660099</t>
  </si>
  <si>
    <t>-75.6135985</t>
  </si>
  <si>
    <t>BARRIO ITAGUI ITAGUI 28</t>
  </si>
  <si>
    <t>3117713940</t>
  </si>
  <si>
    <t>3208484493</t>
  </si>
  <si>
    <t>CR 50 85 153 LC 1,ITAGUI</t>
  </si>
  <si>
    <t>6.191957</t>
  </si>
  <si>
    <t xml:space="preserve"> -75.590091</t>
  </si>
  <si>
    <t>BARRIO ITAGUI SANTA MARIA ITAGUI 1</t>
  </si>
  <si>
    <t>3192107219</t>
  </si>
  <si>
    <t>CALLE 31 50 C 37,ITAGÜÍ SANTAMARÍA</t>
  </si>
  <si>
    <t>6.1636230</t>
  </si>
  <si>
    <t>-75.6242027</t>
  </si>
  <si>
    <t>SAMARIA ITAGUI ANTIOQUIA</t>
  </si>
  <si>
    <t>2776243</t>
  </si>
  <si>
    <t>3136143749</t>
  </si>
  <si>
    <t>CALLE 34 A 54 A 64,SAMARIA</t>
  </si>
  <si>
    <t>6.1679867</t>
  </si>
  <si>
    <t>-75.6245184</t>
  </si>
  <si>
    <t>2025-12-03</t>
  </si>
  <si>
    <t>BARRIO ITAGUI ITAGUI 4</t>
  </si>
  <si>
    <t>4445499</t>
  </si>
  <si>
    <t>3108442514</t>
  </si>
  <si>
    <t>3103741199</t>
  </si>
  <si>
    <t>CL 72  42 - 33 LC 101 CE Capri Centro BRR La Esmeralda</t>
  </si>
  <si>
    <t>-75.5930340</t>
  </si>
  <si>
    <t>BARRIO ITAGUI ITAGUI 8</t>
  </si>
  <si>
    <t>3720051</t>
  </si>
  <si>
    <t>3002919589</t>
  </si>
  <si>
    <t>CL 49 48 52,ITAGUI</t>
  </si>
  <si>
    <t>6.1704157</t>
  </si>
  <si>
    <t>-75.6100435</t>
  </si>
  <si>
    <t>BARRIO SANTA MARIA MEDELLIN</t>
  </si>
  <si>
    <t>3195730489</t>
  </si>
  <si>
    <t>CR 52 D 68 16,SANTA MARÍA</t>
  </si>
  <si>
    <t>6.1828006</t>
  </si>
  <si>
    <t>-75.6000425</t>
  </si>
  <si>
    <t>BARRIO SAMARIA ITAGUI 2</t>
  </si>
  <si>
    <t>3227815</t>
  </si>
  <si>
    <t>3218122144</t>
  </si>
  <si>
    <t>3217806471</t>
  </si>
  <si>
    <t xml:space="preserve"> CL 75 A A SUR 52 G 36</t>
  </si>
  <si>
    <t>6.1633840</t>
  </si>
  <si>
    <t>-75.6351319</t>
  </si>
  <si>
    <t>BARRIO ASTURIAS ITAGUI</t>
  </si>
  <si>
    <t>6125923</t>
  </si>
  <si>
    <t>3116266883</t>
  </si>
  <si>
    <t xml:space="preserve"> CL 47 48 13 ASTURIAS</t>
  </si>
  <si>
    <t>6.16951777</t>
  </si>
  <si>
    <t>-75.6110402</t>
  </si>
  <si>
    <t>BARRIO PARQUE ITAGUI 5</t>
  </si>
  <si>
    <t>2819792</t>
  </si>
  <si>
    <t>3015133808</t>
  </si>
  <si>
    <t xml:space="preserve"> CR 50 50 66 LC 124</t>
  </si>
  <si>
    <t>6.1719033</t>
  </si>
  <si>
    <t>-75.6090500</t>
  </si>
  <si>
    <t>BARRIO CENTRO ITAGUI 2</t>
  </si>
  <si>
    <t>4483995</t>
  </si>
  <si>
    <t>3117973595</t>
  </si>
  <si>
    <t xml:space="preserve"> CL 50 48 07</t>
  </si>
  <si>
    <t>6.17042333</t>
  </si>
  <si>
    <t>-75.60902</t>
  </si>
  <si>
    <t>BARRIO CALATRAVA V - ITAGÜÍ</t>
  </si>
  <si>
    <t>3726203</t>
  </si>
  <si>
    <t>3223682116</t>
  </si>
  <si>
    <t>3106783282</t>
  </si>
  <si>
    <t xml:space="preserve"> CL 63  58DD-65</t>
  </si>
  <si>
    <t>6.1813630</t>
  </si>
  <si>
    <t>-75.6081392</t>
  </si>
  <si>
    <t>BARRIO PARQUE ITAGUI 2 - ITAGÜÍ</t>
  </si>
  <si>
    <t>2772553</t>
  </si>
  <si>
    <t>3136866742</t>
  </si>
  <si>
    <t xml:space="preserve"> CL 50 50 35 OF 205</t>
  </si>
  <si>
    <t>6.17209933</t>
  </si>
  <si>
    <t>-75.60987801</t>
  </si>
  <si>
    <t>BARRIO SIMON BOLIVAR  3 ITAGUI</t>
  </si>
  <si>
    <t>5962262</t>
  </si>
  <si>
    <t>3002069065</t>
  </si>
  <si>
    <t xml:space="preserve"> CR 45 A  63 32 ITAGUI ITAGUI ANTIOQUIA</t>
  </si>
  <si>
    <t>6.1773678</t>
  </si>
  <si>
    <t>-75.5982140</t>
  </si>
  <si>
    <t>BARRIO SIMON BOLIVAR II ITAGUI</t>
  </si>
  <si>
    <t>5992099</t>
  </si>
  <si>
    <t>3116075486</t>
  </si>
  <si>
    <t xml:space="preserve"> CR 45 A 65 27 SIMON BOLIVAR</t>
  </si>
  <si>
    <t>6.1784909</t>
  </si>
  <si>
    <t>-75.5972578</t>
  </si>
  <si>
    <t>BARRIO SAN PEDRO BARRANQUILLA</t>
  </si>
  <si>
    <t>3168688837</t>
  </si>
  <si>
    <t>CR 6 LC1 # 102 -04</t>
  </si>
  <si>
    <t>10.9489988</t>
  </si>
  <si>
    <t>-74.8329493</t>
  </si>
  <si>
    <t>2025-12-05</t>
  </si>
  <si>
    <t>BARRIO GALAN BARRANQUILLA  6</t>
  </si>
  <si>
    <t>3022835339</t>
  </si>
  <si>
    <t>3015567707</t>
  </si>
  <si>
    <t>CR 2 39 - 50 P1,GALAN</t>
  </si>
  <si>
    <t>10.93495</t>
  </si>
  <si>
    <t>-74.79484</t>
  </si>
  <si>
    <t>BARRIO MERCEDES SUR BARRANQUILLA</t>
  </si>
  <si>
    <t>3027089849</t>
  </si>
  <si>
    <t>3205770977</t>
  </si>
  <si>
    <t>CR 35 C 76 - 101,MERCEDES SUR</t>
  </si>
  <si>
    <t>10.98476</t>
  </si>
  <si>
    <t>-74.81783</t>
  </si>
  <si>
    <t>BARRIO CENTRO BARRANQUILLA  52</t>
  </si>
  <si>
    <t>3002141697</t>
  </si>
  <si>
    <t>3023702967</t>
  </si>
  <si>
    <t>CL 40 41 - 83,CENTRO</t>
  </si>
  <si>
    <t>10.98167</t>
  </si>
  <si>
    <t>-74.78207</t>
  </si>
  <si>
    <t>BARRIO VILLANUEVA BARRANQUILLA 1</t>
  </si>
  <si>
    <t>3157119627</t>
  </si>
  <si>
    <t>3506423188</t>
  </si>
  <si>
    <t>3126652819</t>
  </si>
  <si>
    <t>CR 43 08 - 48,VILLANUEVA</t>
  </si>
  <si>
    <t>10.98165</t>
  </si>
  <si>
    <t>-74.77303</t>
  </si>
  <si>
    <t>BARRIO NUEVA GRANADA BARRANQUILLA 1</t>
  </si>
  <si>
    <t>3237879555</t>
  </si>
  <si>
    <t>CL 68 32 - 7,NUEVA GRANADA</t>
  </si>
  <si>
    <t>10.98102</t>
  </si>
  <si>
    <t>-74.80477</t>
  </si>
  <si>
    <t>BARRIO EVARISTO SOURDIS BARRANQUILLA</t>
  </si>
  <si>
    <t>3018014395</t>
  </si>
  <si>
    <t>3003610821</t>
  </si>
  <si>
    <t>CR 9 G 70 C - 55,EVARISTO SOURDIS</t>
  </si>
  <si>
    <t>10.95937</t>
  </si>
  <si>
    <t>-74.82014</t>
  </si>
  <si>
    <t>BARRIO 7 DE ABRIL BARRANQUILLA 3</t>
  </si>
  <si>
    <t>3245993871</t>
  </si>
  <si>
    <t>3002690327</t>
  </si>
  <si>
    <t>CL 51 B 7 SUR - 44,7 DE ABRIL</t>
  </si>
  <si>
    <t>10.92771</t>
  </si>
  <si>
    <t>-74.81407</t>
  </si>
  <si>
    <t>BARRIO ALTOS DEL PRADO BARRANQUILLA</t>
  </si>
  <si>
    <t>3017292085</t>
  </si>
  <si>
    <t>3245482276</t>
  </si>
  <si>
    <t>CR 53 75-87,ALTOS DEL PRADO</t>
  </si>
  <si>
    <t>11.0017917</t>
  </si>
  <si>
    <t>-74.8053730</t>
  </si>
  <si>
    <t>BARRIO LAS MALVINAS BARRANQUILLA 3</t>
  </si>
  <si>
    <t>3104266711</t>
  </si>
  <si>
    <t>CL 99 C 9 E - 43,LAS MALVINAS</t>
  </si>
  <si>
    <t>10.95687</t>
  </si>
  <si>
    <t>-74.83266</t>
  </si>
  <si>
    <t>BARRIO LAS NIEVES BARRANQUILLA 5</t>
  </si>
  <si>
    <t>3008865988</t>
  </si>
  <si>
    <t>3004205276</t>
  </si>
  <si>
    <t>CL 26 21-27,LAS NIEVES</t>
  </si>
  <si>
    <t>10.95885</t>
  </si>
  <si>
    <t>-74.78160</t>
  </si>
  <si>
    <t>2025-12-02</t>
  </si>
  <si>
    <t>BARRIO CIUDADELA 20 DE JULIO  BARRANQUILLA</t>
  </si>
  <si>
    <t>3013911818</t>
  </si>
  <si>
    <t>3008093515</t>
  </si>
  <si>
    <t>CL 45 D 01 F - 21,CIUDADELA 20 DE JULIO</t>
  </si>
  <si>
    <t>10.93235</t>
  </si>
  <si>
    <t>-74.80072</t>
  </si>
  <si>
    <t>BARRIO LAS NIEVES BARRANQUILLA  6</t>
  </si>
  <si>
    <t>3106669192</t>
  </si>
  <si>
    <t>3106700410</t>
  </si>
  <si>
    <t>CR 11 23-107,LAS NIEVES</t>
  </si>
  <si>
    <t>10.95023</t>
  </si>
  <si>
    <t>-74.77793</t>
  </si>
  <si>
    <t>BARRIO VILLANUEVA BARRANQUILLA</t>
  </si>
  <si>
    <t>3217799635</t>
  </si>
  <si>
    <t>3103795178</t>
  </si>
  <si>
    <t>CL 6 43 27,VILLANUEVA</t>
  </si>
  <si>
    <t>10.9822823</t>
  </si>
  <si>
    <t>-74.7701382</t>
  </si>
  <si>
    <t>BARRIO GALAN BARRANQUILLA 3</t>
  </si>
  <si>
    <t>3167482678</t>
  </si>
  <si>
    <t>CR 4 35 B 67,GALAN</t>
  </si>
  <si>
    <t>10.93878</t>
  </si>
  <si>
    <t>-74.79106</t>
  </si>
  <si>
    <t>BARRIO LA LUZ BARRANQUILLA  4</t>
  </si>
  <si>
    <t>3182432796</t>
  </si>
  <si>
    <t>3157222360</t>
  </si>
  <si>
    <t>CL 17 18 96,LA LUZ</t>
  </si>
  <si>
    <t>10.95725</t>
  </si>
  <si>
    <t>-74.77412</t>
  </si>
  <si>
    <t>BARRIO LA UNION BARRANQUILLA 2</t>
  </si>
  <si>
    <t>3136607428</t>
  </si>
  <si>
    <t>CL 12 12 68,SECTOR EL HOSPITAL</t>
  </si>
  <si>
    <t>5.9741124</t>
  </si>
  <si>
    <t>-75.3642466</t>
  </si>
  <si>
    <t>2025-11-07</t>
  </si>
  <si>
    <t>BARRIO CENTRO BARRANQUILLA 44</t>
  </si>
  <si>
    <t>3163088919</t>
  </si>
  <si>
    <t>VRD QUIRBAQUIRA, SECTOR CASA BLANCA,VEREDA QUIRBAQUIRA</t>
  </si>
  <si>
    <t>5.6912697</t>
  </si>
  <si>
    <t>-73.3675628</t>
  </si>
  <si>
    <t>2025-11-05</t>
  </si>
  <si>
    <t>BARRIO GALAN BARRANQUILLA 2</t>
  </si>
  <si>
    <t>3165362959</t>
  </si>
  <si>
    <t>Carrera 5 # 3 - 31 Centro</t>
  </si>
  <si>
    <t>5.454</t>
  </si>
  <si>
    <t>-73.362</t>
  </si>
  <si>
    <t>2025-11-13</t>
  </si>
  <si>
    <t>BARRIO ZONA FRANCA BARRANQUILLA 1</t>
  </si>
  <si>
    <t>3144233419</t>
  </si>
  <si>
    <t>CR 4 A 3 85,CENTRO</t>
  </si>
  <si>
    <t>5.4538173</t>
  </si>
  <si>
    <t>-73.3630605</t>
  </si>
  <si>
    <t>BARRIO VILLA SAN PEDRO BARRANQUILLA 1</t>
  </si>
  <si>
    <t>3225201619</t>
  </si>
  <si>
    <t>CR 9 A 3 9,BOYACA BAJO</t>
  </si>
  <si>
    <t>5.61052869</t>
  </si>
  <si>
    <t>-73.82480853</t>
  </si>
  <si>
    <t>2025-11-14</t>
  </si>
  <si>
    <t>BARRIO CIUDADELA 20 DE JULIO BARRANQUILLA 10</t>
  </si>
  <si>
    <t>3103830426</t>
  </si>
  <si>
    <t>CL 42 A NR0. 8 -6 BRR LLERAS</t>
  </si>
  <si>
    <t>6.4860518</t>
  </si>
  <si>
    <t>-74.4055606</t>
  </si>
  <si>
    <t>PUERTO BERRÍO</t>
  </si>
  <si>
    <t>2025-11-06</t>
  </si>
  <si>
    <t>BARRIO LA QUINTA CARTAGENA DE INDIAS</t>
  </si>
  <si>
    <t>8330068</t>
  </si>
  <si>
    <t>3016209379</t>
  </si>
  <si>
    <t>VRD LA MARGARITA,LA MARGARITA</t>
  </si>
  <si>
    <t>6.495189</t>
  </si>
  <si>
    <t>-74.474370</t>
  </si>
  <si>
    <t>BARRIO MANGA CARTAGENA INDIAS</t>
  </si>
  <si>
    <t>3137979779</t>
  </si>
  <si>
    <t>CR 3 57 97</t>
  </si>
  <si>
    <t>6.4928787</t>
  </si>
  <si>
    <t>-74.399246</t>
  </si>
  <si>
    <t>NOBSA - BOYACA</t>
  </si>
  <si>
    <t>3136557113</t>
  </si>
  <si>
    <t>CALLE 50 7 20 BRR CENTRO,CENTRO</t>
  </si>
  <si>
    <t>6.4896454</t>
  </si>
  <si>
    <t>-74.4034766</t>
  </si>
  <si>
    <t>BARRIO JERONIMO HOLGUIN NOBSA</t>
  </si>
  <si>
    <t>3229306882</t>
  </si>
  <si>
    <t>VRA MINAS DEL VAPOR - VDA MINAS DEL VAPOR ,VRA MINAS DEL VAPOR</t>
  </si>
  <si>
    <t>6.4564882</t>
  </si>
  <si>
    <t>-74.6306562</t>
  </si>
  <si>
    <t>2025-11-10</t>
  </si>
  <si>
    <t>BARRIO CENTRO NOBSA</t>
  </si>
  <si>
    <t>8821750</t>
  </si>
  <si>
    <t>3103292709</t>
  </si>
  <si>
    <t xml:space="preserve"> CL 54  7-13 LA GRANJA</t>
  </si>
  <si>
    <t>5.56117952</t>
  </si>
  <si>
    <t>-73.34892293</t>
  </si>
  <si>
    <t>2025-11-20</t>
  </si>
  <si>
    <t>BARRIO BUENOS AIRES BARRANQUILLA 1</t>
  </si>
  <si>
    <t>3108181835</t>
  </si>
  <si>
    <t>3143145414</t>
  </si>
  <si>
    <t>CR 8 B 58 05,SANTA RITA</t>
  </si>
  <si>
    <t>5.5653133</t>
  </si>
  <si>
    <t>-73.3478377</t>
  </si>
  <si>
    <t>BARRIO EL ROMANCE BARRANQUILLA</t>
  </si>
  <si>
    <t>3228080370</t>
  </si>
  <si>
    <t>CR 9 20 09,CENTRO</t>
  </si>
  <si>
    <t>5.53291885</t>
  </si>
  <si>
    <t>-73.36089901</t>
  </si>
  <si>
    <t>BARRIO BETANIA BARRANQUILLA 1</t>
  </si>
  <si>
    <t>3102533408</t>
  </si>
  <si>
    <t>3102533400</t>
  </si>
  <si>
    <t>CL 34 B 16 B 16,LA FUENTE</t>
  </si>
  <si>
    <t>5.54800902</t>
  </si>
  <si>
    <t>-73.36447181</t>
  </si>
  <si>
    <t>BARRIO LA MGADALENA BARRANQUILLA</t>
  </si>
  <si>
    <t>6043170362</t>
  </si>
  <si>
    <t>3174070761</t>
  </si>
  <si>
    <t>CL 46 45 20,ITAGÜÍ</t>
  </si>
  <si>
    <t>6.1676270</t>
  </si>
  <si>
    <t>-75.6112657</t>
  </si>
  <si>
    <t>BARRIO CIUDADELA 20 DE JULIO BARRANQUILLA 8</t>
  </si>
  <si>
    <t>3714091</t>
  </si>
  <si>
    <t>3147053945</t>
  </si>
  <si>
    <t xml:space="preserve"> CL 50 41 95</t>
  </si>
  <si>
    <t>6.16614944444</t>
  </si>
  <si>
    <t>-75.60705277</t>
  </si>
  <si>
    <t>BARRIO DELICIAS BARRANQUILLA 2</t>
  </si>
  <si>
    <t>3734111</t>
  </si>
  <si>
    <t>3116219865</t>
  </si>
  <si>
    <t xml:space="preserve"> CL 36 69 D 66</t>
  </si>
  <si>
    <t>6.1745154</t>
  </si>
  <si>
    <t>-75.6341963</t>
  </si>
  <si>
    <t>BARRIO CENTRO BARRANQUILLA 6</t>
  </si>
  <si>
    <t>2815772</t>
  </si>
  <si>
    <t>3004564538</t>
  </si>
  <si>
    <t>3229709071</t>
  </si>
  <si>
    <t>CL 76 45 A 23</t>
  </si>
  <si>
    <t>6.1831241</t>
  </si>
  <si>
    <t>-75.5921676</t>
  </si>
  <si>
    <t>BARRIO LAS GAVIOSTAS CARTAGENA DE INDIAS</t>
  </si>
  <si>
    <t>3115984971</t>
  </si>
  <si>
    <t xml:space="preserve"> CL PRINCIPAL DE SAN ANTONIO DE GETUCHA</t>
  </si>
  <si>
    <t>1.0999342</t>
  </si>
  <si>
    <t>-75.4022001</t>
  </si>
  <si>
    <t>MILÁN</t>
  </si>
  <si>
    <t>2025-11-21</t>
  </si>
  <si>
    <t>BARRIO TERMINAL DE TRANSPORTE CARTAGENA 1</t>
  </si>
  <si>
    <t>3124344457</t>
  </si>
  <si>
    <t xml:space="preserve"> CL PRINCIPAL IPM SAN ANTONIO DE GETUCHA SAN ANTONIO GETUCHA</t>
  </si>
  <si>
    <t>1.098474166</t>
  </si>
  <si>
    <t>-75.40140972</t>
  </si>
  <si>
    <t>BARRIO CIUDADELA INDIA CATALINA CARTAGENA DE INDIAS 2</t>
  </si>
  <si>
    <t>3212068788</t>
  </si>
  <si>
    <t>CL PRINCIPAL MANZANA 9,CENTRO</t>
  </si>
  <si>
    <t>1.0999974</t>
  </si>
  <si>
    <t>-75.4022003</t>
  </si>
  <si>
    <t>BARRIO NUEVO BOSQUE CARTAGENA DE INDIAS 7</t>
  </si>
  <si>
    <t>3234014949</t>
  </si>
  <si>
    <t>3106240241</t>
  </si>
  <si>
    <t xml:space="preserve"> PLAZA PRINCIPAL DEL PROGRESO 17 35 ,brrEL PROGRESO</t>
  </si>
  <si>
    <t>9.019334</t>
  </si>
  <si>
    <t>-76.261506</t>
  </si>
  <si>
    <t>2025-11-28</t>
  </si>
  <si>
    <t>BARRIO LAS AMERICAS BARRANQUILLA</t>
  </si>
  <si>
    <t>3186385</t>
  </si>
  <si>
    <t>3116827824</t>
  </si>
  <si>
    <t xml:space="preserve"> CL 1 1 119</t>
  </si>
  <si>
    <t>9.1838259</t>
  </si>
  <si>
    <t>-75.5481295</t>
  </si>
  <si>
    <t>TUCHÍN</t>
  </si>
  <si>
    <t>BARRIO BARRANQUILLITA 2 BARRANQUILLA</t>
  </si>
  <si>
    <t>7856529</t>
  </si>
  <si>
    <t>3004483217</t>
  </si>
  <si>
    <t>CL 13 CR  13 A  85 BARRIO CENTRAL</t>
  </si>
  <si>
    <t>9.1868027</t>
  </si>
  <si>
    <t>-75.5545002</t>
  </si>
  <si>
    <t>BARRIO CEIBA BARRANQUILLA</t>
  </si>
  <si>
    <t>3017479723</t>
  </si>
  <si>
    <t>3145144465</t>
  </si>
  <si>
    <t>CL 15 12-34 FRENTE AL PARQUE,EL CENTRO</t>
  </si>
  <si>
    <t>9.18719</t>
  </si>
  <si>
    <t>-75.55416</t>
  </si>
  <si>
    <t>BARRIO LAS MORAS BARRANQUILLA</t>
  </si>
  <si>
    <t>3004573086</t>
  </si>
  <si>
    <t>CL 14 15 C 33,SAN PEDRO</t>
  </si>
  <si>
    <t>9.1872295</t>
  </si>
  <si>
    <t>-75.5560865</t>
  </si>
  <si>
    <t>BARRIO BETANIA LOS PATIOS</t>
  </si>
  <si>
    <t>3138796610</t>
  </si>
  <si>
    <t>CL 13 13 4,TUCHIN</t>
  </si>
  <si>
    <t>9.187192</t>
  </si>
  <si>
    <t>-75.553131</t>
  </si>
  <si>
    <t>BARRIO ONCE DE NOVIEMBRE LOS PATIOS 2</t>
  </si>
  <si>
    <t>3005145872</t>
  </si>
  <si>
    <t>CL 12 16 D 153,OTRO</t>
  </si>
  <si>
    <t>9.185053</t>
  </si>
  <si>
    <t>-75.558262</t>
  </si>
  <si>
    <t>BARRIO TIERRA LINDA LOS PATIOS 6</t>
  </si>
  <si>
    <t>3133684189</t>
  </si>
  <si>
    <t>TV 8 12 35,SANTA HELENA</t>
  </si>
  <si>
    <t>4.7366952</t>
  </si>
  <si>
    <t>-74.3446350</t>
  </si>
  <si>
    <t>BARRIO BOSQUE CARTAGENA DE INDIAS 3</t>
  </si>
  <si>
    <t>3168652745</t>
  </si>
  <si>
    <t>CR 10 D 9 79 ,SANTA ELENA BOJACA</t>
  </si>
  <si>
    <t>4.7372958</t>
  </si>
  <si>
    <t>-74.3442711</t>
  </si>
  <si>
    <t>BARRIO TERNERA CARTAGENA DE INDIAS 1</t>
  </si>
  <si>
    <t>3228490249</t>
  </si>
  <si>
    <t>CL 7 5 58</t>
  </si>
  <si>
    <t>4.7328166</t>
  </si>
  <si>
    <t>-74.3412807</t>
  </si>
  <si>
    <t>BARRIO TERNERA CARTGENA DE INDIAS</t>
  </si>
  <si>
    <t>3143402603</t>
  </si>
  <si>
    <t>CL 17 14 58,CENTRO</t>
  </si>
  <si>
    <t>4.740918</t>
  </si>
  <si>
    <t>-74.344396</t>
  </si>
  <si>
    <t>BARRIO CENTRO GALAPA  5</t>
  </si>
  <si>
    <t>8840153</t>
  </si>
  <si>
    <t>3102002969</t>
  </si>
  <si>
    <t>AUT NORTE KM 23 VDA YERBABUENA ESTACIÓN DE SERVICIO ESSO</t>
  </si>
  <si>
    <t>4.869898</t>
  </si>
  <si>
    <t>-74.022365</t>
  </si>
  <si>
    <t>2025-11-11</t>
  </si>
  <si>
    <t>BARRIO VEREDA BUITREROS CUITIVA</t>
  </si>
  <si>
    <t>3114483703</t>
  </si>
  <si>
    <t>CR 13 17 103,LA PRIMAVERA</t>
  </si>
  <si>
    <t>4.8675661</t>
  </si>
  <si>
    <t>-74.0595819</t>
  </si>
  <si>
    <t>2025-11-04</t>
  </si>
  <si>
    <t>BARRIO LA CORDIALIDAD LOS PATIOS 9</t>
  </si>
  <si>
    <t>3227018594</t>
  </si>
  <si>
    <t>CR 3 31 36 CA 42,NUEVO MILENIO</t>
  </si>
  <si>
    <t>4.8782894</t>
  </si>
  <si>
    <t>-74.0452671</t>
  </si>
  <si>
    <t xml:space="preserve">KILOMETRO 8 LOS PATIOS </t>
  </si>
  <si>
    <t>3203536252</t>
  </si>
  <si>
    <t>AV CHILACOS CR 9 21 - 56,CHILACOS</t>
  </si>
  <si>
    <t>4.8683050</t>
  </si>
  <si>
    <t>-74.0539150</t>
  </si>
  <si>
    <t>BARRIO ONCE DE NOVIEMBRE LOS PATIOS 7</t>
  </si>
  <si>
    <t>3107760065</t>
  </si>
  <si>
    <t>KM 24 VIA CHIA -CAJICA.MARGARITAS EDS TEXACO</t>
  </si>
  <si>
    <t>4.8831373</t>
  </si>
  <si>
    <t>-74.0376439</t>
  </si>
  <si>
    <t>BARRIO CARACOLES CARTAGENA DE INDIAS</t>
  </si>
  <si>
    <t>5139474</t>
  </si>
  <si>
    <t>3146302114</t>
  </si>
  <si>
    <t xml:space="preserve"> CL 7 CR 1 ESQ</t>
  </si>
  <si>
    <t>1.9226472</t>
  </si>
  <si>
    <t>-74.6913869</t>
  </si>
  <si>
    <t>2025-11-24</t>
  </si>
  <si>
    <t>BARRIO URB PALMA DE SALAMANCA SEC 2 CARTAGENA DE INDIAS</t>
  </si>
  <si>
    <t>3203069</t>
  </si>
  <si>
    <t>3203069606</t>
  </si>
  <si>
    <t xml:space="preserve"> VRD CRISTALINA DEL LOZADA</t>
  </si>
  <si>
    <t>2.1132197</t>
  </si>
  <si>
    <t>-74.7692183</t>
  </si>
  <si>
    <t>BARRIO CAMPESTRE CARTAGENA DE INDIAS</t>
  </si>
  <si>
    <t>3133287624</t>
  </si>
  <si>
    <t xml:space="preserve"> CASERIO LA NOVIA,CASERIO LA NOVIA</t>
  </si>
  <si>
    <t>2.1037246</t>
  </si>
  <si>
    <t>-74.7691966</t>
  </si>
  <si>
    <t>2025-11-25</t>
  </si>
  <si>
    <t>BARRIO CEBALLOS CARTAGENA DE INDIAS</t>
  </si>
  <si>
    <t>3213717225</t>
  </si>
  <si>
    <t>3219968637</t>
  </si>
  <si>
    <t>MZ N LT2,EL TRIUNFO</t>
  </si>
  <si>
    <t>2.1209107</t>
  </si>
  <si>
    <t>-74.7563908</t>
  </si>
  <si>
    <t>BARRIO TIERRA LINDA LOS PATIOS 2</t>
  </si>
  <si>
    <t>3236853994</t>
  </si>
  <si>
    <t>3226853994</t>
  </si>
  <si>
    <t>CR 7 5 74 LOCAL 27 INTERNO ,GALERIA MUNICIPAL</t>
  </si>
  <si>
    <t>2.1128627</t>
  </si>
  <si>
    <t>-74.7719252</t>
  </si>
  <si>
    <t>BARRIO PATIO CENTRO LOS PATIOS 1</t>
  </si>
  <si>
    <t>3209387427</t>
  </si>
  <si>
    <t>INSPECCION LOS POZOS</t>
  </si>
  <si>
    <t>2.1231124</t>
  </si>
  <si>
    <t>-74.5564811</t>
  </si>
  <si>
    <t xml:space="preserve">BARRIO URB PENSILVANIA LOS PATIOS </t>
  </si>
  <si>
    <t>3005153568</t>
  </si>
  <si>
    <t>CL 1 6 24,HERNANDEZ</t>
  </si>
  <si>
    <t>2.1107534</t>
  </si>
  <si>
    <t>-74.7690186</t>
  </si>
  <si>
    <t>BARRIO TASAJERO LOS PATIOS</t>
  </si>
  <si>
    <t>3229147898</t>
  </si>
  <si>
    <t>3202020891</t>
  </si>
  <si>
    <t>CR 9 13 SUR,JARDIN</t>
  </si>
  <si>
    <t>2.107108</t>
  </si>
  <si>
    <t>-74.769386</t>
  </si>
  <si>
    <t>BARRIO DOCE DE OCTUBRE LOS PATIOS</t>
  </si>
  <si>
    <t>3015583086</t>
  </si>
  <si>
    <t>CL 6 2 BIS 03 - LA CONSOLATA</t>
  </si>
  <si>
    <t>2.1165792</t>
  </si>
  <si>
    <t>-74.7694033</t>
  </si>
  <si>
    <t>2025-11-12</t>
  </si>
  <si>
    <t>BARRIO CANAPOTE CARTAGENA DE INDIAS</t>
  </si>
  <si>
    <t>3103212591</t>
  </si>
  <si>
    <t>CL 5 N 4 ESQ,CENTRO</t>
  </si>
  <si>
    <t>2.1142235</t>
  </si>
  <si>
    <t>-74.7691074</t>
  </si>
  <si>
    <t>BARRIO BAZURTO CARTAGENA</t>
  </si>
  <si>
    <t>3202977658</t>
  </si>
  <si>
    <t>INSP CAMPO HERMOSO,CL PRINCIPAL</t>
  </si>
  <si>
    <t>1.9201377</t>
  </si>
  <si>
    <t>-74.6890496</t>
  </si>
  <si>
    <t>BARRIO BOSQUE 4 CARTAGENA DE INDIAS</t>
  </si>
  <si>
    <t>3114405136</t>
  </si>
  <si>
    <t>CR 7 2 31 33,PUERTO REDONDO</t>
  </si>
  <si>
    <t>2.1105243</t>
  </si>
  <si>
    <t>-74.7699071</t>
  </si>
  <si>
    <t>BARRIO CHILE</t>
  </si>
  <si>
    <t>3202403945</t>
  </si>
  <si>
    <t xml:space="preserve"> INSP GUAYABAL,GUAYABAL</t>
  </si>
  <si>
    <t>2.699445</t>
  </si>
  <si>
    <t>-74.882292</t>
  </si>
  <si>
    <t>BARRIO MANGA CARTAGENA DE INDIAS</t>
  </si>
  <si>
    <t>3106395383</t>
  </si>
  <si>
    <t>CR 6 6 A 04,SANTA ISABEL</t>
  </si>
  <si>
    <t>2.114671</t>
  </si>
  <si>
    <t>-74.772639</t>
  </si>
  <si>
    <t>BARRIO BELLAVISTA - CARTAGENA DE INDIAS</t>
  </si>
  <si>
    <t>3125121138</t>
  </si>
  <si>
    <t>MZ R LT24,URBANIZACIÓN PRIMAVERA</t>
  </si>
  <si>
    <t>2.1287219</t>
  </si>
  <si>
    <t>-74.7593143</t>
  </si>
  <si>
    <t>BARRIO VEREDA EL PIÑAL VIOTA</t>
  </si>
  <si>
    <t>3132955039</t>
  </si>
  <si>
    <t>VRD SAN JUAN DEL LOZADA ,VRD</t>
  </si>
  <si>
    <t>2.242813</t>
  </si>
  <si>
    <t> -74.451859</t>
  </si>
  <si>
    <t>BARRIO VIOTA VIOTA</t>
  </si>
  <si>
    <t>3232268146</t>
  </si>
  <si>
    <t>3214670774</t>
  </si>
  <si>
    <t>CAS VILLA LOBOS</t>
  </si>
  <si>
    <t>1.633825</t>
  </si>
  <si>
    <t>-74.561671</t>
  </si>
  <si>
    <t>CENTRO VIOTÁ</t>
  </si>
  <si>
    <t>3143705547</t>
  </si>
  <si>
    <t>3104158944</t>
  </si>
  <si>
    <t>INSP CAMPO HERMOSO</t>
  </si>
  <si>
    <t>1.55150</t>
  </si>
  <si>
    <t>-74.41270</t>
  </si>
  <si>
    <t>BARRIO PARCELA ZIPAQUIRA</t>
  </si>
  <si>
    <t>3134637535</t>
  </si>
  <si>
    <t>TV 1 67 03 MZ 19 ,LOS MUISCAS</t>
  </si>
  <si>
    <t>5.5702437</t>
  </si>
  <si>
    <t>-73.3395212</t>
  </si>
  <si>
    <t xml:space="preserve">BARRIO ZIPAQUIRA ZIPAQUIRA </t>
  </si>
  <si>
    <t>3164071085</t>
  </si>
  <si>
    <t>3208356593</t>
  </si>
  <si>
    <t>CR 1 A 18 20 MZ 2 CASA 2,PISO 1</t>
  </si>
  <si>
    <t>-73.350</t>
  </si>
  <si>
    <t>BARRIO LAS PEÑITAS TUNJA</t>
  </si>
  <si>
    <t>3015123142</t>
  </si>
  <si>
    <t>CR 10 17 97</t>
  </si>
  <si>
    <t>5.5310387</t>
  </si>
  <si>
    <t>-73.3625633</t>
  </si>
  <si>
    <t>BARRIO SAN FERNANDO DOSQUEBRADAS</t>
  </si>
  <si>
    <t>CR 4 8 05</t>
  </si>
  <si>
    <t>5.520</t>
  </si>
  <si>
    <t>BARRIO TEJARES DE LA LOMA 1</t>
  </si>
  <si>
    <t>7456261</t>
  </si>
  <si>
    <t>cr 14 N 26-124</t>
  </si>
  <si>
    <t>5.540</t>
  </si>
  <si>
    <t>BARRIO LOS MOLINOS DOSQUEBRADAS</t>
  </si>
  <si>
    <t>7474112</t>
  </si>
  <si>
    <t>3005188531</t>
  </si>
  <si>
    <t xml:space="preserve"> CR 2 ESTE 22 140</t>
  </si>
  <si>
    <t>5.53512828</t>
  </si>
  <si>
    <t>-73.35123733</t>
  </si>
  <si>
    <t>BARRIO BALAIKA DOSQUEBRADAS</t>
  </si>
  <si>
    <t>3024080</t>
  </si>
  <si>
    <t>3137169135</t>
  </si>
  <si>
    <t xml:space="preserve"> CL 40 1 A 71 ESTE LC 6</t>
  </si>
  <si>
    <t>5.5448403</t>
  </si>
  <si>
    <t>-73.3497055</t>
  </si>
  <si>
    <t>BARRIO LA CAPILLA DOSQUEBRADAS</t>
  </si>
  <si>
    <t>3222739405</t>
  </si>
  <si>
    <t xml:space="preserve"> CR 7 5 31</t>
  </si>
  <si>
    <t>6.3264781</t>
  </si>
  <si>
    <t>-72.5761156</t>
  </si>
  <si>
    <t>BOAVITA</t>
  </si>
  <si>
    <t>BARRIO OTUN DOSQUEBRADAS 1</t>
  </si>
  <si>
    <t>3125364630</t>
  </si>
  <si>
    <t>CR 7  5 -78</t>
  </si>
  <si>
    <t>6.3307733</t>
  </si>
  <si>
    <t>-72.5861296</t>
  </si>
  <si>
    <t>BARRIO LA ROMELIA DOSQUEBRADAS 1</t>
  </si>
  <si>
    <t>3213348499</t>
  </si>
  <si>
    <t>3112111435</t>
  </si>
  <si>
    <t>CL 4 NO.7-52,CENTRO</t>
  </si>
  <si>
    <t>6.3292475</t>
  </si>
  <si>
    <t>-72.5850955</t>
  </si>
  <si>
    <t>BARRIO SAN MIGUEL CENTRO - COROZAL</t>
  </si>
  <si>
    <t>3224813573</t>
  </si>
  <si>
    <t>CL 5 7-16 BARRIO CENTRO</t>
  </si>
  <si>
    <t>6.3301919</t>
  </si>
  <si>
    <t>-72.5854562</t>
  </si>
  <si>
    <t>BARRIO PATIÑO AMARILES DOSQUEBRADAS</t>
  </si>
  <si>
    <t>3205974172</t>
  </si>
  <si>
    <t>3203029086</t>
  </si>
  <si>
    <t>CR 7 NO.3-19,CENTRO</t>
  </si>
  <si>
    <t>6.3291962</t>
  </si>
  <si>
    <t>-72.5843093</t>
  </si>
  <si>
    <t>BARRIO GUADULAES DOSQUEBRADAS 1</t>
  </si>
  <si>
    <t>3002031425</t>
  </si>
  <si>
    <t>CR 63 22 15,GAMBOTICO</t>
  </si>
  <si>
    <t>9.71024411</t>
  </si>
  <si>
    <t>-75.11204086</t>
  </si>
  <si>
    <t>EL CARMEN DE BOLÍVAR</t>
  </si>
  <si>
    <t>BARRIO EL RECREO SAN FELIX DOSQUEBRADAS</t>
  </si>
  <si>
    <t>3107455213</t>
  </si>
  <si>
    <t>3003566584</t>
  </si>
  <si>
    <t>CL 14 CRA 6 5 58</t>
  </si>
  <si>
    <t>9.303362500000</t>
  </si>
  <si>
    <t>-74.568268333</t>
  </si>
  <si>
    <t>TALAIGUA NUEVO</t>
  </si>
  <si>
    <t>BARRIO NUEVO SOTOMAYOR II BUCARAMANGA</t>
  </si>
  <si>
    <t>3215222471</t>
  </si>
  <si>
    <t>3205557908</t>
  </si>
  <si>
    <t>CL 4 9 - 20 CORREGIMIENTO TALAIGUA VIEJO ,</t>
  </si>
  <si>
    <t>9.3120083</t>
  </si>
  <si>
    <t>-74.5856652</t>
  </si>
  <si>
    <t>BARRIO CENTRO JENESANO 4</t>
  </si>
  <si>
    <t>3002842027</t>
  </si>
  <si>
    <t>CR 8B 13A 29 BODEGA,10 DE ABRIL</t>
  </si>
  <si>
    <t>9.3029488</t>
  </si>
  <si>
    <t>-74.5680969</t>
  </si>
  <si>
    <t>BARRIO CENTRO JENESANO 2</t>
  </si>
  <si>
    <t>3114061596</t>
  </si>
  <si>
    <t>CL 14 CR 4 72 AP 3,CENTRO</t>
  </si>
  <si>
    <t>9.3040567</t>
  </si>
  <si>
    <t>-74.5659567</t>
  </si>
  <si>
    <t>BARRIO RETIRO DE LOS INDIOS CERETE</t>
  </si>
  <si>
    <t>7794180</t>
  </si>
  <si>
    <t>3102182360</t>
  </si>
  <si>
    <t>CR  8 N  7 32</t>
  </si>
  <si>
    <t>5.5189662</t>
  </si>
  <si>
    <t>-72.8839042</t>
  </si>
  <si>
    <t>AQUITANIA</t>
  </si>
  <si>
    <t>BARRIO EL SOCORRO CERETE 3</t>
  </si>
  <si>
    <t>3112541406</t>
  </si>
  <si>
    <t>3112671055</t>
  </si>
  <si>
    <t>CR 9 4-40,CENTRO</t>
  </si>
  <si>
    <t>-72.885</t>
  </si>
  <si>
    <t>BARRIO CORREGIMIENTO RABOLARGO CERETE</t>
  </si>
  <si>
    <t>3123296739</t>
  </si>
  <si>
    <t>3227359738</t>
  </si>
  <si>
    <t>CR 6 NO.5-19,CENTRO</t>
  </si>
  <si>
    <t>5.5165637</t>
  </si>
  <si>
    <t>-72.8833425</t>
  </si>
  <si>
    <t>BARRIO CENTRO TAUSA</t>
  </si>
  <si>
    <t>3208351906</t>
  </si>
  <si>
    <t>CL 7  6  76</t>
  </si>
  <si>
    <t>5.9561861</t>
  </si>
  <si>
    <t>-72.94860</t>
  </si>
  <si>
    <t>CERINZA</t>
  </si>
  <si>
    <t>BARRIO FRANCISCO DE PAULA EL ZULIA 1</t>
  </si>
  <si>
    <t>3138071572</t>
  </si>
  <si>
    <t>3103410945</t>
  </si>
  <si>
    <t>CL 6 NO.8-26,CENTRO</t>
  </si>
  <si>
    <t>5.95765</t>
  </si>
  <si>
    <t>-72.949538</t>
  </si>
  <si>
    <t>BARRIO BUCARAMANGA BUCARAMANGA  19</t>
  </si>
  <si>
    <t>8572017</t>
  </si>
  <si>
    <t>3138696817</t>
  </si>
  <si>
    <t xml:space="preserve"> CL 5  2-15</t>
  </si>
  <si>
    <t>5.16855</t>
  </si>
  <si>
    <t>-73.3689</t>
  </si>
  <si>
    <t>CHINAVITA</t>
  </si>
  <si>
    <t>BARRIO VIA BUCARAMANGA - GIRON BUCARAMANGA</t>
  </si>
  <si>
    <t>3107777743</t>
  </si>
  <si>
    <t>CR 2 7 65,</t>
  </si>
  <si>
    <t>5.170108</t>
  </si>
  <si>
    <t>-73.368461</t>
  </si>
  <si>
    <t>BARRIO LOMITAS VILLA DEL ROSARIO</t>
  </si>
  <si>
    <t>3124829251</t>
  </si>
  <si>
    <t>CR 2 7 26,CENTRO</t>
  </si>
  <si>
    <t>5.169</t>
  </si>
  <si>
    <t>BARRIO BUCARAMANGA BUCARAMANGA 14</t>
  </si>
  <si>
    <t>3232325412</t>
  </si>
  <si>
    <t>CL 19 4 B 03,BUENOS AIRES</t>
  </si>
  <si>
    <t>1.6212743</t>
  </si>
  <si>
    <t>-75.6075378</t>
  </si>
  <si>
    <t>BARRIO SAN FRANCISCO BUCARAMANGA 15</t>
  </si>
  <si>
    <t>3118117076</t>
  </si>
  <si>
    <t>3175100511</t>
  </si>
  <si>
    <t>DG 15 N° 8A - 10 BARRIO LA ESTRELLA</t>
  </si>
  <si>
    <t>1.6136563</t>
  </si>
  <si>
    <t>-75.6071793</t>
  </si>
  <si>
    <t>BARRIO BUCARAMANGA BUCARAMANGA 17</t>
  </si>
  <si>
    <t>3103096813</t>
  </si>
  <si>
    <t>D 27 N 24 L 4 SENDEROS BARU,SENDEROS DE BARUC</t>
  </si>
  <si>
    <t>1.6172231</t>
  </si>
  <si>
    <t>-75.6367607</t>
  </si>
  <si>
    <t>BARRIO MUTIS BUCARAMANGA 5</t>
  </si>
  <si>
    <t>3102266408</t>
  </si>
  <si>
    <t>CL 33 9 A 21 ,LA PAZ</t>
  </si>
  <si>
    <t>1.6351362</t>
  </si>
  <si>
    <t>-75.6147338</t>
  </si>
  <si>
    <t>2025-11-18</t>
  </si>
  <si>
    <t>BUCARAMANGA CHPRRERA DE DON JUAN</t>
  </si>
  <si>
    <t>3115485300</t>
  </si>
  <si>
    <t>CR 11 9 46,COOPERATIVA</t>
  </si>
  <si>
    <t>1.6112332</t>
  </si>
  <si>
    <t>-75.6100526</t>
  </si>
  <si>
    <t>BUCARAMANGA CAMPOHERMOSO</t>
  </si>
  <si>
    <t>3214602485</t>
  </si>
  <si>
    <t>CR 9 16 51,CENTRO</t>
  </si>
  <si>
    <t>1.6175254</t>
  </si>
  <si>
    <t>-75.6117203</t>
  </si>
  <si>
    <t>BARRIO VILLA DEL ROSARIO LOMITAS</t>
  </si>
  <si>
    <t>3223730837</t>
  </si>
  <si>
    <t>CL 22 3 54 58,ALPES</t>
  </si>
  <si>
    <t>1.624631</t>
  </si>
  <si>
    <t>-75.605879</t>
  </si>
  <si>
    <t>2025-11-19</t>
  </si>
  <si>
    <t>BARRIO LOMITAS DEL TRAPICHE VILLA DEL ROSARIO</t>
  </si>
  <si>
    <t>3218952913</t>
  </si>
  <si>
    <t>CA 228 ASENTAMIENTO LA ILUSIÓN</t>
  </si>
  <si>
    <t>1.6241950</t>
  </si>
  <si>
    <t>-75.6396509</t>
  </si>
  <si>
    <t>BARRIO SAN MARTIN VILLA DEL ROSARIO  2</t>
  </si>
  <si>
    <t>3213306242</t>
  </si>
  <si>
    <t>CR 13 B 10 23,EL GUAMAL</t>
  </si>
  <si>
    <t>1.608255</t>
  </si>
  <si>
    <t>-75.613705</t>
  </si>
  <si>
    <t>BARRIO SANTANDER VILLA DEL ROSARIO  3</t>
  </si>
  <si>
    <t>3202808239</t>
  </si>
  <si>
    <t>LT7 B,LAS PALMERAS ALTAS</t>
  </si>
  <si>
    <t>1.6205765</t>
  </si>
  <si>
    <t>-75.5907987</t>
  </si>
  <si>
    <t>BARRIO BELLAVISTA VILLA DEL ROSARIO  1</t>
  </si>
  <si>
    <t>3228444701</t>
  </si>
  <si>
    <t>CL 3D # 5 D 29 SEC 4 BRR LAS MALVINAS</t>
  </si>
  <si>
    <t>1.615849</t>
  </si>
  <si>
    <t>-75.608504</t>
  </si>
  <si>
    <t>BARRIO CENTRO VILLA DEL ROSARIO 4</t>
  </si>
  <si>
    <t>3232289742</t>
  </si>
  <si>
    <t>LOTE 70,GIRASOLES</t>
  </si>
  <si>
    <t>1.612902</t>
  </si>
  <si>
    <t>-75.595634</t>
  </si>
  <si>
    <t>BARRIO EL PARAMO VILLA DEL ROSARIO</t>
  </si>
  <si>
    <t>3124856810</t>
  </si>
  <si>
    <t>3123198054</t>
  </si>
  <si>
    <t>CL 3E 5D-37 LA ESPERANZA</t>
  </si>
  <si>
    <t>1.22999999</t>
  </si>
  <si>
    <t>-75.60207999</t>
  </si>
  <si>
    <t>BARRIO EL DINDAL CAPARRAPI</t>
  </si>
  <si>
    <t>3107577365</t>
  </si>
  <si>
    <t>CL 31 # 0 57 LC 1 BOJACA</t>
  </si>
  <si>
    <t>4.8763439</t>
  </si>
  <si>
    <t>-74.040245</t>
  </si>
  <si>
    <t>BARRIO CENTRO CAPARRAPI 1</t>
  </si>
  <si>
    <t>3045751001</t>
  </si>
  <si>
    <t>CL 7 3 23 ESTE.SAMARIA</t>
  </si>
  <si>
    <t>4.8522669</t>
  </si>
  <si>
    <t>-74.0478528</t>
  </si>
  <si>
    <t>BARRIO CENTRO CAPARRAPI 2</t>
  </si>
  <si>
    <t>3002013189</t>
  </si>
  <si>
    <t>3202361411</t>
  </si>
  <si>
    <t>CR 9 # 14 85,CENTRO</t>
  </si>
  <si>
    <t>4.863076</t>
  </si>
  <si>
    <t>-74.058300</t>
  </si>
  <si>
    <t>BARRIO CENTRO PUERTO SALGAR 2</t>
  </si>
  <si>
    <t>3174978834</t>
  </si>
  <si>
    <t>3015692749</t>
  </si>
  <si>
    <t>3203798443</t>
  </si>
  <si>
    <t>VRD CANAVITA CON RESERVA DE ALEJANDRIA LC 03,VRD CANAVITA CON RESERVA DE ALEJANDRIA</t>
  </si>
  <si>
    <t>4.9374157</t>
  </si>
  <si>
    <t>-73.9394722</t>
  </si>
  <si>
    <t>BARRIO LA CONSOLATA  PUERTO SALGAR</t>
  </si>
  <si>
    <t>3183891096</t>
  </si>
  <si>
    <t>3229426741</t>
  </si>
  <si>
    <t>3173796853</t>
  </si>
  <si>
    <t>VRD CANAVITA,VRD CANAVITA</t>
  </si>
  <si>
    <t>4.9474567</t>
  </si>
  <si>
    <t>-73.9225083</t>
  </si>
  <si>
    <t>BARRIO VILLAS DEL NOGAL BUCARAMANGA</t>
  </si>
  <si>
    <t>3142469719</t>
  </si>
  <si>
    <t>CL 13 4A 26,CENTRO</t>
  </si>
  <si>
    <t>4.9662848</t>
  </si>
  <si>
    <t>-73.9113859</t>
  </si>
  <si>
    <t>BARRIO BOLIVAR BUCARAMANGA 3</t>
  </si>
  <si>
    <t>3214288857</t>
  </si>
  <si>
    <t>CR 4 3 -31</t>
  </si>
  <si>
    <t>4.4833941</t>
  </si>
  <si>
    <t>-73.9345744</t>
  </si>
  <si>
    <t>BARRIO CENTRO BUCARAMANGA 14</t>
  </si>
  <si>
    <t>3112528114</t>
  </si>
  <si>
    <t>CL 4 1 03,CENTRO</t>
  </si>
  <si>
    <t>4.4828145</t>
  </si>
  <si>
    <t>-73.9361886</t>
  </si>
  <si>
    <t>BARRIO PALMAS DEL NIZA BUCARAMANGA</t>
  </si>
  <si>
    <t>3208429573</t>
  </si>
  <si>
    <t>CARRERA 3 NUMERO 7-08</t>
  </si>
  <si>
    <t>4.8769416</t>
  </si>
  <si>
    <t>-74.5603568</t>
  </si>
  <si>
    <t>BARRIO SAN LUIS BUCARAMANGA</t>
  </si>
  <si>
    <t>3208437193</t>
  </si>
  <si>
    <t>CR 3 5 41</t>
  </si>
  <si>
    <t>4.8757069</t>
  </si>
  <si>
    <t>-74.5611166</t>
  </si>
  <si>
    <t>BARRIO SANTA BARBARA 1 BUCARAMANGA</t>
  </si>
  <si>
    <t>3143824869</t>
  </si>
  <si>
    <t>CL 4 5 28 LC 3,PANAMERICANA VIANI</t>
  </si>
  <si>
    <t>4.8748284</t>
  </si>
  <si>
    <t>-74.5625023</t>
  </si>
  <si>
    <t>BARRIO BUCARAMANGA BUCARAMANGA 6</t>
  </si>
  <si>
    <t>7773031</t>
  </si>
  <si>
    <t>3114067254</t>
  </si>
  <si>
    <t xml:space="preserve"> CR 19 CL 12-33 CENTRO</t>
  </si>
  <si>
    <t>8.25888229</t>
  </si>
  <si>
    <t>-76.14872212</t>
  </si>
  <si>
    <t>VALENCIA</t>
  </si>
  <si>
    <t>BARRIO RICAUTE BUCARAMANGA 2</t>
  </si>
  <si>
    <t>3145440534</t>
  </si>
  <si>
    <t>3192886343</t>
  </si>
  <si>
    <t xml:space="preserve"> CORREGIMIENTO VILLANUEVA,</t>
  </si>
  <si>
    <t>8.34507254</t>
  </si>
  <si>
    <t>-76.12289252</t>
  </si>
  <si>
    <t>BARRIO SANTANDER VILLA DEL ROSARIO 1</t>
  </si>
  <si>
    <t>8461095</t>
  </si>
  <si>
    <t>3105869440</t>
  </si>
  <si>
    <t xml:space="preserve"> CL 3  4 57 CHAGUANI CHAGUANI CUNDINAMARCA</t>
  </si>
  <si>
    <t>4.9495907</t>
  </si>
  <si>
    <t>-74.5944964</t>
  </si>
  <si>
    <t>CHAGUANÍ</t>
  </si>
  <si>
    <t>BARRIO GRAMALOTE VILLA DEL ROSARIO 1</t>
  </si>
  <si>
    <t>3105650580</t>
  </si>
  <si>
    <t>CL 3 3 09 ,LA AMISTAD</t>
  </si>
  <si>
    <t>4.9493354</t>
  </si>
  <si>
    <t>-74.5942554</t>
  </si>
  <si>
    <t>BARRIO LA PARADA VILLA DEL ROSARIO 5</t>
  </si>
  <si>
    <t>8561351</t>
  </si>
  <si>
    <t>3112376710</t>
  </si>
  <si>
    <t xml:space="preserve"> CR 5 4 14</t>
  </si>
  <si>
    <t>5.14454542</t>
  </si>
  <si>
    <t>-73.68647787</t>
  </si>
  <si>
    <t>CHOCONTÁ</t>
  </si>
  <si>
    <t>BARRO EL PARAMO VILLA DEL ROSARIO</t>
  </si>
  <si>
    <t>3192503478</t>
  </si>
  <si>
    <t>3223647955</t>
  </si>
  <si>
    <t>CR 5 10 A 03.CENTRO</t>
  </si>
  <si>
    <t>5.148501</t>
  </si>
  <si>
    <t>-73.6808035</t>
  </si>
  <si>
    <t>BARRIO 45078 BUCARAMANGA</t>
  </si>
  <si>
    <t>3118553100</t>
  </si>
  <si>
    <t>CL 11 4 68,CENTRO</t>
  </si>
  <si>
    <t>5.1487497</t>
  </si>
  <si>
    <t>-73.6795422</t>
  </si>
  <si>
    <t>BARRIO PROVENZA BUCARAMANGA 3</t>
  </si>
  <si>
    <t>3115009689</t>
  </si>
  <si>
    <t>3112563195</t>
  </si>
  <si>
    <t>CR 8 9 26,CHOCONTA</t>
  </si>
  <si>
    <t>5.1484457</t>
  </si>
  <si>
    <t>-73.6835387</t>
  </si>
  <si>
    <t>BARRIO CABECERA BUCARAMANGA 5</t>
  </si>
  <si>
    <t>8474368</t>
  </si>
  <si>
    <t>3108136113</t>
  </si>
  <si>
    <t xml:space="preserve"> CR 3 2 28 INSP EL TRIUNFO</t>
  </si>
  <si>
    <t>4.584195</t>
  </si>
  <si>
    <t>-74.445236</t>
  </si>
  <si>
    <t>2025-11-26</t>
  </si>
  <si>
    <t>BARRIO SAN FRANCISCO BUCARAMANGA 1</t>
  </si>
  <si>
    <t>3126789004</t>
  </si>
  <si>
    <t>3154776673</t>
  </si>
  <si>
    <t>3118689304</t>
  </si>
  <si>
    <t>CR 4 4 16 BRR LA CASTELLANA,CENTRO</t>
  </si>
  <si>
    <t>4.5798445</t>
  </si>
  <si>
    <t>-74.4436852</t>
  </si>
  <si>
    <t>BARRIO RICAURTE BUCARAMANGA 2</t>
  </si>
  <si>
    <t>3165308556</t>
  </si>
  <si>
    <t>3124029771</t>
  </si>
  <si>
    <t>CLL 6 NO 7 - 07</t>
  </si>
  <si>
    <t>4.5813145</t>
  </si>
  <si>
    <t>-74.4449089</t>
  </si>
  <si>
    <t>2025-11-27</t>
  </si>
  <si>
    <t>BARRIO CENTRO 3 BUCARAMANGA</t>
  </si>
  <si>
    <t>3212864922</t>
  </si>
  <si>
    <t>CL 9 5 05,CENTRO</t>
  </si>
  <si>
    <t>4.5840762</t>
  </si>
  <si>
    <t>-74.4444054</t>
  </si>
  <si>
    <t xml:space="preserve">BARRIO EL ROCIO BUCARAMANGA   </t>
  </si>
  <si>
    <t>3042040639</t>
  </si>
  <si>
    <t>3132518654</t>
  </si>
  <si>
    <t>KM23 VIA MESITAS DEL COLEGIO.VDR SANTIBAR BAJO</t>
  </si>
  <si>
    <t>4.597725</t>
  </si>
  <si>
    <t>-74.376642</t>
  </si>
  <si>
    <t>BARRIO  CENTRO 28  BUCARAMANGA</t>
  </si>
  <si>
    <t>8475537</t>
  </si>
  <si>
    <t>CR 7 8 41 B. CENTRO,EL COLEGIO</t>
  </si>
  <si>
    <t>4.5836394</t>
  </si>
  <si>
    <t>-74.4454575</t>
  </si>
  <si>
    <t>BARRIO ALARCON 2  BUCARAMANGA</t>
  </si>
  <si>
    <t>8421423</t>
  </si>
  <si>
    <t xml:space="preserve"> CL 21 ESTE1 A 28 SUR </t>
  </si>
  <si>
    <t>4.7898418</t>
  </si>
  <si>
    <t>-74.3368494</t>
  </si>
  <si>
    <t xml:space="preserve">BARRIO CENTRO  25 - BUCARAMANGA </t>
  </si>
  <si>
    <t>8422041</t>
  </si>
  <si>
    <t>3134421868</t>
  </si>
  <si>
    <t xml:space="preserve"> CR 2 18 B 18</t>
  </si>
  <si>
    <t>4.8188447</t>
  </si>
  <si>
    <t>-74.3654029</t>
  </si>
  <si>
    <t>BARRIO CENTRO EL CERRITO 3</t>
  </si>
  <si>
    <t>3138024134</t>
  </si>
  <si>
    <t>DG 11 13 C 33 P 1,REMANSO EL CACIQUE</t>
  </si>
  <si>
    <t>4.8216555</t>
  </si>
  <si>
    <t>-74.3502272</t>
  </si>
  <si>
    <t>BARRIO CENTRO VILLAVICENCIO 27</t>
  </si>
  <si>
    <t>3123175390</t>
  </si>
  <si>
    <t>CR 2 SUR 7 B 13,VILLA NUEVA FACATATIVÁ</t>
  </si>
  <si>
    <t>4.8094679</t>
  </si>
  <si>
    <t>-74.3577277</t>
  </si>
  <si>
    <t>BARRIO CENTRO VILLAVICENCIO  29</t>
  </si>
  <si>
    <t>3144729743</t>
  </si>
  <si>
    <t>3229595590</t>
  </si>
  <si>
    <t>CL 5 5 16 LC 03,CENTRO</t>
  </si>
  <si>
    <t>4.8115224</t>
  </si>
  <si>
    <t>-74.3521033</t>
  </si>
  <si>
    <t>BARRIO SAN FRANCISCO - BUCARAMANGA</t>
  </si>
  <si>
    <t>3123208436</t>
  </si>
  <si>
    <t>3123208336</t>
  </si>
  <si>
    <t>CL 4 4 23 LC 1,CENTRO FACATATIVÁ</t>
  </si>
  <si>
    <t>4.8100744</t>
  </si>
  <si>
    <t>-74.3520042</t>
  </si>
  <si>
    <t>COOPENESSA - GUARIN</t>
  </si>
  <si>
    <t>3112509991</t>
  </si>
  <si>
    <t>CL 5 8 05,ZAMBRANO</t>
  </si>
  <si>
    <t>4.8142583</t>
  </si>
  <si>
    <t>-74.3507269</t>
  </si>
  <si>
    <t xml:space="preserve">MATERIALES EMO - AG BUCARAMANGA </t>
  </si>
  <si>
    <t>3112222352</t>
  </si>
  <si>
    <t>CARRERA 2 SUR NRO. 9-23</t>
  </si>
  <si>
    <t>4.8109557</t>
  </si>
  <si>
    <t>-74.3594697</t>
  </si>
  <si>
    <t>BARRIO RINCON DE LA MARIA VILLAVICENCIO</t>
  </si>
  <si>
    <t>3112332476</t>
  </si>
  <si>
    <t>CR 3 NRO. 5 A 20 ESTE</t>
  </si>
  <si>
    <t>4.8026433</t>
  </si>
  <si>
    <t>-74.3463067</t>
  </si>
  <si>
    <t>3187890172</t>
  </si>
  <si>
    <t>3162522612</t>
  </si>
  <si>
    <t>CL 15  16-45 TULIPANES</t>
  </si>
  <si>
    <t>4.8248560</t>
  </si>
  <si>
    <t>-74.3569516</t>
  </si>
  <si>
    <t>COELLO - TOLIMA</t>
  </si>
  <si>
    <t>3186179149</t>
  </si>
  <si>
    <t>3107859065</t>
  </si>
  <si>
    <t>CL 6 1 C 04 E BRR CHICO 1,CHICO 1</t>
  </si>
  <si>
    <t>4.801920</t>
  </si>
  <si>
    <t>-74.346023</t>
  </si>
  <si>
    <t xml:space="preserve">CENTRO CORREGIMIENTO GUALANDAY </t>
  </si>
  <si>
    <t>3222876504</t>
  </si>
  <si>
    <t>CR 7 4 90 94 100 104,LA ESMERALDA</t>
  </si>
  <si>
    <t>1.8283377</t>
  </si>
  <si>
    <t>-75.2183809</t>
  </si>
  <si>
    <t>BARRIO CENTRO CHOCONTA CHOCONTA</t>
  </si>
  <si>
    <t>3177245449</t>
  </si>
  <si>
    <t>CL 6 N 8 ELBA PUERTO RICO,LAS DAMAS</t>
  </si>
  <si>
    <t>1.9106517</t>
  </si>
  <si>
    <t>-75.1563030</t>
  </si>
  <si>
    <t>BARRIO VERACRUZ CHOCONTA CHOCONTA</t>
  </si>
  <si>
    <t>3232247505</t>
  </si>
  <si>
    <t>CR 9 N 6 69,LAS DAMAS</t>
  </si>
  <si>
    <t>1.9114537</t>
  </si>
  <si>
    <t>-75.1569372</t>
  </si>
  <si>
    <t>BARRIO CENTRO CHOCONTA CHOCONTA 1</t>
  </si>
  <si>
    <t>3118058</t>
  </si>
  <si>
    <t>3118058347</t>
  </si>
  <si>
    <t xml:space="preserve"> CR 5 5 52  CENTRO</t>
  </si>
  <si>
    <t>1.3315099</t>
  </si>
  <si>
    <t>-75.9741548</t>
  </si>
  <si>
    <t>BARRIO CENTRO - CHOCONTA CHOCONTA</t>
  </si>
  <si>
    <t>3223169563</t>
  </si>
  <si>
    <t>BARRIO SUMAWASY SAN JOSE,SUMAWASY</t>
  </si>
  <si>
    <t>1.3241595</t>
  </si>
  <si>
    <t>-75.9742797</t>
  </si>
  <si>
    <t>BARRIO ESPERANZA 4 ETAPA VILLAVICENCIO</t>
  </si>
  <si>
    <t>3202364275</t>
  </si>
  <si>
    <t>SIN CENTRO YURAYACO,CENTRO</t>
  </si>
  <si>
    <t>1.2261902</t>
  </si>
  <si>
    <t>-76.0925412</t>
  </si>
  <si>
    <t>VILLA GORGONA III</t>
  </si>
  <si>
    <t>3143709289</t>
  </si>
  <si>
    <t>SIN CENTRO ZABALETA,CALLE PRINCIPAL</t>
  </si>
  <si>
    <t>1.1339221</t>
  </si>
  <si>
    <t>-76.1753842</t>
  </si>
  <si>
    <t>BARRIO MANZANARES SECTOR 13  CANDELARIA</t>
  </si>
  <si>
    <t>3168701295</t>
  </si>
  <si>
    <t>CR 5 # 4 BIS 19 BRR CEN</t>
  </si>
  <si>
    <t>1.3309811</t>
  </si>
  <si>
    <t>-75.9744567</t>
  </si>
  <si>
    <t>BARRIO ARMANDO VASQUEZ CANDELARIA</t>
  </si>
  <si>
    <t>3144778635</t>
  </si>
  <si>
    <t>3132109397</t>
  </si>
  <si>
    <t>CL 6 # 5-60 PUEBLO NUEVO</t>
  </si>
  <si>
    <t>1.332193</t>
  </si>
  <si>
    <t>-75.974696</t>
  </si>
  <si>
    <t>BARRIO CENTRO CHOCONTÁ</t>
  </si>
  <si>
    <t>CL 4 7 07,VIANI</t>
  </si>
  <si>
    <t>4.8743609</t>
  </si>
  <si>
    <t>-74.5636124</t>
  </si>
  <si>
    <t>BARRIO CENTRO CHOCONTÁ 1</t>
  </si>
  <si>
    <t>8446368</t>
  </si>
  <si>
    <t>3112434093</t>
  </si>
  <si>
    <t>CR 9 N6 -69 BRR MURILLO TORO</t>
  </si>
  <si>
    <t>5.0114617</t>
  </si>
  <si>
    <t>-74.4741403</t>
  </si>
  <si>
    <t>BARRIO CIUDADELA SAN ANTONIO VILLAVICENCIO 3</t>
  </si>
  <si>
    <t>3132629676</t>
  </si>
  <si>
    <t>CR 7 4 02 CENTRO,CENTRO</t>
  </si>
  <si>
    <t>5.0105532</t>
  </si>
  <si>
    <t>-74.4710755</t>
  </si>
  <si>
    <t>BARRIO ANILLO VIAL LLANO ABASTO VILLAVICENCIO</t>
  </si>
  <si>
    <t>3243963378</t>
  </si>
  <si>
    <t>CASERIO EL PUENTE,CASERIO EL PUENTE</t>
  </si>
  <si>
    <t>4.9914631</t>
  </si>
  <si>
    <t>-74.4891374</t>
  </si>
  <si>
    <t>BARRIO ESTERO VILLAVICENCIO 10</t>
  </si>
  <si>
    <t>3125412273</t>
  </si>
  <si>
    <t>3132845766</t>
  </si>
  <si>
    <t>CL 5 # 11 - 25</t>
  </si>
  <si>
    <t>5.0086050</t>
  </si>
  <si>
    <t>-74.4743432</t>
  </si>
  <si>
    <t>BARRIO BARZAL VILLAVICENCIO 13</t>
  </si>
  <si>
    <t>3123580828</t>
  </si>
  <si>
    <t>CLE. 4 NRO. 6 - 48 _ CENTRO,CENTRO</t>
  </si>
  <si>
    <t>5.0106075</t>
  </si>
  <si>
    <t>-74.4708193</t>
  </si>
  <si>
    <t>BARRIO EL REMANSO MOSQUERA</t>
  </si>
  <si>
    <t>7783311</t>
  </si>
  <si>
    <t>3124322196</t>
  </si>
  <si>
    <t xml:space="preserve"> CL 18  10-24</t>
  </si>
  <si>
    <t>4.4381301</t>
  </si>
  <si>
    <t>-74.5218083</t>
  </si>
  <si>
    <t>VIOTÁ</t>
  </si>
  <si>
    <t>BARRIO ANTONIO VILLAVICENCIO VILLAVICENCIO</t>
  </si>
  <si>
    <t>3107592388</t>
  </si>
  <si>
    <t>CL 17 10 62,CENTRO</t>
  </si>
  <si>
    <t>4.4375914</t>
  </si>
  <si>
    <t>-74.5224341</t>
  </si>
  <si>
    <t>BARRIO CAUDAL VILLAVICENCIO</t>
  </si>
  <si>
    <t>3112253522</t>
  </si>
  <si>
    <t>CR 9 17 A 10,SANTA LILIANA</t>
  </si>
  <si>
    <t>4.4378024</t>
  </si>
  <si>
    <t>-74.5209191</t>
  </si>
  <si>
    <t>BARRIO VILLA YENNY MOSQUERA</t>
  </si>
  <si>
    <t>3015406150</t>
  </si>
  <si>
    <t>CR 10 15 62 BRR CENTRO,CENTRO VIOTA</t>
  </si>
  <si>
    <t>4.4365900</t>
  </si>
  <si>
    <t>-74.5220117</t>
  </si>
  <si>
    <t>BARRIO LOS MARCOAS VILLAVICENCIO</t>
  </si>
  <si>
    <t>3107763297</t>
  </si>
  <si>
    <t>3138464719</t>
  </si>
  <si>
    <t>CR 10 17 12 BRR CENTRO,CENTRO</t>
  </si>
  <si>
    <t>4.4372872</t>
  </si>
  <si>
    <t>-74.5217412</t>
  </si>
  <si>
    <t>BARRIO BALATA VILLAVICENCIO 2</t>
  </si>
  <si>
    <t>3102310636</t>
  </si>
  <si>
    <t>CL 8 37 46 LC 52 CC CATEDRAL PLAZA,LA PAZ</t>
  </si>
  <si>
    <t>5.0281769</t>
  </si>
  <si>
    <t>-73.9810553</t>
  </si>
  <si>
    <t>BARRIO ESPERANZA VILLAVICENCIO 4</t>
  </si>
  <si>
    <t>3163027679</t>
  </si>
  <si>
    <t>CR 5 2-07,GIGANTE HUILA</t>
  </si>
  <si>
    <t>BARRIO VEINTE DE JULIO VILLAVICENCIO</t>
  </si>
  <si>
    <t>3115014709</t>
  </si>
  <si>
    <t>CR 5 3 49,CENTRO</t>
  </si>
  <si>
    <t>2.388058</t>
  </si>
  <si>
    <t>-75.546363</t>
  </si>
  <si>
    <t>BARRIO KIRPAS VILLAVICENCIO 1</t>
  </si>
  <si>
    <t>3133219721</t>
  </si>
  <si>
    <t>FRENTE A LA ESCUELA,TRES ESQUINAS</t>
  </si>
  <si>
    <t>2.3138307</t>
  </si>
  <si>
    <t>-75.5030310</t>
  </si>
  <si>
    <t>VENECIA CUNDINAMARCA</t>
  </si>
  <si>
    <t>3107229020</t>
  </si>
  <si>
    <t>VRD PUEBLO NUEVO,KM 1 VÍA A NEIVA VEREDA PUEBLO NUEVO</t>
  </si>
  <si>
    <t>2.3940632</t>
  </si>
  <si>
    <t>-75.5412641</t>
  </si>
  <si>
    <t>BARRIO CENTRO VENECIA</t>
  </si>
  <si>
    <t>3173327483</t>
  </si>
  <si>
    <t>CR 6 2 72,CENTRO</t>
  </si>
  <si>
    <t>2.3884358</t>
  </si>
  <si>
    <t>-75.5453899</t>
  </si>
  <si>
    <t>BARRIO CORREGIMIENTTO DE APOSENTOS</t>
  </si>
  <si>
    <t>3114809640</t>
  </si>
  <si>
    <t>3143076033</t>
  </si>
  <si>
    <t>CL 5 CON CL 6 NO. 9 67,CENTRO PUERTO LOPEZ</t>
  </si>
  <si>
    <t>4.0846709</t>
  </si>
  <si>
    <t>-72.9583297</t>
  </si>
  <si>
    <t>BARRIO LA UNION SOACHA</t>
  </si>
  <si>
    <t>3208851372</t>
  </si>
  <si>
    <t>3158339665</t>
  </si>
  <si>
    <t>VRD PUEBLO NUEVO PUERTO LOPEZ SOBRE LA VIA PRINCIPAL - ZONA RURAL PUERTO LOPEZ META,PUEBLO NUEVO ZONA RURAL</t>
  </si>
  <si>
    <t>4.3147992</t>
  </si>
  <si>
    <t>-72.3406201</t>
  </si>
  <si>
    <t>BARRIO NOGAL VILLAVICENCIO</t>
  </si>
  <si>
    <t>3222445614</t>
  </si>
  <si>
    <t>3185801324</t>
  </si>
  <si>
    <t>VRD KM 77 VÍA PUERTO GAITÁN VDA GETSEMANÍ - ZONA RURAL PUERTO LOPEZ META,VEREDA GETSEMANÍ</t>
  </si>
  <si>
    <t>4.3151778</t>
  </si>
  <si>
    <t>-72.3372178</t>
  </si>
  <si>
    <t>BARRIO CENTRO VILLAVICENCIO 7</t>
  </si>
  <si>
    <t>3102635407</t>
  </si>
  <si>
    <t>AV 14 10 32 BRR EL VERGEL LC 2</t>
  </si>
  <si>
    <t>4.0993124</t>
  </si>
  <si>
    <t>-72.9546234</t>
  </si>
  <si>
    <t>BARRIO PORVENIR VILLAVICENCIO 3</t>
  </si>
  <si>
    <t>3144095630</t>
  </si>
  <si>
    <t>3112773840</t>
  </si>
  <si>
    <t>KM 77 PUERTO LÓPEZ - PUERTO GAITÁN - PUEBLO NUEVO,VEREDA PUEBLO NUEVO</t>
  </si>
  <si>
    <t>4.3149288</t>
  </si>
  <si>
    <t>-72.3405393</t>
  </si>
  <si>
    <t>BARRIO VRD SAN BERNADRO BAJO LAS MERCEDES SASAIMA</t>
  </si>
  <si>
    <t>3173273335</t>
  </si>
  <si>
    <t>3132696897</t>
  </si>
  <si>
    <t>CR 19 DIAGONAL 6 A NRO. 11 - 15 - LA UNIÓN,LA UNIÓN</t>
  </si>
  <si>
    <t>4.0845814</t>
  </si>
  <si>
    <t>-72.9667222</t>
  </si>
  <si>
    <t>BARRIO CENTRO SASAIMA  3</t>
  </si>
  <si>
    <t>3115979977</t>
  </si>
  <si>
    <t>3229451259</t>
  </si>
  <si>
    <t>CL 6 6 -16 PACHAQUIARO - ZONA RURAL PUERTO LOPEZ META,PACHAQUIARO ZONA RURAL</t>
  </si>
  <si>
    <t>4.056599</t>
  </si>
  <si>
    <t>-73.174503</t>
  </si>
  <si>
    <t>BARRIO MARANATA 1 SOACHA</t>
  </si>
  <si>
    <t>3118090661</t>
  </si>
  <si>
    <t>CL 6 6 55 AL RESPALDO PLAZA DE MERCADO,PACHAQUEARO</t>
  </si>
  <si>
    <t>4.0574224</t>
  </si>
  <si>
    <t>-73.1757279</t>
  </si>
  <si>
    <t>BARRIO HOGARES SOACHA 8</t>
  </si>
  <si>
    <t>3115956879</t>
  </si>
  <si>
    <t xml:space="preserve"> KILÓMETRO 59 VÍA GAITÁN SECTOR EL RODEO,</t>
  </si>
  <si>
    <t>4.232995</t>
  </si>
  <si>
    <t>-72.474842</t>
  </si>
  <si>
    <t>SOACHA LEON XIII 2</t>
  </si>
  <si>
    <t>3202059577</t>
  </si>
  <si>
    <t>VIA PUERTO LÓPEZ - PUERTO GAITÁN KM 78,ZONA RURAL</t>
  </si>
  <si>
    <t>4.3141257</t>
  </si>
  <si>
    <t>-72.3421371</t>
  </si>
  <si>
    <t>SOACHA LEON XIII SECTOR 2</t>
  </si>
  <si>
    <t>3208327840</t>
  </si>
  <si>
    <t>3223309530</t>
  </si>
  <si>
    <t>VDA PUEBLO NUEVO KM 77 VIA PTO GAITÁN</t>
  </si>
  <si>
    <t>4.3136124</t>
  </si>
  <si>
    <t>-72.3434663</t>
  </si>
  <si>
    <t>SAN MATEO SOACHA CUNDINAMARCA 1</t>
  </si>
  <si>
    <t xml:space="preserve"> KM 60 VIA PTO LÓPEZ - PTO GAITÁN VDA EL TORO - ZONA RURAL PUERTO LÓPEZ META,VEREDA EL TORO</t>
  </si>
  <si>
    <t>4.2332942</t>
  </si>
  <si>
    <t>-72.4736514</t>
  </si>
  <si>
    <t>BARRIO ANILLO VIAL VILLAVICENCIO</t>
  </si>
  <si>
    <t>3112716379</t>
  </si>
  <si>
    <t>CL PRINCIPAL LOS PORTALES DEL FRAGUITA</t>
  </si>
  <si>
    <t>1.187301</t>
  </si>
  <si>
    <t>-76.148966</t>
  </si>
  <si>
    <t>BARRIO BALATA VILLAVICENCIO 1</t>
  </si>
  <si>
    <t>3116291078</t>
  </si>
  <si>
    <t>CR 41 2 C 26,LA MARIA OCCIDENTE</t>
  </si>
  <si>
    <t>2.4559750</t>
  </si>
  <si>
    <t>-76.6331444</t>
  </si>
  <si>
    <t>BARRIO ANTONIO VILLAVICENCIO</t>
  </si>
  <si>
    <t>3108860359</t>
  </si>
  <si>
    <t>CL 4 39A 08 BRR MARIA OCCIDENTE,LA MARIA OCCIDENTE</t>
  </si>
  <si>
    <t>2.4543148</t>
  </si>
  <si>
    <t>-76.6327406</t>
  </si>
  <si>
    <t>BARRIO OLÍMPICO VILLAVICENCIO</t>
  </si>
  <si>
    <t>3234799232</t>
  </si>
  <si>
    <t>CL 25 A 12 - 33,NUEVA FRONTERA</t>
  </si>
  <si>
    <t>2.4299875</t>
  </si>
  <si>
    <t>-76.6164323</t>
  </si>
  <si>
    <t>BARRIO ESPERANZA 7</t>
  </si>
  <si>
    <t>3223168746</t>
  </si>
  <si>
    <t>CR 25 A 24 26 BRR LAS ORQUIDEAS,LAS ORQUIDEAS</t>
  </si>
  <si>
    <t>2.4399703</t>
  </si>
  <si>
    <t>-76.6293718</t>
  </si>
  <si>
    <t>BARRIO CENTRO VILLAVICENCIO META 3</t>
  </si>
  <si>
    <t>3103230893</t>
  </si>
  <si>
    <t>3102230893</t>
  </si>
  <si>
    <t>CL 4 22 93 LC 2 - PANDIGUANDO,PANDIGUANDO</t>
  </si>
  <si>
    <t>2.4477344</t>
  </si>
  <si>
    <t>-76.6196028</t>
  </si>
  <si>
    <t>BARRIO REMANSO VILLAVICENCIO 1</t>
  </si>
  <si>
    <t>3206219431</t>
  </si>
  <si>
    <t>VRD ANTOMORENO,VEREDA ANTOMORENO</t>
  </si>
  <si>
    <t>2.4165321</t>
  </si>
  <si>
    <t>-76.6235003</t>
  </si>
  <si>
    <t>BARRIO HACARITAMA 2 VILLAVICENCIO</t>
  </si>
  <si>
    <t>3146363933</t>
  </si>
  <si>
    <t>CR 31 14 - 12 MIRADOR - EL MIRADOR,EL MIRADOR</t>
  </si>
  <si>
    <t>2.4460098</t>
  </si>
  <si>
    <t>-76.6288216</t>
  </si>
  <si>
    <t>BARRIO SOACHA SAN LUIS SOACHA</t>
  </si>
  <si>
    <t>3107209487</t>
  </si>
  <si>
    <t>CR 17 11B - 37 P 2,VERSALLES</t>
  </si>
  <si>
    <t>2.4380156</t>
  </si>
  <si>
    <t>-76.6162277</t>
  </si>
  <si>
    <t>BARRIO SAN MATEO SOACHA 21</t>
  </si>
  <si>
    <t>3135389338</t>
  </si>
  <si>
    <t>CR 33 N 12 78,LA PAZ</t>
  </si>
  <si>
    <t>5.0287086</t>
  </si>
  <si>
    <t>-73.9832910</t>
  </si>
  <si>
    <t>BARRIO EL TREBOL SOACHA SOACHA</t>
  </si>
  <si>
    <t>3144589913</t>
  </si>
  <si>
    <t>KM 7 VIA ZIPAQUIRÁ PACHO VDA SAN ISIDRO,VEREDA SAN ISIDRO</t>
  </si>
  <si>
    <t>5.0328219</t>
  </si>
  <si>
    <t>-74.0380316</t>
  </si>
  <si>
    <t>BARRIO CIUDAD VERDE SOACHA 7</t>
  </si>
  <si>
    <t>3114450543</t>
  </si>
  <si>
    <t>3115511010</t>
  </si>
  <si>
    <t>CRA 36 4 80,LA PAZ</t>
  </si>
  <si>
    <t>5.0220195</t>
  </si>
  <si>
    <t>-73.9834554</t>
  </si>
  <si>
    <t>BARRIO CIUDAD VERDE SOACHA SOACHA</t>
  </si>
  <si>
    <t>8776724</t>
  </si>
  <si>
    <t>3143344131</t>
  </si>
  <si>
    <t>BARRIO QUINTAS DE LAS ACACIAS VILLAVICENCIO</t>
  </si>
  <si>
    <t>BARRIO VILLA MELIDA 2 - VILLAVICENCIO</t>
  </si>
  <si>
    <t>BARRIO BARZAL 10</t>
  </si>
  <si>
    <t>3136446891</t>
  </si>
  <si>
    <t>3117418842</t>
  </si>
  <si>
    <t>CR 6E 4E 47 LA LOMITA,LA LOMITA</t>
  </si>
  <si>
    <t>2.4340523</t>
  </si>
  <si>
    <t>-76.5981063</t>
  </si>
  <si>
    <t>BARRIO COOPERATIVO VILLAVICENCIO</t>
  </si>
  <si>
    <t>3017080459</t>
  </si>
  <si>
    <t>3186062348</t>
  </si>
  <si>
    <t>MANZANA 26 NRO. 26 - 01 BRR TOMAS CIPRIANO DE MOSQUERA PISO 1 LOCAL 1,TOMAS CIPRIANO DE MOSQUERA</t>
  </si>
  <si>
    <t>2.4440166</t>
  </si>
  <si>
    <t>-76.6258624</t>
  </si>
  <si>
    <t>BARRIO GUATIQUIA VILLAVICENCIO</t>
  </si>
  <si>
    <t>3219787547</t>
  </si>
  <si>
    <t>CR 3 9 83 95 LC 102 GAITAN,GAITAN</t>
  </si>
  <si>
    <t>4.2688897</t>
  </si>
  <si>
    <t>-73.5402717</t>
  </si>
  <si>
    <t>BARRIO VILLA ORTIZ VILLAVICENCIO</t>
  </si>
  <si>
    <t>6500562</t>
  </si>
  <si>
    <t>3162976256</t>
  </si>
  <si>
    <t xml:space="preserve"> CR 4  4-22 GOLGOTA</t>
  </si>
  <si>
    <t>1.3510866</t>
  </si>
  <si>
    <t>-77.5236826</t>
  </si>
  <si>
    <t>BARRIO SOACHA SOACHA 12</t>
  </si>
  <si>
    <t>3205159892</t>
  </si>
  <si>
    <t>BRR GOLGOTA CL 3 CA 12 A</t>
  </si>
  <si>
    <t>1.351135</t>
  </si>
  <si>
    <t>-77.523262</t>
  </si>
  <si>
    <t>BARRIO LEON XIII SOACHA 6</t>
  </si>
  <si>
    <t>3102287940</t>
  </si>
  <si>
    <t>3150035671</t>
  </si>
  <si>
    <t>BRR GOLGOTA,BRR GOLGOTA</t>
  </si>
  <si>
    <t>1.3490642</t>
  </si>
  <si>
    <t>-77.5238033</t>
  </si>
  <si>
    <t>BARRIO SOACHA CIUDAD VERDE SOACHA 1</t>
  </si>
  <si>
    <t>3176797045</t>
  </si>
  <si>
    <t>CL 8 N 3-15,EL TRIUNFO</t>
  </si>
  <si>
    <t>7.9312699</t>
  </si>
  <si>
    <t>-72.6024658</t>
  </si>
  <si>
    <t>BARRIO SOACHA LAS VEGAS SOACHA</t>
  </si>
  <si>
    <t>3215892401</t>
  </si>
  <si>
    <t>CA 10 APT 1,FRANCISCO DE PAULA</t>
  </si>
  <si>
    <t>7.9354970</t>
  </si>
  <si>
    <t>-72.6049743</t>
  </si>
  <si>
    <t>BARRIO CENTRO VII- VILLAVICENCIO</t>
  </si>
  <si>
    <t>3186538703</t>
  </si>
  <si>
    <t>3105526522</t>
  </si>
  <si>
    <t>CL 1 NO 9 36,ALFONSO LOPEZ</t>
  </si>
  <si>
    <t>7.9389360</t>
  </si>
  <si>
    <t>-72.6045398</t>
  </si>
  <si>
    <t>BARRIO SANANTONIO - VILLAVICENCIO</t>
  </si>
  <si>
    <t>BARRIO CAMILO TORRES GRANADA 9</t>
  </si>
  <si>
    <t>3168269362</t>
  </si>
  <si>
    <t>3219698695</t>
  </si>
  <si>
    <t>CL 50 22 95,SAN VALENTIN</t>
  </si>
  <si>
    <t>2.9573094</t>
  </si>
  <si>
    <t>-75.2801205</t>
  </si>
  <si>
    <t>BARRIO SAN MATEO SOACHA 3</t>
  </si>
  <si>
    <t>3167206933</t>
  </si>
  <si>
    <t>CR 50 20 07,MISAEL PASTRANA</t>
  </si>
  <si>
    <t>2.9415462</t>
  </si>
  <si>
    <t>-75.2503630</t>
  </si>
  <si>
    <t>BARRIO OLIVOS III SECTOR SOACHA</t>
  </si>
  <si>
    <t>SECTOR PEDREGAL CHACHAGÜÍ</t>
  </si>
  <si>
    <t>CENTRO CHACHAGUI NARIÑO</t>
  </si>
  <si>
    <t>3112714958</t>
  </si>
  <si>
    <t>3142183678</t>
  </si>
  <si>
    <t>CL 6 16 A 17,CALIXTO LEIVA</t>
  </si>
  <si>
    <t>2.9286982</t>
  </si>
  <si>
    <t>-75.2777961</t>
  </si>
  <si>
    <t>BARRIO CEIBA</t>
  </si>
  <si>
    <t>3102634742</t>
  </si>
  <si>
    <t>CL 55 A 2 AW - 45,CANDIDO LEGUIZAMO</t>
  </si>
  <si>
    <t>2.957034</t>
  </si>
  <si>
    <t>-75.298373</t>
  </si>
  <si>
    <t>BARRIO PARQUE BOLIVAR CONTADADERO</t>
  </si>
  <si>
    <t>3175455920</t>
  </si>
  <si>
    <t>3153154693</t>
  </si>
  <si>
    <t>CR 16 41 72 CC SAN JUAN PLAZA LC 219,ALAMOS NORTE</t>
  </si>
  <si>
    <t>2.955654</t>
  </si>
  <si>
    <t>-75.280385</t>
  </si>
  <si>
    <t>BARRIO GUAIMARAL CUCUTA 10</t>
  </si>
  <si>
    <t>3183184409</t>
  </si>
  <si>
    <t>CL 49 C SUR37 170 TORRE 25 APTO 104,PRADOS DEL SAUCE</t>
  </si>
  <si>
    <t>2.8873513</t>
  </si>
  <si>
    <t>-75.2511661</t>
  </si>
  <si>
    <t>BARRIO BOCONO CUCUTA 2</t>
  </si>
  <si>
    <t>3158861236</t>
  </si>
  <si>
    <t>CL 56 B 17 - 71 LOCAL 2,CONDOMINIO RESIDENCIAL AMARANTO CLUB</t>
  </si>
  <si>
    <t>2.9586160</t>
  </si>
  <si>
    <t>-75.2871921</t>
  </si>
  <si>
    <t>BARRIO BELEN CUCUTA 7</t>
  </si>
  <si>
    <t>3132438564</t>
  </si>
  <si>
    <t>CR 17 35 28,GUALANDAY</t>
  </si>
  <si>
    <t>2.192466</t>
  </si>
  <si>
    <t>-75.636559</t>
  </si>
  <si>
    <t>BARRIO PRADOS DEL NORTE CUCUTA 4</t>
  </si>
  <si>
    <t>3108119746</t>
  </si>
  <si>
    <t>3503598349</t>
  </si>
  <si>
    <t>CL 25 6 12 JOSE EUSTACIO RIVERA</t>
  </si>
  <si>
    <t>2.954268</t>
  </si>
  <si>
    <t>-75.283395</t>
  </si>
  <si>
    <t>BARRIO SAN RAFAEL CUCUTA  5</t>
  </si>
  <si>
    <t>3133907871</t>
  </si>
  <si>
    <t>CL 55 4 W 46,CARLOS PIZARRO</t>
  </si>
  <si>
    <t>2.9591988</t>
  </si>
  <si>
    <t>-75.2995807</t>
  </si>
  <si>
    <t>BARRIO PARAMO CUCUTA 3</t>
  </si>
  <si>
    <t>3188601647</t>
  </si>
  <si>
    <t>CL 70 A N 8 C 92,SAN EDUARDO</t>
  </si>
  <si>
    <t>2.4810158</t>
  </si>
  <si>
    <t>-76.5626645</t>
  </si>
  <si>
    <t>BARRIO CENTRO 2 SÁCHICA</t>
  </si>
  <si>
    <t>3116602641</t>
  </si>
  <si>
    <t xml:space="preserve"> CR 9 5. 42 CENTRO</t>
  </si>
  <si>
    <t>2.4417407</t>
  </si>
  <si>
    <t>-76.6087823</t>
  </si>
  <si>
    <t>BARRIO CENTRO SACHICA 1</t>
  </si>
  <si>
    <t>8367549</t>
  </si>
  <si>
    <t>3202199442</t>
  </si>
  <si>
    <t xml:space="preserve"> KM 22 AU MEDELLIN VRD TIERRA GRATA</t>
  </si>
  <si>
    <t>4.8514819</t>
  </si>
  <si>
    <t>-74.2744612</t>
  </si>
  <si>
    <t>EL ROSAL</t>
  </si>
  <si>
    <t xml:space="preserve"> BARRIO VDA TIBAQUIRA   </t>
  </si>
  <si>
    <t>3208333892</t>
  </si>
  <si>
    <t>CLL 11A Nº 6- 33 L C 3</t>
  </si>
  <si>
    <t>4.8543284</t>
  </si>
  <si>
    <t>-74.2615800</t>
  </si>
  <si>
    <t>BARRIO VERDA SALAMANCA SAMACA</t>
  </si>
  <si>
    <t>3128156608</t>
  </si>
  <si>
    <t>3128157608</t>
  </si>
  <si>
    <t>VRD EL ROSARIO ALTO FCA SANTA ELENA</t>
  </si>
  <si>
    <t>4.6678109</t>
  </si>
  <si>
    <t>-74.3850154</t>
  </si>
  <si>
    <t>BARRIO CENTRO SAMACA 6</t>
  </si>
  <si>
    <t>8789381</t>
  </si>
  <si>
    <t>3125454176</t>
  </si>
  <si>
    <t xml:space="preserve"> CL 3  3 28</t>
  </si>
  <si>
    <t>5.1188071</t>
  </si>
  <si>
    <t>-74.3454938</t>
  </si>
  <si>
    <t>VERGARA</t>
  </si>
  <si>
    <t>BARRIO CENTRO TUTA 3</t>
  </si>
  <si>
    <t>3103292137</t>
  </si>
  <si>
    <t>CR 3 # 2 - 08 BRR SAN PEDRO</t>
  </si>
  <si>
    <t>5.1180315</t>
  </si>
  <si>
    <t>-74.3458071</t>
  </si>
  <si>
    <t>BARRIO VEREDA RIO DE PIEDRAS TUTA</t>
  </si>
  <si>
    <t>3107977908</t>
  </si>
  <si>
    <t>CL 2 3 49</t>
  </si>
  <si>
    <t>5.1182565</t>
  </si>
  <si>
    <t>-74.3454319</t>
  </si>
  <si>
    <t>BARRIO SAN LUIS CUCUTA 27</t>
  </si>
  <si>
    <t>3105808496</t>
  </si>
  <si>
    <t>3142441242</t>
  </si>
  <si>
    <t>CRA 6 A NO 1 - 19,SANTO DOMINGO</t>
  </si>
  <si>
    <t>5.1192886</t>
  </si>
  <si>
    <t>-74.3441949</t>
  </si>
  <si>
    <t>SECTOR NOGALES</t>
  </si>
  <si>
    <t>3135629833</t>
  </si>
  <si>
    <t>CLE 2 NO 4 60,CENTRO</t>
  </si>
  <si>
    <t>5.1188781</t>
  </si>
  <si>
    <t>-74.3449129</t>
  </si>
  <si>
    <t>BARRIO LA LIBERTAD CUCUTA 22</t>
  </si>
  <si>
    <t>8389939</t>
  </si>
  <si>
    <t>3212044050</t>
  </si>
  <si>
    <t xml:space="preserve"> CR 4 CL 5 A ESQ</t>
  </si>
  <si>
    <t>3.222475</t>
  </si>
  <si>
    <t>-75.236699</t>
  </si>
  <si>
    <t>AIPE</t>
  </si>
  <si>
    <t>BARRIO CALLEJON CUCUTA 15</t>
  </si>
  <si>
    <t>3118534071</t>
  </si>
  <si>
    <t>3113602786</t>
  </si>
  <si>
    <t>VRD 1 - 1 VEREDA LA UNIÓN,VEREDA LA UNIÓN</t>
  </si>
  <si>
    <t>3.2022377</t>
  </si>
  <si>
    <t>-75.5737359</t>
  </si>
  <si>
    <t>BARRIO SIMÓN BOLÍVAR - SOGAMOSO</t>
  </si>
  <si>
    <t>3208460382</t>
  </si>
  <si>
    <t>CL 4 3 - 79,CENTRO</t>
  </si>
  <si>
    <t>3.221263</t>
  </si>
  <si>
    <t>-75.236610</t>
  </si>
  <si>
    <t>BARRIO UNIVERSITARIO SOGAMOSO 7</t>
  </si>
  <si>
    <t>3132239608</t>
  </si>
  <si>
    <t>CR 6 4 35,CENTRO</t>
  </si>
  <si>
    <t>2.5235913</t>
  </si>
  <si>
    <t>-75.3156105</t>
  </si>
  <si>
    <t>BARRIO EL LAGUITO SOGAMOSO 3</t>
  </si>
  <si>
    <t>3103478200</t>
  </si>
  <si>
    <t>CR 6 6 23,CENTRO</t>
  </si>
  <si>
    <t>2.5242948</t>
  </si>
  <si>
    <t>-75.3147733</t>
  </si>
  <si>
    <t>BARRIO ALFONSO LOPEZ CUCUTA 7</t>
  </si>
  <si>
    <t>3214475512</t>
  </si>
  <si>
    <t>CR 5 2 03,CENTRO</t>
  </si>
  <si>
    <t>2.5230817</t>
  </si>
  <si>
    <t>-75.3182317</t>
  </si>
  <si>
    <t>BARRIO SAN LUIS CUCUTA 28</t>
  </si>
  <si>
    <t>3143242562</t>
  </si>
  <si>
    <t>CL 6 8-08,JUAN XXI</t>
  </si>
  <si>
    <t>2.522318</t>
  </si>
  <si>
    <t>-75.312806</t>
  </si>
  <si>
    <t>SEVILLA CUCUTA 3</t>
  </si>
  <si>
    <t>3123278956</t>
  </si>
  <si>
    <t>CL 2 CR 6 BRR CENTRO INSPECCIÓN PALMERAS</t>
  </si>
  <si>
    <t>3.915995</t>
  </si>
  <si>
    <t>-73.235003</t>
  </si>
  <si>
    <t>BARRIO NUEVO HORIZONTE CUCUTA 3</t>
  </si>
  <si>
    <t>3134766197</t>
  </si>
  <si>
    <t>3108808658</t>
  </si>
  <si>
    <t>CL 2 CRA 4 INSPECCION LA PALMERA - ZONA RURAL SAN CARLOS DE GUAROBA,INSPECCIÓN LA PALMERA</t>
  </si>
  <si>
    <t>3.9163290</t>
  </si>
  <si>
    <t>-73.2358341</t>
  </si>
  <si>
    <t>BARRIO SAN RAFAEL SOGAMOSO</t>
  </si>
  <si>
    <t>3182649776</t>
  </si>
  <si>
    <t>3138142479</t>
  </si>
  <si>
    <t>CR 42 -71 INSPECCIÓN PALMERAS,ZONA RURAL SAN CARLOS DE GUAROBA</t>
  </si>
  <si>
    <t>3.9164386</t>
  </si>
  <si>
    <t>-73.2365986</t>
  </si>
  <si>
    <t>BARRIO EL LAGUITO SOGAMOSO 4</t>
  </si>
  <si>
    <t>3153525206</t>
  </si>
  <si>
    <t>3166607067</t>
  </si>
  <si>
    <t>3168728357</t>
  </si>
  <si>
    <t>VRD INSPECCIÓN SURIMENA - ZONA RURAL SAN CARLOS DE GUAROA,INSPECCIÓN SURIMENA</t>
  </si>
  <si>
    <t>3.859705</t>
  </si>
  <si>
    <t>-73.314787</t>
  </si>
  <si>
    <t>BARRIO GUSTAVO JIMENEZ SOGAMOSO 1</t>
  </si>
  <si>
    <t>3103160028</t>
  </si>
  <si>
    <t>3208340254</t>
  </si>
  <si>
    <t>VRD INSPECCIÓN RINCÓN DE PAJURE - ZONA RURAL SAN CARLOS DE GUAROA,INSPECCIÓN RINCÓN DE PAJURE</t>
  </si>
  <si>
    <t>3.890488</t>
  </si>
  <si>
    <t>-73.125962</t>
  </si>
  <si>
    <t>BARRIO UNIVERSITARIO SOGAMOSO 2</t>
  </si>
  <si>
    <t>3116918181</t>
  </si>
  <si>
    <t>3213035828</t>
  </si>
  <si>
    <t>ESQ PARQUE PRINCIPAL BARRIO PROGRESO,PROGRESO</t>
  </si>
  <si>
    <t>1.472852</t>
  </si>
  <si>
    <t>-77.5798499</t>
  </si>
  <si>
    <t>LA LLANADA</t>
  </si>
  <si>
    <t>BARRIO RAFAEL NUÑEZ CUCUTA 1</t>
  </si>
  <si>
    <t>3154346757</t>
  </si>
  <si>
    <t>3112344143</t>
  </si>
  <si>
    <t>CR 5 6 09 B/SAN FRANCISCO,SAN FRANCISCO</t>
  </si>
  <si>
    <t>1.4786191</t>
  </si>
  <si>
    <t>-77.5815685</t>
  </si>
  <si>
    <t>BARRIO EL LLANO CUCUTA 13</t>
  </si>
  <si>
    <t>5552127</t>
  </si>
  <si>
    <t>3108720803</t>
  </si>
  <si>
    <t xml:space="preserve"> AV 10 16 24</t>
  </si>
  <si>
    <t>7.827482940232154</t>
  </si>
  <si>
    <t>-72.5118858868464</t>
  </si>
  <si>
    <t xml:space="preserve">BARRIO LA NUEVA SEXTA CUCUTA </t>
  </si>
  <si>
    <t>3234104669</t>
  </si>
  <si>
    <t>AV 10 12 30,ONCE DE NOVIEMBRE</t>
  </si>
  <si>
    <t>7.8241678</t>
  </si>
  <si>
    <t>-72.5129989</t>
  </si>
  <si>
    <t>BARRIO URB PRADOS DEL NORTE CUCUTA 10</t>
  </si>
  <si>
    <t>3167626155</t>
  </si>
  <si>
    <t>KDX 6 2,RECTA COROZAL</t>
  </si>
  <si>
    <t>7.7326718</t>
  </si>
  <si>
    <t>-72.5552988</t>
  </si>
  <si>
    <t>BARRIO URB SAN MARTIN CUCUTA</t>
  </si>
  <si>
    <t>3156511123</t>
  </si>
  <si>
    <t>3016718357</t>
  </si>
  <si>
    <t>AV 10 MZ 0 LC 19 CC LA CAMPIÑA,URB LA CAMPIÑA</t>
  </si>
  <si>
    <t>7.8179184</t>
  </si>
  <si>
    <t>-72.5154217</t>
  </si>
  <si>
    <t>BARRIO SAN MARTIN CUCUTA 3</t>
  </si>
  <si>
    <t>3132350020</t>
  </si>
  <si>
    <t>3143719794</t>
  </si>
  <si>
    <t xml:space="preserve"> CL 24 A 49 37</t>
  </si>
  <si>
    <t>2.9451385</t>
  </si>
  <si>
    <t>-75.2530159</t>
  </si>
  <si>
    <t>BARRIO SANTANDER CUCUTA 2</t>
  </si>
  <si>
    <t>8760619</t>
  </si>
  <si>
    <t>3007357505</t>
  </si>
  <si>
    <t xml:space="preserve"> CL 67 1 78</t>
  </si>
  <si>
    <t>2.9650819</t>
  </si>
  <si>
    <t>-75.2950509</t>
  </si>
  <si>
    <t>BARRIO EL SOCORRO BUESACO 1</t>
  </si>
  <si>
    <t>8713779</t>
  </si>
  <si>
    <t>3237879733</t>
  </si>
  <si>
    <t>3214189981</t>
  </si>
  <si>
    <t xml:space="preserve"> CR 4 3 29</t>
  </si>
  <si>
    <t>2.923088</t>
  </si>
  <si>
    <t>-75.288411</t>
  </si>
  <si>
    <t>BARRIO CALLE LA CRUZ FILANDIA</t>
  </si>
  <si>
    <t>8719891</t>
  </si>
  <si>
    <t>3102293210</t>
  </si>
  <si>
    <t xml:space="preserve"> CL 6 4 49</t>
  </si>
  <si>
    <t>2.925161</t>
  </si>
  <si>
    <t>-75.288673</t>
  </si>
  <si>
    <t>BARRIO SIMON BOLIVAR SOGAMOSO</t>
  </si>
  <si>
    <t>3112941685</t>
  </si>
  <si>
    <t>CL 29 3 58,LA CORDIALIDAD</t>
  </si>
  <si>
    <t>7.8365977</t>
  </si>
  <si>
    <t>-72.5035049</t>
  </si>
  <si>
    <t>BARRIO CENTRO XIII - SOGAMOSO</t>
  </si>
  <si>
    <t>3102234864</t>
  </si>
  <si>
    <t>3043478063</t>
  </si>
  <si>
    <t>CL 27 3 57 APTO 101,LA CORDIALIDAD</t>
  </si>
  <si>
    <t>7.836615465004341</t>
  </si>
  <si>
    <t xml:space="preserve"> -72.49892444850259</t>
  </si>
  <si>
    <t>BARRIO CENTRO TINJACA 3</t>
  </si>
  <si>
    <t>3156685838</t>
  </si>
  <si>
    <t>3144766559</t>
  </si>
  <si>
    <t>CL 22 B 3 98 LC 2,TASAJERO</t>
  </si>
  <si>
    <t>7.831796952404172</t>
  </si>
  <si>
    <t xml:space="preserve"> -72.505310104322</t>
  </si>
  <si>
    <t>BARRIO CENTRO TINJACA 4</t>
  </si>
  <si>
    <t>3163887351</t>
  </si>
  <si>
    <t>AV 9 NRO. 5C - 06 LC 3,URB SAN NICOLÁS 2</t>
  </si>
  <si>
    <t>7.8186304</t>
  </si>
  <si>
    <t>-72.5138397</t>
  </si>
  <si>
    <t>BARRIO PLAYA BLANCA TOTA</t>
  </si>
  <si>
    <t>AV 10 NRO. 18 - 20 A,ONCE DE NOVIEMBRE</t>
  </si>
  <si>
    <t>7.8292045</t>
  </si>
  <si>
    <t>-72.5113581</t>
  </si>
  <si>
    <t>BARRIO CENTRO CHINCHINA 2</t>
  </si>
  <si>
    <t>AV 4 NRO. 34 - 33 LO. 1,LA SABANA</t>
  </si>
  <si>
    <t>7.8420794</t>
  </si>
  <si>
    <t>-72.5023490</t>
  </si>
  <si>
    <t>BARRIO CENTRO CHINCHINA</t>
  </si>
  <si>
    <t>3233155763</t>
  </si>
  <si>
    <t>AV 10 NRO. 25B - 29,PATIOS CENTRO</t>
  </si>
  <si>
    <t>7.8360008</t>
  </si>
  <si>
    <t>-72.5093711</t>
  </si>
  <si>
    <t>BARRIO CHINCHINA CHINCHINA</t>
  </si>
  <si>
    <t>3015625108</t>
  </si>
  <si>
    <t>AV 10 16-40,ONCE DE NOVIEMBRE</t>
  </si>
  <si>
    <t>7.8285697</t>
  </si>
  <si>
    <t>-72.5115209</t>
  </si>
  <si>
    <t>BARRIO URB PRADOS DEL NORTE CUCUTA 9</t>
  </si>
  <si>
    <t>3007685812</t>
  </si>
  <si>
    <t>AV 1E 28-19,LA CORDIALIDAD</t>
  </si>
  <si>
    <t>7.834766022499206</t>
  </si>
  <si>
    <t>-72.49933933315805</t>
  </si>
  <si>
    <t>BARRIO CENTRO IV - SEVILLA</t>
  </si>
  <si>
    <t>3004414216</t>
  </si>
  <si>
    <t>AV 9 26-04 LOCAL 1,PATIOS CENTRO</t>
  </si>
  <si>
    <t>7.8355805</t>
  </si>
  <si>
    <t>-72.5082055</t>
  </si>
  <si>
    <t>BARRIO CONSOLATA FLORENCIA  6</t>
  </si>
  <si>
    <t>3223531577</t>
  </si>
  <si>
    <t>AV 4 3B 53,URB ISCALIGUA II</t>
  </si>
  <si>
    <t>7.816937845913552</t>
  </si>
  <si>
    <t>-72.51217059083059</t>
  </si>
  <si>
    <t>BARRIO VALLESTER CUCUTA</t>
  </si>
  <si>
    <t>3116459730</t>
  </si>
  <si>
    <t>MZ 30 LOTE 4-29,VIDELSO</t>
  </si>
  <si>
    <t>7.82483697</t>
  </si>
  <si>
    <t>-72.514015000</t>
  </si>
  <si>
    <t>BARRIO TRIGAL DEL NORTE CUCUTA 5</t>
  </si>
  <si>
    <t>AV 10 31-80,BRR PATIOS CENTRO</t>
  </si>
  <si>
    <t>7.81737</t>
  </si>
  <si>
    <t>-72.515312</t>
  </si>
  <si>
    <t>BARRIO DOÑA NIDIA CUCUTA 2</t>
  </si>
  <si>
    <t>5704708</t>
  </si>
  <si>
    <t>3133811343</t>
  </si>
  <si>
    <t>MZ E LT 87 LC 1,URB VILLA ANSEP</t>
  </si>
  <si>
    <t>7.8179007</t>
  </si>
  <si>
    <t>-72.5151122</t>
  </si>
  <si>
    <t>BARRIO NUEVO HORIZONTE CUCUTA 1</t>
  </si>
  <si>
    <t>5781820</t>
  </si>
  <si>
    <t>3108629626</t>
  </si>
  <si>
    <t>LT 1B CRISTAL 1,URB LA FLORESTA</t>
  </si>
  <si>
    <t>7.8573253</t>
  </si>
  <si>
    <t>-72.4973393</t>
  </si>
  <si>
    <t>BARRIO QUINTA ORIENTAL CUCUTA 9</t>
  </si>
  <si>
    <t>8200067</t>
  </si>
  <si>
    <t>3124663418</t>
  </si>
  <si>
    <t xml:space="preserve"> CL PRINCIPAL</t>
  </si>
  <si>
    <t>2.26814</t>
  </si>
  <si>
    <t>-74.58197</t>
  </si>
  <si>
    <t>LA MACARENA</t>
  </si>
  <si>
    <t>BARRIO LA PLAYA CUCUTA 9</t>
  </si>
  <si>
    <t>6069566</t>
  </si>
  <si>
    <t>3143311123</t>
  </si>
  <si>
    <t xml:space="preserve"> CR 7 CL 5 ESQ</t>
  </si>
  <si>
    <t>2.182307</t>
  </si>
  <si>
    <t>-73.78532</t>
  </si>
  <si>
    <t>BARRIO GUAYABAL</t>
  </si>
  <si>
    <t>6870135</t>
  </si>
  <si>
    <t>3232065468</t>
  </si>
  <si>
    <t>3203023151</t>
  </si>
  <si>
    <t xml:space="preserve"> CR 4 9 98 LOS CRISTALES</t>
  </si>
  <si>
    <t>2.180008</t>
  </si>
  <si>
    <t>-73.783302</t>
  </si>
  <si>
    <t>BARRIO BUENOS AIRES V - MEDELLIN</t>
  </si>
  <si>
    <t xml:space="preserve"> CR 4 9 98  LOS CRISTALES</t>
  </si>
  <si>
    <t>2.180023</t>
  </si>
  <si>
    <t>-73.783981</t>
  </si>
  <si>
    <t>BARRIO GUAYABAL MEDELLIN  13</t>
  </si>
  <si>
    <t>3202944654</t>
  </si>
  <si>
    <t xml:space="preserve"> CR 8 3 45</t>
  </si>
  <si>
    <t>2.184035</t>
  </si>
  <si>
    <t>-73.787246</t>
  </si>
  <si>
    <t>BARRIO NIÑA CECI CUCUTA 4</t>
  </si>
  <si>
    <t>3204523245</t>
  </si>
  <si>
    <t>CL 6 N 7 69,CENTRO</t>
  </si>
  <si>
    <t>2.182881</t>
  </si>
  <si>
    <t>-73.786985</t>
  </si>
  <si>
    <t>BARRIO ALONSITO CUCUTA</t>
  </si>
  <si>
    <t>3118750700</t>
  </si>
  <si>
    <t>3143896890</t>
  </si>
  <si>
    <t>CR 7 N 6 - 32,CENTRO</t>
  </si>
  <si>
    <t>2.1825495</t>
  </si>
  <si>
    <t>-73.7862410</t>
  </si>
  <si>
    <t>BARRIO AEROPUERTO CUCUTA 9</t>
  </si>
  <si>
    <t>3146678442</t>
  </si>
  <si>
    <t>3143378442</t>
  </si>
  <si>
    <t>CR 7 7 27,CENTRO</t>
  </si>
  <si>
    <t>2.181940</t>
  </si>
  <si>
    <t>-73.786118</t>
  </si>
  <si>
    <t>BARRIO RAFAEL NUÑEZ CUCUTA</t>
  </si>
  <si>
    <t>3144456581</t>
  </si>
  <si>
    <t>CL 10 11 38,BRR LAS COLINAS</t>
  </si>
  <si>
    <t>2.177709</t>
  </si>
  <si>
    <t>-73.790411</t>
  </si>
  <si>
    <t>BARRIO MOTILONES CUCUTA 10</t>
  </si>
  <si>
    <t>3229492636</t>
  </si>
  <si>
    <t>CL 5 7 50,CENTRO</t>
  </si>
  <si>
    <t>2.183563</t>
  </si>
  <si>
    <t>-73.786820</t>
  </si>
  <si>
    <t>BARRIO AEROPUERTO CUCUTA 8</t>
  </si>
  <si>
    <t>3164971517</t>
  </si>
  <si>
    <t>3006737211</t>
  </si>
  <si>
    <t>CL 8 KDX 37,FUERA DEL MUNICIPIO DE SAN CAYETANO</t>
  </si>
  <si>
    <t>7.90668119</t>
  </si>
  <si>
    <t>-72.63837946</t>
  </si>
  <si>
    <t>SAN CAYETANO</t>
  </si>
  <si>
    <t>BARRIO MINUTO DE  DIOS CUCUTA</t>
  </si>
  <si>
    <t>3135413054</t>
  </si>
  <si>
    <t xml:space="preserve"> CR 4 4 89</t>
  </si>
  <si>
    <t>6.31304709</t>
  </si>
  <si>
    <t>-73.9476408</t>
  </si>
  <si>
    <t>BARRIO LAS AMERICAS IV POPAYAN</t>
  </si>
  <si>
    <t>3214581649</t>
  </si>
  <si>
    <t>CL 10 NRO 0-16 PISO 1,EL TRIUNFO</t>
  </si>
  <si>
    <t>7.9292998</t>
  </si>
  <si>
    <t>-72.6009140</t>
  </si>
  <si>
    <t>BARRIO ANDA LUCIA LA FRANCIA MEDELLIN</t>
  </si>
  <si>
    <t>3155473996</t>
  </si>
  <si>
    <t>CR 5 6A 32,CENTRO</t>
  </si>
  <si>
    <t>7.3753516</t>
  </si>
  <si>
    <t>-72.6495018</t>
  </si>
  <si>
    <t>BARRIO VILLA HERMOSA MEDELLIN  4</t>
  </si>
  <si>
    <t>3124571979</t>
  </si>
  <si>
    <t>CL 4 5 71,CENTRO</t>
  </si>
  <si>
    <t>7.3777129</t>
  </si>
  <si>
    <t>-72.6472482</t>
  </si>
  <si>
    <t>BARRIO BELEN LA PALMA MEDELLIN  3</t>
  </si>
  <si>
    <t>3204438399</t>
  </si>
  <si>
    <t>CR 3 NRO 4-48,EL GUAMO</t>
  </si>
  <si>
    <t>7.3791708693708955</t>
  </si>
  <si>
    <t>-72.64980112392372</t>
  </si>
  <si>
    <t>BARRIO PARAMO CUCUTA 2</t>
  </si>
  <si>
    <t>3207279905</t>
  </si>
  <si>
    <t>3136198645</t>
  </si>
  <si>
    <t>VRD LA MARIA CA 18 24,LA MARIA</t>
  </si>
  <si>
    <t>4.5315309</t>
  </si>
  <si>
    <t>-75.6623573</t>
  </si>
  <si>
    <t>BARRIO MARIA GRACIA CUCUTA 1</t>
  </si>
  <si>
    <t>3208278605</t>
  </si>
  <si>
    <t>MZ A CA 8 LA HUERTA,LA HUERTA</t>
  </si>
  <si>
    <t>4.5152000</t>
  </si>
  <si>
    <t>-75.6439414</t>
  </si>
  <si>
    <t>BARRIO URB CEIBA II CUCUTA 2</t>
  </si>
  <si>
    <t>6140663</t>
  </si>
  <si>
    <t>3124494679</t>
  </si>
  <si>
    <t xml:space="preserve"> CR 3  2-23 CABECERA MUNICIPAL</t>
  </si>
  <si>
    <t>6.69758082</t>
  </si>
  <si>
    <t>-73.51243613</t>
  </si>
  <si>
    <t>EL CARMEN DE CHUCURÍ</t>
  </si>
  <si>
    <t>BARRIO CENTRO CUCUTA 10</t>
  </si>
  <si>
    <t>3178946323</t>
  </si>
  <si>
    <t xml:space="preserve"> CR 7  10-68</t>
  </si>
  <si>
    <t>6.6982412</t>
  </si>
  <si>
    <t>-73.5111734</t>
  </si>
  <si>
    <t>BARRIO LA LIBERTAD CUCUTA 9</t>
  </si>
  <si>
    <t>3105334206</t>
  </si>
  <si>
    <t xml:space="preserve"> CL 5 3 30</t>
  </si>
  <si>
    <t>6.69816134</t>
  </si>
  <si>
    <t>-73.51272828</t>
  </si>
  <si>
    <t>BARRIO LA RIVIERA CUCUTA 2</t>
  </si>
  <si>
    <t>6706704</t>
  </si>
  <si>
    <t>3124432327</t>
  </si>
  <si>
    <t xml:space="preserve"> CL 3 6 10</t>
  </si>
  <si>
    <t>6.69935932</t>
  </si>
  <si>
    <t>-73.5136514</t>
  </si>
  <si>
    <t>BARRIO ENCISO MEDELLIN 20</t>
  </si>
  <si>
    <t>3125227137</t>
  </si>
  <si>
    <t>3125686410</t>
  </si>
  <si>
    <t>CL 2 NO. 5 - 21 BRR CENTRO</t>
  </si>
  <si>
    <t>6.70350558</t>
  </si>
  <si>
    <t>-73.50888035</t>
  </si>
  <si>
    <t>BARRIO EL LLANO CUCUTA 9</t>
  </si>
  <si>
    <t>3015991804</t>
  </si>
  <si>
    <t>3134895207</t>
  </si>
  <si>
    <t>CL 5 2 08 CENTRO,CENTRO</t>
  </si>
  <si>
    <t>BARRIO EL CENTRO CUCUTA 43</t>
  </si>
  <si>
    <t>3102645047</t>
  </si>
  <si>
    <t>3123415142</t>
  </si>
  <si>
    <t>CR 4 2 2 ESQUINA</t>
  </si>
  <si>
    <t>6.6981332</t>
  </si>
  <si>
    <t>-73.5121423</t>
  </si>
  <si>
    <t>BARRIO EL ESCOBAL CUCUTA 2</t>
  </si>
  <si>
    <t>3546598</t>
  </si>
  <si>
    <t>338168292</t>
  </si>
  <si>
    <t>3138168298</t>
  </si>
  <si>
    <t xml:space="preserve"> SEC ONCE DE MAEZO</t>
  </si>
  <si>
    <t>6.0560150</t>
  </si>
  <si>
    <t>-73.8152570</t>
  </si>
  <si>
    <t>EL PEÑÓN</t>
  </si>
  <si>
    <t>BARRIO URB GARCIA HERREROS I CUCUTA 1</t>
  </si>
  <si>
    <t>7019657</t>
  </si>
  <si>
    <t>3103210274</t>
  </si>
  <si>
    <t xml:space="preserve"> SEC ONCE DE MARZO</t>
  </si>
  <si>
    <t>6.0553350</t>
  </si>
  <si>
    <t>-73.8145709</t>
  </si>
  <si>
    <t>BARRIO URB TORCOROMA III CUCUTA</t>
  </si>
  <si>
    <t>3142238038</t>
  </si>
  <si>
    <t>CR 21 22 124 VILLA CAMPESTRE 3,VILLA CAMPESTRE 3</t>
  </si>
  <si>
    <t>7.064343</t>
  </si>
  <si>
    <t>-73.166731</t>
  </si>
  <si>
    <t>BARRIO PASAJE COMERC LA BOLSA  MEDELLIN</t>
  </si>
  <si>
    <t>3174364806</t>
  </si>
  <si>
    <t>CR 5 7 20 CENTRO,CENTRO</t>
  </si>
  <si>
    <t>6.3135901</t>
  </si>
  <si>
    <t>-73.9493067</t>
  </si>
  <si>
    <t>BARRIO ENCISO MEDELLIN 19</t>
  </si>
  <si>
    <t>315 8855996</t>
  </si>
  <si>
    <t>3158855996</t>
  </si>
  <si>
    <t>CR 5 7 93 CENTRO,CENTRO</t>
  </si>
  <si>
    <t>6.31463999</t>
  </si>
  <si>
    <t>-73.95011276</t>
  </si>
  <si>
    <t>MEDELLON LA MILAGROSA</t>
  </si>
  <si>
    <t>3123348121</t>
  </si>
  <si>
    <t>CR 3 A 4 99 LOCAL 1,CENTRO</t>
  </si>
  <si>
    <t>6.3131050</t>
  </si>
  <si>
    <t>-73.9480167</t>
  </si>
  <si>
    <t>BARRIO BELEN RINCON 1</t>
  </si>
  <si>
    <t>3203540001</t>
  </si>
  <si>
    <t>CR 4 7 15,CENTRO</t>
  </si>
  <si>
    <t>6.31446</t>
  </si>
  <si>
    <t>-73.94921</t>
  </si>
  <si>
    <t>ARANJUEZ MEDELLIN ANTIOQUIA</t>
  </si>
  <si>
    <t>3123648871</t>
  </si>
  <si>
    <t>3178179827</t>
  </si>
  <si>
    <t>CR 7 6 58 CENTRO,CENTRO</t>
  </si>
  <si>
    <t>6.31256492</t>
  </si>
  <si>
    <t>-73.94996341</t>
  </si>
  <si>
    <t>BARRIO NIÑA CECI CUCUTA 2</t>
  </si>
  <si>
    <t>3114686438</t>
  </si>
  <si>
    <t>CL 7 3 14 PISO 1 CENTRO,CIMITARRA</t>
  </si>
  <si>
    <t>7.7054627</t>
  </si>
  <si>
    <t>-73.9566082</t>
  </si>
  <si>
    <t>BARRIO EL CENTRO CUCUTA 24</t>
  </si>
  <si>
    <t>3156491682</t>
  </si>
  <si>
    <t>3183584141</t>
  </si>
  <si>
    <t>CR 3 3 B 54 CENTRO,CENTRO</t>
  </si>
  <si>
    <t>6.3125131</t>
  </si>
  <si>
    <t>-73.9467416</t>
  </si>
  <si>
    <t>BARRIO EL CENTRO CUCUTA 20</t>
  </si>
  <si>
    <t>6248021</t>
  </si>
  <si>
    <t>3115323493</t>
  </si>
  <si>
    <t xml:space="preserve"> CR 4  4-52 SAN LUIS DE GACENO BOYACA</t>
  </si>
  <si>
    <t>5.5123455</t>
  </si>
  <si>
    <t>-73.3733661</t>
  </si>
  <si>
    <t>SAN LUIS DE GACENO</t>
  </si>
  <si>
    <t>BARRIO EL CENTRO CUCUTA 22</t>
  </si>
  <si>
    <t>4032936</t>
  </si>
  <si>
    <t>3118125226</t>
  </si>
  <si>
    <t xml:space="preserve"> CR 4 6 06</t>
  </si>
  <si>
    <t>4.821098</t>
  </si>
  <si>
    <t>-73.679</t>
  </si>
  <si>
    <t>BARRIO EL CENTRO CUCUTA 23</t>
  </si>
  <si>
    <t>3185438769</t>
  </si>
  <si>
    <t>CR 5 4 36 BRR CENTRO</t>
  </si>
  <si>
    <t>4.8206085</t>
  </si>
  <si>
    <t>-73.1692662</t>
  </si>
  <si>
    <t>BARRIO CONDOMINIO PARQUE REAL CUCUTA</t>
  </si>
  <si>
    <t>3103431933</t>
  </si>
  <si>
    <t>CL 5 3 47,CENTRO</t>
  </si>
  <si>
    <t>4.8205296</t>
  </si>
  <si>
    <t>-73.1683046</t>
  </si>
  <si>
    <t>BARRIO AGUAS CALIENTES CUCUTA 1</t>
  </si>
  <si>
    <t>3125852518</t>
  </si>
  <si>
    <t>3195013484</t>
  </si>
  <si>
    <t>CRA 5 3-42 CENTRO,CENTRO</t>
  </si>
  <si>
    <t>4.817554</t>
  </si>
  <si>
    <t>-73.172530</t>
  </si>
  <si>
    <t>BARRIO LA LIBERTAD CUCUTA 5</t>
  </si>
  <si>
    <t>3112811881</t>
  </si>
  <si>
    <t>CR 2 2 29,CENTRO</t>
  </si>
  <si>
    <t>4.8607277</t>
  </si>
  <si>
    <t>-73.2615670</t>
  </si>
  <si>
    <t>SANTA MARÍA</t>
  </si>
  <si>
    <t>BARRIO SAN RAFAEL CUCUTA</t>
  </si>
  <si>
    <t>3224121525</t>
  </si>
  <si>
    <t>CL 4 1 C 53,CENTRO</t>
  </si>
  <si>
    <t>4.8617</t>
  </si>
  <si>
    <t>-73.261</t>
  </si>
  <si>
    <t>BARRIO LA PLAYA CUCUTA 2</t>
  </si>
  <si>
    <t>3138298157</t>
  </si>
  <si>
    <t>CL 5 3 14,CENTRO</t>
  </si>
  <si>
    <t>5.7137378</t>
  </si>
  <si>
    <t>-73.6018784</t>
  </si>
  <si>
    <t>SANTA SOFÍA</t>
  </si>
  <si>
    <t>BARRIO CAOBOS CUCUTA 2</t>
  </si>
  <si>
    <t>3007811524</t>
  </si>
  <si>
    <t>AV 6 NRO 7-09 APTO 102,SAN FRANCISCO</t>
  </si>
  <si>
    <t>8.0844143</t>
  </si>
  <si>
    <t>-72.8012965</t>
  </si>
  <si>
    <t>SARDINATA</t>
  </si>
  <si>
    <t>BARRIO URB PLAYA CUCUTA</t>
  </si>
  <si>
    <t>5707139</t>
  </si>
  <si>
    <t>3114549955</t>
  </si>
  <si>
    <t xml:space="preserve"> CL 20 8 09</t>
  </si>
  <si>
    <t>7.8203209</t>
  </si>
  <si>
    <t>-72.4732253</t>
  </si>
  <si>
    <t>BARRIO SAN MARTIN I CUCUTA</t>
  </si>
  <si>
    <t>3132882534</t>
  </si>
  <si>
    <t>CL 26 NRO 14-28,GRANCOLOMBIA</t>
  </si>
  <si>
    <t>7.8148696</t>
  </si>
  <si>
    <t>-72.4789557</t>
  </si>
  <si>
    <t>BARRIO SN MARTIN I CUCUTA</t>
  </si>
  <si>
    <t>3142379141</t>
  </si>
  <si>
    <t>3157964855</t>
  </si>
  <si>
    <t>CL 2N #  15 - 20 SAN GREGORIO</t>
  </si>
  <si>
    <t>7.8390330</t>
  </si>
  <si>
    <t>-72.4789761</t>
  </si>
  <si>
    <t>BARRIO CENTRO MEDELLIN 91</t>
  </si>
  <si>
    <t>3106173785</t>
  </si>
  <si>
    <t>CL 20 12 63,SAN JUDAS</t>
  </si>
  <si>
    <t>7.820785</t>
  </si>
  <si>
    <t>-72.477238</t>
  </si>
  <si>
    <t>BARRIO LATINO 7 CÚCUTA</t>
  </si>
  <si>
    <t>3176982197</t>
  </si>
  <si>
    <t>3505977616</t>
  </si>
  <si>
    <t>CR 12 A 1A 150 MZ H CASA 3 CONJUNTO CERRADO PALMAS DE CANARIA,LA PARADA</t>
  </si>
  <si>
    <t>7.8164564</t>
  </si>
  <si>
    <t>-72.4592011</t>
  </si>
  <si>
    <t>BARRIO LA PLAYA 13 CÚCUTA</t>
  </si>
  <si>
    <t>300-5909182</t>
  </si>
  <si>
    <t>3008476415</t>
  </si>
  <si>
    <t>CR 23 46 22 EL POBLADO,EL POBLADO</t>
  </si>
  <si>
    <t>7.7054008</t>
  </si>
  <si>
    <t>-73.9558336</t>
  </si>
  <si>
    <t>BARRIO URB GARCIA HERREROS I CUCUTA</t>
  </si>
  <si>
    <t>3112643158</t>
  </si>
  <si>
    <t>CR 25 31 36 CENTRO,CENTRO</t>
  </si>
  <si>
    <t>7.7181884</t>
  </si>
  <si>
    <t>-73.9916717</t>
  </si>
  <si>
    <t>BARRIO PRADOS DEL ESTE CÚCUTA</t>
  </si>
  <si>
    <t>3186465730</t>
  </si>
  <si>
    <t>CL 45 22 67,EL POBLADO</t>
  </si>
  <si>
    <t>7.0744601</t>
  </si>
  <si>
    <t>-73.1667103</t>
  </si>
  <si>
    <t>BARRIO LA CONCORDIA III - CÚCUTA</t>
  </si>
  <si>
    <t>6909302</t>
  </si>
  <si>
    <t>CR 26 31 37,CASCO ANTIGUO</t>
  </si>
  <si>
    <t>7.0685167</t>
  </si>
  <si>
    <t>-73.1699323</t>
  </si>
  <si>
    <t>ANSERMA IV CALDAS</t>
  </si>
  <si>
    <t>6460978</t>
  </si>
  <si>
    <t>3003123564</t>
  </si>
  <si>
    <t xml:space="preserve"> CR 16 C 60 38</t>
  </si>
  <si>
    <t>7.086823333</t>
  </si>
  <si>
    <t>-73.165491944</t>
  </si>
  <si>
    <t>GALICIA ANSERMA - CALDAS</t>
  </si>
  <si>
    <t>6461773</t>
  </si>
  <si>
    <t>3015816386</t>
  </si>
  <si>
    <t xml:space="preserve"> CR 25  29-27</t>
  </si>
  <si>
    <t>7.6682636</t>
  </si>
  <si>
    <t>-73.16916231</t>
  </si>
  <si>
    <t>BARRIO CENTRO ANSERMA 4</t>
  </si>
  <si>
    <t>7583256</t>
  </si>
  <si>
    <t>3112573807</t>
  </si>
  <si>
    <t xml:space="preserve"> CR 5  3 73</t>
  </si>
  <si>
    <t>6.0254100</t>
  </si>
  <si>
    <t>-73.5730150</t>
  </si>
  <si>
    <t>GÜEPSA</t>
  </si>
  <si>
    <t>BARRIO ENCISO MEDELLIN 16</t>
  </si>
  <si>
    <t>3124354</t>
  </si>
  <si>
    <t>3124359486</t>
  </si>
  <si>
    <t xml:space="preserve"> CL 4 6 19</t>
  </si>
  <si>
    <t>6.0263280</t>
  </si>
  <si>
    <t>-73.5718950</t>
  </si>
  <si>
    <t>BARRIO CHUCHURUBI MONTERIA 6</t>
  </si>
  <si>
    <t>3209596264</t>
  </si>
  <si>
    <t>CR 6 3 15,CENTRO</t>
  </si>
  <si>
    <t>6.0243435</t>
  </si>
  <si>
    <t>-73.5733767</t>
  </si>
  <si>
    <t>BARRIO SAN EDUARDO POPAYAN 3</t>
  </si>
  <si>
    <t>3103331058</t>
  </si>
  <si>
    <t>CL 4 6 12,BRR CENTRO</t>
  </si>
  <si>
    <t>6.0251240</t>
  </si>
  <si>
    <t>-73.5740580</t>
  </si>
  <si>
    <t>BARRIO LA PAMBA POPAYAN 1</t>
  </si>
  <si>
    <t>7297123</t>
  </si>
  <si>
    <t>3183483731</t>
  </si>
  <si>
    <t xml:space="preserve"> VRD SANTA ROSA</t>
  </si>
  <si>
    <t>6.000278</t>
  </si>
  <si>
    <t>-73.591667</t>
  </si>
  <si>
    <t>BARRIO VILLA DEL BOSQUE POPAYAN 1</t>
  </si>
  <si>
    <t>8280793</t>
  </si>
  <si>
    <t>3213639678</t>
  </si>
  <si>
    <t xml:space="preserve"> CL 4  3-28</t>
  </si>
  <si>
    <t>6.4168065</t>
  </si>
  <si>
    <t>-73.1693663</t>
  </si>
  <si>
    <t>PÁRAMO</t>
  </si>
  <si>
    <t>BARRIO CENTRO POPAYAN 16</t>
  </si>
  <si>
    <t>3115508873</t>
  </si>
  <si>
    <t>CR 6 2 29 BRR SAGRADO CORAZON</t>
  </si>
  <si>
    <t>6.4159280</t>
  </si>
  <si>
    <t>-73.1711280</t>
  </si>
  <si>
    <t>BARRIO VALENCIA POPAYAN 1</t>
  </si>
  <si>
    <t>3123348984</t>
  </si>
  <si>
    <t>CR 4 5 32,CENTRO</t>
  </si>
  <si>
    <t>5.7142236</t>
  </si>
  <si>
    <t>-73.6024685</t>
  </si>
  <si>
    <t>BARRIO CENTRO POPAYAN 8</t>
  </si>
  <si>
    <t>2753089</t>
  </si>
  <si>
    <t>3155069094</t>
  </si>
  <si>
    <t xml:space="preserve"> SALIDA JENESA  SEC TIERRA NEGRA</t>
  </si>
  <si>
    <t>5.4244643</t>
  </si>
  <si>
    <t>-73.4506610</t>
  </si>
  <si>
    <t>BARRIO CENTRO MEDELLIN SECTOR HUECO MEDELLIN</t>
  </si>
  <si>
    <t>4363674</t>
  </si>
  <si>
    <t>3183475910</t>
  </si>
  <si>
    <t xml:space="preserve"> VRD PUENTE DE BOYACA SEC TIERRA NEGRA</t>
  </si>
  <si>
    <t>5.422190</t>
  </si>
  <si>
    <t>-73.457244</t>
  </si>
  <si>
    <t>BARRIO MOGAMBO MONTERIA 11</t>
  </si>
  <si>
    <t>3138296967</t>
  </si>
  <si>
    <t>VRD PUENTE DE BOYACA,VEREDA TIERRA NEGRA</t>
  </si>
  <si>
    <t>5.42325638</t>
  </si>
  <si>
    <t>-73.45146393</t>
  </si>
  <si>
    <t>BARRIO VALLEJO MONTERIA  3</t>
  </si>
  <si>
    <t>3228835843</t>
  </si>
  <si>
    <t>VRD PUENTE DE BOYACÁ,KM 15 VIA TUNJA BOGOTÁ,VEREDA PUENTE DE BOYACA</t>
  </si>
  <si>
    <t>5.4438049</t>
  </si>
  <si>
    <t>-73.43659486</t>
  </si>
  <si>
    <t>BARRIO CANTACLARO MONTERIA 9</t>
  </si>
  <si>
    <t>3158950412</t>
  </si>
  <si>
    <t xml:space="preserve"> VRD PUENTE DE BOYACA</t>
  </si>
  <si>
    <t>5.446410</t>
  </si>
  <si>
    <t>-73.434201</t>
  </si>
  <si>
    <t>BARRIO 	CGT EL SABANAL MONTERIA</t>
  </si>
  <si>
    <t>CR 4 13 28 - CENTRO</t>
  </si>
  <si>
    <t>5.233527</t>
  </si>
  <si>
    <t>-75.786207</t>
  </si>
  <si>
    <t>BARRIO LOS LAURELES MONTERIA 4</t>
  </si>
  <si>
    <t>3104891085</t>
  </si>
  <si>
    <t>3137797129</t>
  </si>
  <si>
    <t>CR 5 # 23- 12 - LA AVENIDA,LA AVENIDA</t>
  </si>
  <si>
    <t>5.240205</t>
  </si>
  <si>
    <t>-75.784701</t>
  </si>
  <si>
    <t>BARRIO CAMILO TORRES MONTERIA 1</t>
  </si>
  <si>
    <t>3103850454</t>
  </si>
  <si>
    <t>CR 4 #17- 09 - EL CARMEN,EL CARMEN</t>
  </si>
  <si>
    <t>5.2359066</t>
  </si>
  <si>
    <t>-75.7855687</t>
  </si>
  <si>
    <t>BARRIO LA GRANJA MONTERIA 24</t>
  </si>
  <si>
    <t>4492577</t>
  </si>
  <si>
    <t>3204317271</t>
  </si>
  <si>
    <t xml:space="preserve"> CR 3 3 05</t>
  </si>
  <si>
    <t>5.11721793</t>
  </si>
  <si>
    <t>-74.48001699</t>
  </si>
  <si>
    <t>QUEBRADANEGRA</t>
  </si>
  <si>
    <t>BARRIO SANTANDER MONTERIA 1</t>
  </si>
  <si>
    <t>3105546</t>
  </si>
  <si>
    <t>3105546437</t>
  </si>
  <si>
    <t xml:space="preserve"> CR 3 3 78</t>
  </si>
  <si>
    <t>5.1171444</t>
  </si>
  <si>
    <t>-74.4786356</t>
  </si>
  <si>
    <t>BARRIO LA FLORESTA MONTERIA 6</t>
  </si>
  <si>
    <t>3212081405</t>
  </si>
  <si>
    <t>CL 4 6 32,INSPECCION LA MAGDALENA</t>
  </si>
  <si>
    <t>5.079950</t>
  </si>
  <si>
    <t>-74.488740</t>
  </si>
  <si>
    <t>BARRIO PABLO ESCOBAR MEDELLIN</t>
  </si>
  <si>
    <t>3138107445</t>
  </si>
  <si>
    <t>3204351002</t>
  </si>
  <si>
    <t>CL 4 5 31 INSPECCION LA MAGDALENA,INSPECCIÓN LA MAGDALENA</t>
  </si>
  <si>
    <t>5.0800040</t>
  </si>
  <si>
    <t>-74.4883964</t>
  </si>
  <si>
    <t>BARRIO CENTRO PUERTO TEJADA 6</t>
  </si>
  <si>
    <t>3227041547</t>
  </si>
  <si>
    <t>CR 3 3 65 INSPECCION LA MAGDALENA ,CENTRO</t>
  </si>
  <si>
    <t>5.0799717</t>
  </si>
  <si>
    <t>-74.4871167</t>
  </si>
  <si>
    <t>BARRIO URBANIZACION ELMORA MONTERIA</t>
  </si>
  <si>
    <t>8680272</t>
  </si>
  <si>
    <t>3134100183</t>
  </si>
  <si>
    <t xml:space="preserve"> CL 5 6  4-18 22 CC O Y C LC-3</t>
  </si>
  <si>
    <t>4.17849466</t>
  </si>
  <si>
    <t>-74.42356094</t>
  </si>
  <si>
    <t>BARRIO CENTRO MONTERIA 51</t>
  </si>
  <si>
    <t>3202351692</t>
  </si>
  <si>
    <t>CR 5 5 14—18,CENTRO</t>
  </si>
  <si>
    <t>4.1786722</t>
  </si>
  <si>
    <t>-74.42165</t>
  </si>
  <si>
    <t>CORDOBA MONTERIA</t>
  </si>
  <si>
    <t>3115703267</t>
  </si>
  <si>
    <t>CL 6 3 44,LA ASENCION</t>
  </si>
  <si>
    <t>4.1789529</t>
  </si>
  <si>
    <t>-74.4221554</t>
  </si>
  <si>
    <t>MONTERIA VEREDA AGUAS NEGRAS</t>
  </si>
  <si>
    <t>3112391359</t>
  </si>
  <si>
    <t>3018207990</t>
  </si>
  <si>
    <t>CL 7 3 - 54,SANTA TERESA</t>
  </si>
  <si>
    <t>4.1786359</t>
  </si>
  <si>
    <t>-74.4226638</t>
  </si>
  <si>
    <t>BARRIO URBANIZACION PORTAL DE ALMERIA MONTERIA</t>
  </si>
  <si>
    <t>8465619</t>
  </si>
  <si>
    <t>3025838317</t>
  </si>
  <si>
    <t>CL 5A  N 5 09</t>
  </si>
  <si>
    <t>4.8472464</t>
  </si>
  <si>
    <t>-74.6216062</t>
  </si>
  <si>
    <t>BARRIO LA JULIA MONTERIA 1</t>
  </si>
  <si>
    <t>3194730422</t>
  </si>
  <si>
    <t>CR 6 3 68</t>
  </si>
  <si>
    <t>4.845731</t>
  </si>
  <si>
    <t>-74.6221644</t>
  </si>
  <si>
    <t>LOS LAURELES MONTERIA 4</t>
  </si>
  <si>
    <t>3236410575</t>
  </si>
  <si>
    <t>3203672793</t>
  </si>
  <si>
    <t>SAN JUAN DE RIO SECO SAN AGUSTIN,CENTRO</t>
  </si>
  <si>
    <t>4.8470898</t>
  </si>
  <si>
    <t>-74.6212222</t>
  </si>
  <si>
    <t>BARRIO JUAN XXIII MONTERIA 6</t>
  </si>
  <si>
    <t>3114927436</t>
  </si>
  <si>
    <t>3104746738</t>
  </si>
  <si>
    <t>CR 6 4 46,SAN JUAN RIOSECO</t>
  </si>
  <si>
    <t>4.846253</t>
  </si>
  <si>
    <t>-74.622123</t>
  </si>
  <si>
    <t>BARRIO CANTA CLARO MONTERIA 3</t>
  </si>
  <si>
    <t>3115014050</t>
  </si>
  <si>
    <t>cra 4 #5 -02</t>
  </si>
  <si>
    <t>4.8468482</t>
  </si>
  <si>
    <t>-74.6213786</t>
  </si>
  <si>
    <t>BARRIO VILLA ROCIO MONTERIA</t>
  </si>
  <si>
    <t>3203469411</t>
  </si>
  <si>
    <t>CRR 7  3 49</t>
  </si>
  <si>
    <t>4.8447638</t>
  </si>
  <si>
    <t>-74.6228160</t>
  </si>
  <si>
    <t>BARRIO NUEVA ESPERANZA MONTERIA 1</t>
  </si>
  <si>
    <t>3112579307</t>
  </si>
  <si>
    <t>VRD KM 63 VIA VILLETA VEREDA SANTA INES. PREDIO EL CARMELO</t>
  </si>
  <si>
    <t>4.9134464</t>
  </si>
  <si>
    <t>-74.4192198</t>
  </si>
  <si>
    <t>BARRIO ARANJUEZ MEDELLIN 9</t>
  </si>
  <si>
    <t>CR 7 #3N - 03,SANTANDER</t>
  </si>
  <si>
    <t>7.8394338</t>
  </si>
  <si>
    <t>-72.4704909</t>
  </si>
  <si>
    <t>BARRIO GUAYABAL MEDELLIN 5</t>
  </si>
  <si>
    <t>3246256334</t>
  </si>
  <si>
    <t>CR 12 6 A - 82,ANTONIO NARIÑO</t>
  </si>
  <si>
    <t>7.8432816</t>
  </si>
  <si>
    <t>-72.4738852</t>
  </si>
  <si>
    <t>GENOVA - QUINDIO</t>
  </si>
  <si>
    <t>3157975879</t>
  </si>
  <si>
    <t>3006780355</t>
  </si>
  <si>
    <t>CRA 1 NRO 9 - 36,BRR VILLA ANTIGUA</t>
  </si>
  <si>
    <t>7.82888943</t>
  </si>
  <si>
    <t>-72.46330688</t>
  </si>
  <si>
    <t>BARRIO QUIMBAYA QUIMBAYA</t>
  </si>
  <si>
    <t>3132702531</t>
  </si>
  <si>
    <t>3208458324</t>
  </si>
  <si>
    <t>CL 2 5 44,SAGRADO CORAZON</t>
  </si>
  <si>
    <t>6.4156820</t>
  </si>
  <si>
    <t>-73.1708584</t>
  </si>
  <si>
    <t>BARRIO LA CASTELLANA MONTERIA 8</t>
  </si>
  <si>
    <t>3016846485</t>
  </si>
  <si>
    <t>CR 12 # 3 - 91 BRR VILLANUEVA PIEDECUESTA,VILLANUEVA</t>
  </si>
  <si>
    <t>6.9924167</t>
  </si>
  <si>
    <t>-73.0482500</t>
  </si>
  <si>
    <t>BARRIO PANZENU MONTERIA 1</t>
  </si>
  <si>
    <t>VRD TABACAL FINCA VILLA EVA,PIEDECUESTA</t>
  </si>
  <si>
    <t>6.8928800</t>
  </si>
  <si>
    <t>-73.0391917</t>
  </si>
  <si>
    <t>BARRIO RANCHO GRANDE MONTERIA 4</t>
  </si>
  <si>
    <t>3222712350</t>
  </si>
  <si>
    <t>CL 1 N # 1 W - 04 BRR EL REFUJIO PIEDECUESTA,EL REFUJIO</t>
  </si>
  <si>
    <t>6.9928160</t>
  </si>
  <si>
    <t>-73.0623574</t>
  </si>
  <si>
    <t>BARRIO CANTACLARO MONTERIA 3</t>
  </si>
  <si>
    <t>3205677521</t>
  </si>
  <si>
    <t>CA 15 D BRR EL EDEN PIEDECUESTA,BRR EL EDEN PIEDECUESTA</t>
  </si>
  <si>
    <t>6.9963715</t>
  </si>
  <si>
    <t>-73.0799766</t>
  </si>
  <si>
    <t>BARRIO NUEVO HORIZONTE MONTERIA</t>
  </si>
  <si>
    <t>3014315435</t>
  </si>
  <si>
    <t>VRD 1 FINCA EL MIRADOR,FINCA EL MIRADOR</t>
  </si>
  <si>
    <t>7.0203540</t>
  </si>
  <si>
    <t>-73.0977720</t>
  </si>
  <si>
    <t>BARRIO EL PORTAL MONTERIA</t>
  </si>
  <si>
    <t>3102280881</t>
  </si>
  <si>
    <t>CL 6 # 15 D - 06 BRR CABECERA PIEDECUESTA,CABECERA 2 PIEDECUESTA</t>
  </si>
  <si>
    <t>6.9917941</t>
  </si>
  <si>
    <t>-73.0444343</t>
  </si>
  <si>
    <t>BARRIO CENTRO MEDELLIN 35</t>
  </si>
  <si>
    <t>3118358795</t>
  </si>
  <si>
    <t>CR 15 A # 1 N - 03 BRR SAN CARLOS PIEDECUESTA,SAN CARLOS</t>
  </si>
  <si>
    <t>6.9993157</t>
  </si>
  <si>
    <t>-73.0518873</t>
  </si>
  <si>
    <t>BARRIO ENCISO MEDELLIN 8</t>
  </si>
  <si>
    <t>3172782414</t>
  </si>
  <si>
    <t>3002239187</t>
  </si>
  <si>
    <t>CL 12 # 11-23 SAN ANTONIO PIEDECUESTA,SAN ANTONIO PIEDECUESTA</t>
  </si>
  <si>
    <t>6.9859840</t>
  </si>
  <si>
    <t>-73.0461320</t>
  </si>
  <si>
    <t>BARRIO BELEN PARQUE MEDELLIN</t>
  </si>
  <si>
    <t>3116761905</t>
  </si>
  <si>
    <t>3166890088</t>
  </si>
  <si>
    <t>CR 5 B 22 40,PASEO DEL PUENTE 2</t>
  </si>
  <si>
    <t>6.98344922</t>
  </si>
  <si>
    <t>-73.4918198</t>
  </si>
  <si>
    <t>BARRIO CAMPO ALEGRE MONTERIA 1</t>
  </si>
  <si>
    <t>3142276466</t>
  </si>
  <si>
    <t>CR 2 3 38 PRIMER SEC - BR LIBERTAD</t>
  </si>
  <si>
    <t>1.20735843</t>
  </si>
  <si>
    <t>-77.46237664</t>
  </si>
  <si>
    <t>BARRIO VILLA MELISA MONTERIA</t>
  </si>
  <si>
    <t>3167721921</t>
  </si>
  <si>
    <t>BRR LIBERTAD SEC 2,LIBERTAD</t>
  </si>
  <si>
    <t>1.2071527</t>
  </si>
  <si>
    <t>-77.4634691</t>
  </si>
  <si>
    <t>BARRIO TIMANCO NEIVA</t>
  </si>
  <si>
    <t>5775777</t>
  </si>
  <si>
    <t>3209448155</t>
  </si>
  <si>
    <t xml:space="preserve"> CL 17 17 02</t>
  </si>
  <si>
    <t>7.8859941</t>
  </si>
  <si>
    <t>-72.4724104</t>
  </si>
  <si>
    <t>BARRIO AGUACATALA 3</t>
  </si>
  <si>
    <t>3202970158</t>
  </si>
  <si>
    <t>CL 7 NRO 0-83,LATINO</t>
  </si>
  <si>
    <t>7.8907909</t>
  </si>
  <si>
    <t>-72.5000193</t>
  </si>
  <si>
    <t>BARRIO CENTRO 3 MEDELLIN</t>
  </si>
  <si>
    <t>3016505071</t>
  </si>
  <si>
    <t>AV 7 NRO 20-13 KDX 199 2,EL SALADO</t>
  </si>
  <si>
    <t>7.9363602</t>
  </si>
  <si>
    <t>-72.4955636</t>
  </si>
  <si>
    <t xml:space="preserve">BARRIO MANRIQUE 18 - MEDELLÍN </t>
  </si>
  <si>
    <t>BARRIO CENTRO YUMBO 1</t>
  </si>
  <si>
    <t>3057071050</t>
  </si>
  <si>
    <t>MZ 10 CS 1 LC 102 ,TRIGAL DEL NORTE</t>
  </si>
  <si>
    <t>7.9457745</t>
  </si>
  <si>
    <t>-72.5034244</t>
  </si>
  <si>
    <t>BARRIO CENTRO NEIVA 32</t>
  </si>
  <si>
    <t>3132823223</t>
  </si>
  <si>
    <t>CL 18 NRO 1E-35,CAOBOS</t>
  </si>
  <si>
    <t>7.8798843</t>
  </si>
  <si>
    <t>-72.4960944</t>
  </si>
  <si>
    <t>BARRIO QUIRINAL NEIVA 4</t>
  </si>
  <si>
    <t>3228738763</t>
  </si>
  <si>
    <t>KDX 19 11,VDA MATECAÑA</t>
  </si>
  <si>
    <t>8.1933730</t>
  </si>
  <si>
    <t>-72.4907615</t>
  </si>
  <si>
    <t>BARRIO TEJARES DEL SUR NEIVA</t>
  </si>
  <si>
    <t>BARRIO NORTE NEIVA</t>
  </si>
  <si>
    <t>BARRIO CENTRO NEIVA 30</t>
  </si>
  <si>
    <t>6419838</t>
  </si>
  <si>
    <t>3114408967</t>
  </si>
  <si>
    <t xml:space="preserve"> CR 4 3 70</t>
  </si>
  <si>
    <t>6.1374420</t>
  </si>
  <si>
    <t>-73.0989010</t>
  </si>
  <si>
    <t>ENCINO</t>
  </si>
  <si>
    <t>BARRIO CENTRO NEIVA 29</t>
  </si>
  <si>
    <t>3142055811</t>
  </si>
  <si>
    <t>CR 6 3 16,CENTRO</t>
  </si>
  <si>
    <t>6.8750860</t>
  </si>
  <si>
    <t>-72.8560610</t>
  </si>
  <si>
    <t>GUACA</t>
  </si>
  <si>
    <t>BARRIO ENCISO MEDELLIN</t>
  </si>
  <si>
    <t>2876262</t>
  </si>
  <si>
    <t>3154704983</t>
  </si>
  <si>
    <t xml:space="preserve"> CR 30  36-12 PALMIRA</t>
  </si>
  <si>
    <t>3.5332108</t>
  </si>
  <si>
    <t>-76.2997198</t>
  </si>
  <si>
    <t>LAS CABAÑAS III BELLO</t>
  </si>
  <si>
    <t>3017748763</t>
  </si>
  <si>
    <t>3014849958</t>
  </si>
  <si>
    <t>KM 6 VIA CENCAR AER BONILLA ARAGON LC EXTERNO PQ 1 LC 01,ZONA FRANCA</t>
  </si>
  <si>
    <t>3.5604811</t>
  </si>
  <si>
    <t>-76.4495133</t>
  </si>
  <si>
    <t xml:space="preserve">BARRIO LUIS IGNACIO ANDRADE NEIVA </t>
  </si>
  <si>
    <t>3147399595</t>
  </si>
  <si>
    <t>3143995950</t>
  </si>
  <si>
    <t>CR 42 47 A 3 PORTAL DE LAS PALMAS,PORTAL DE LAS PALMAS</t>
  </si>
  <si>
    <t>3.5428576</t>
  </si>
  <si>
    <t>-76.3131198</t>
  </si>
  <si>
    <t>BARRIO EL CENTRO NEIVA 7</t>
  </si>
  <si>
    <t>3014128985</t>
  </si>
  <si>
    <t xml:space="preserve"> CR 12 CALLE 9 23 CENTRO</t>
  </si>
  <si>
    <t>9.24469472</t>
  </si>
  <si>
    <t>-75.1464833</t>
  </si>
  <si>
    <t>BARRIO EDUARDO SANTOS NEIVA</t>
  </si>
  <si>
    <t>3012537796</t>
  </si>
  <si>
    <t>CR 2 18 12 AP 101,EL ARROYITO</t>
  </si>
  <si>
    <t>9.5264112</t>
  </si>
  <si>
    <t>-75.5836952</t>
  </si>
  <si>
    <t>BARRIO LUIS CARLOS GALAN NEIVA 1</t>
  </si>
  <si>
    <t>3113742262</t>
  </si>
  <si>
    <t>3113742265</t>
  </si>
  <si>
    <t>CL 4 CR 4 – 65, CGTO VARSOVIA</t>
  </si>
  <si>
    <t>9.4059121</t>
  </si>
  <si>
    <t>-75.4937751</t>
  </si>
  <si>
    <t>BARRIO LUIS CARLOS GALAN 1 ETAPA NEIVA</t>
  </si>
  <si>
    <t>3007473078</t>
  </si>
  <si>
    <t xml:space="preserve"> DG 2 TR 4 16 P1</t>
  </si>
  <si>
    <t>9.4512670</t>
  </si>
  <si>
    <t>-75.4383380</t>
  </si>
  <si>
    <t>BARRIO NEIVA HUILA 2</t>
  </si>
  <si>
    <t>3157208501</t>
  </si>
  <si>
    <t>3177895728</t>
  </si>
  <si>
    <t>CR 10 1 189 BRR PILOTO</t>
  </si>
  <si>
    <t>3.2577971</t>
  </si>
  <si>
    <t>-76.5447847</t>
  </si>
  <si>
    <t>BARRIO MINUTO DE DIOS 4 ETAPA NEIVA</t>
  </si>
  <si>
    <t>3105028295</t>
  </si>
  <si>
    <t>CR 18 12 05 LC 01 BRR SACHAMATE,SACHAMATE</t>
  </si>
  <si>
    <t>3.2665904</t>
  </si>
  <si>
    <t>-76.5444925</t>
  </si>
  <si>
    <t>MATERIALES EMO - MEDELLIN</t>
  </si>
  <si>
    <t>3148161859</t>
  </si>
  <si>
    <t>CR 7 16B 42 BRR CIUDAD SUR LC 2,BELLO HORIZONTE</t>
  </si>
  <si>
    <t>3.2654400</t>
  </si>
  <si>
    <t>-76.5346713</t>
  </si>
  <si>
    <t>BARRIO JARDIN  1 NEIVA</t>
  </si>
  <si>
    <t>628933621</t>
  </si>
  <si>
    <t>3104542238</t>
  </si>
  <si>
    <t>CORREGIMIENTO DE BITACO, MUNICIPIO DE LA CUMBRE-VALLE</t>
  </si>
  <si>
    <t>3.6105593</t>
  </si>
  <si>
    <t>-76.5993600</t>
  </si>
  <si>
    <t>LA CUMBRE</t>
  </si>
  <si>
    <t>BARRIO CENTRO 2  NEIVA</t>
  </si>
  <si>
    <t>5614971</t>
  </si>
  <si>
    <t>3236124013</t>
  </si>
  <si>
    <t xml:space="preserve"> TV 20 A 54 A 11</t>
  </si>
  <si>
    <t>6.1271000</t>
  </si>
  <si>
    <t>-75.3790996</t>
  </si>
  <si>
    <t>BARRIO GRANJAS IX - NEIVA</t>
  </si>
  <si>
    <t>5610035</t>
  </si>
  <si>
    <t>3127318772</t>
  </si>
  <si>
    <t xml:space="preserve"> CR 46 49 75 RIONEGRO ANTIOQUIA</t>
  </si>
  <si>
    <t>6.1538553</t>
  </si>
  <si>
    <t>-75.3707991</t>
  </si>
  <si>
    <t>BARRIO TIMANCO 1 NEIVA</t>
  </si>
  <si>
    <t>5619323</t>
  </si>
  <si>
    <t>3116143383</t>
  </si>
  <si>
    <t xml:space="preserve"> CR 54 A  24-59</t>
  </si>
  <si>
    <t>6.1307600</t>
  </si>
  <si>
    <t>-75.3791067</t>
  </si>
  <si>
    <t>BARRIO GUAYABAL III MEDELLIN</t>
  </si>
  <si>
    <t>5613241</t>
  </si>
  <si>
    <t>3117209350</t>
  </si>
  <si>
    <t xml:space="preserve"> CR 47 54 24</t>
  </si>
  <si>
    <t>6.1566480</t>
  </si>
  <si>
    <t>-75.3708032</t>
  </si>
  <si>
    <t>BARRIO CENTRO MADRID 4</t>
  </si>
  <si>
    <t>BARRIO LAS DELICIAS VALLEDUPAR 2</t>
  </si>
  <si>
    <t>3145939910</t>
  </si>
  <si>
    <t>3019724337</t>
  </si>
  <si>
    <t>CL 9 6-54 CEN CC ATLANTIS LC 35 ,CENTRO</t>
  </si>
  <si>
    <t>7.8879378</t>
  </si>
  <si>
    <t>-72.5057209</t>
  </si>
  <si>
    <t>BARRIO EL LIMONAR VALLEDUPAR</t>
  </si>
  <si>
    <t>3163509818</t>
  </si>
  <si>
    <t>MZ 11 LT 27 LC 1 PISO 1 CLARET,CLARET</t>
  </si>
  <si>
    <t>7.9146483</t>
  </si>
  <si>
    <t>-72.5297436</t>
  </si>
  <si>
    <t>BARRIO ENRIQUE PUPO VALLEDUPAR 1</t>
  </si>
  <si>
    <t>BIS NOA GALPON B LC 338 CENABASTOS,TASAJERO</t>
  </si>
  <si>
    <t>7.9283593</t>
  </si>
  <si>
    <t>-72.4938444</t>
  </si>
  <si>
    <t>BARRIO SANTANA VALLEDUPAR</t>
  </si>
  <si>
    <t>3166482510</t>
  </si>
  <si>
    <t>CL 13 A 13-21 LC 2,TOLEDO PLATA</t>
  </si>
  <si>
    <t>7.9400932</t>
  </si>
  <si>
    <t>-72.5139743</t>
  </si>
  <si>
    <t>BARRIO NIQUIA BELLO 16</t>
  </si>
  <si>
    <t>3214916206</t>
  </si>
  <si>
    <t>AV 8 7-93,EL CENTRO</t>
  </si>
  <si>
    <t>7.8884129</t>
  </si>
  <si>
    <t>-72.5073619</t>
  </si>
  <si>
    <t>BARRIO LA SELVA BELLO 2</t>
  </si>
  <si>
    <t>CL 8 B N NRO 15E-08 MZ 22 LT 8 ,CIUDAD JARDIN</t>
  </si>
  <si>
    <t>7.9092611</t>
  </si>
  <si>
    <t>-72.4883465</t>
  </si>
  <si>
    <t>BARRIO PARQUE PRINCIPAL BELLO 1</t>
  </si>
  <si>
    <t>3182471805</t>
  </si>
  <si>
    <t>3177770680</t>
  </si>
  <si>
    <t>CL 35 NRO. 2 E- 66 PORTAL DE BUENOS AIRES,PORTAL DE BUENOS AIRES</t>
  </si>
  <si>
    <t>3.5313219</t>
  </si>
  <si>
    <t>-76.2754247</t>
  </si>
  <si>
    <t>BARRIO ARAUCARIAS 1 BELLO</t>
  </si>
  <si>
    <t>3182800773</t>
  </si>
  <si>
    <t>CL 31 NRO 26-36,CENTRO</t>
  </si>
  <si>
    <t>3.5278093</t>
  </si>
  <si>
    <t>-76.2974908</t>
  </si>
  <si>
    <t>BARRIO CABAÑAS BELLO 8</t>
  </si>
  <si>
    <t>3205725493</t>
  </si>
  <si>
    <t>CR 25 A  46-08-ALTAMIRA</t>
  </si>
  <si>
    <t>3.5414</t>
  </si>
  <si>
    <t>-76.29414</t>
  </si>
  <si>
    <t>BARRIO NIQUIA BELLO 12</t>
  </si>
  <si>
    <t>2765381</t>
  </si>
  <si>
    <t>3147980314</t>
  </si>
  <si>
    <t>3107405348</t>
  </si>
  <si>
    <t>CR 5 E 33 C 39 MARÍA CANO,BUENOS AIRES</t>
  </si>
  <si>
    <t>3.5299651</t>
  </si>
  <si>
    <t>-76.2751035</t>
  </si>
  <si>
    <t>BARRIO BELLA VISTA VALLEDUPAR 2</t>
  </si>
  <si>
    <t>3103283822</t>
  </si>
  <si>
    <t>3127800112</t>
  </si>
  <si>
    <t>CR 48 N 51-15,SAN FRANCISCO</t>
  </si>
  <si>
    <t>6.1545410</t>
  </si>
  <si>
    <t>-75.3724059</t>
  </si>
  <si>
    <t>BARRIO KENNEDY VALLEDUPAR 1</t>
  </si>
  <si>
    <t>3232912901</t>
  </si>
  <si>
    <t>3174010325</t>
  </si>
  <si>
    <t>KM 3 VIA LLANOGRANDE SEC LA AMALITA TRANSVERSAL</t>
  </si>
  <si>
    <t>6.1319933</t>
  </si>
  <si>
    <t>-75.4006877</t>
  </si>
  <si>
    <t>BARRIO URBANIZACION MARIA VALERIA VALLEDUPAR</t>
  </si>
  <si>
    <t>3861477</t>
  </si>
  <si>
    <t>3192609779</t>
  </si>
  <si>
    <t xml:space="preserve"> CR 46 52 54 CE RIONEGRO PLAZA</t>
  </si>
  <si>
    <t>6.1558779</t>
  </si>
  <si>
    <t>-75.3705685</t>
  </si>
  <si>
    <t>BRR VILLA MIRIAN VALLEDUPAR</t>
  </si>
  <si>
    <t>6151541</t>
  </si>
  <si>
    <t>3008184814</t>
  </si>
  <si>
    <t>3008875464</t>
  </si>
  <si>
    <t>CL 23 55 D 14,SAN ANTONIO DE PEREIRA</t>
  </si>
  <si>
    <t>6.1302312</t>
  </si>
  <si>
    <t>-75.3818086</t>
  </si>
  <si>
    <t>BARRIO FRANCISCO DE PAULA SANTANDER VALLEDUPAR</t>
  </si>
  <si>
    <t>3017243958</t>
  </si>
  <si>
    <t>CR 47 75 SUR 12</t>
  </si>
  <si>
    <t>6.151825</t>
  </si>
  <si>
    <t>-75.620819</t>
  </si>
  <si>
    <t>SABANETA</t>
  </si>
  <si>
    <t>BARRIO DON CARMELO VALLEDUPAR 5</t>
  </si>
  <si>
    <t>3160517478</t>
  </si>
  <si>
    <t>3163688785</t>
  </si>
  <si>
    <t>CL 10 14 A 141,ENTRADA ROZO</t>
  </si>
  <si>
    <t>3.6151166</t>
  </si>
  <si>
    <t>-76.3923362</t>
  </si>
  <si>
    <t>BARRIO DONGOND VALLEDUPAR</t>
  </si>
  <si>
    <t>2836136</t>
  </si>
  <si>
    <t>3196507112</t>
  </si>
  <si>
    <t>3103749925</t>
  </si>
  <si>
    <t>CL 47 # 28 A - 04,URB. LOS SAMANES</t>
  </si>
  <si>
    <t>3.5423199</t>
  </si>
  <si>
    <t>-76.2970192</t>
  </si>
  <si>
    <t>BARRIO LAS DELICIAS VALLEDUPAR 1</t>
  </si>
  <si>
    <t>2738718</t>
  </si>
  <si>
    <t>3116127948</t>
  </si>
  <si>
    <t xml:space="preserve"> CL 57 38 03</t>
  </si>
  <si>
    <t>3.5474904</t>
  </si>
  <si>
    <t>-76.3102193</t>
  </si>
  <si>
    <t>BARRIO LA ESPERANZA VALLEDUPAR 7</t>
  </si>
  <si>
    <t>2859849</t>
  </si>
  <si>
    <t>3183938842</t>
  </si>
  <si>
    <t>3128602063</t>
  </si>
  <si>
    <t xml:space="preserve"> CR 41 35 38</t>
  </si>
  <si>
    <t>3.5326943</t>
  </si>
  <si>
    <t>-76.3112418</t>
  </si>
  <si>
    <t>NUEVA ESPERANZA 2</t>
  </si>
  <si>
    <t>8212625</t>
  </si>
  <si>
    <t>3004042527</t>
  </si>
  <si>
    <t>8.7579683</t>
  </si>
  <si>
    <t>-76.5301993</t>
  </si>
  <si>
    <t>BARRIO LAS GRANJAS BELLO</t>
  </si>
  <si>
    <t>3203039211</t>
  </si>
  <si>
    <t xml:space="preserve"> CR 3 2 35  CENTRO</t>
  </si>
  <si>
    <t>5.56600500</t>
  </si>
  <si>
    <t>-73.45120000</t>
  </si>
  <si>
    <t>SORA</t>
  </si>
  <si>
    <t>BARRIO CABAÑAS BELLO 4</t>
  </si>
  <si>
    <t>3115299611</t>
  </si>
  <si>
    <t xml:space="preserve"> CR 3 4 07  CENTRO</t>
  </si>
  <si>
    <t>5.9378098</t>
  </si>
  <si>
    <t>-73.5126417</t>
  </si>
  <si>
    <t>TOGÜÍ</t>
  </si>
  <si>
    <t>BARRIO CALLE PRINCIPAL BELLO 3</t>
  </si>
  <si>
    <t>3108848215</t>
  </si>
  <si>
    <t>CR 2 4 21 PISO 2,CENTRO</t>
  </si>
  <si>
    <t>5.93757922</t>
  </si>
  <si>
    <t>-73.51173628</t>
  </si>
  <si>
    <t>BARRIO LOS FUNDADORES VALLEDUPAR 4</t>
  </si>
  <si>
    <t>3208663573</t>
  </si>
  <si>
    <t>CR 3 3 56 ,CENTRO</t>
  </si>
  <si>
    <t>5.93792558</t>
  </si>
  <si>
    <t>-73.51361323</t>
  </si>
  <si>
    <t>BARRIO CENTRO VALLEDUPAR 24</t>
  </si>
  <si>
    <t>3144918728</t>
  </si>
  <si>
    <t>3102828935</t>
  </si>
  <si>
    <t>CR 3 NO.4-65,CENTRO</t>
  </si>
  <si>
    <t>5.4361017</t>
  </si>
  <si>
    <t>-73.2953529</t>
  </si>
  <si>
    <t xml:space="preserve"> BARRIO CENTRO VALLEDUPAR   20</t>
  </si>
  <si>
    <t>3147269349</t>
  </si>
  <si>
    <t>VRD ALEGRIAS FINCA LA TOMASITA - VDA ALEGRIAS,VDA ALEGRIAS</t>
  </si>
  <si>
    <t>5.3069218</t>
  </si>
  <si>
    <t>-75.4951145</t>
  </si>
  <si>
    <t>BARRIO DON ALBERTO VALLEDUPAR</t>
  </si>
  <si>
    <t>6666775</t>
  </si>
  <si>
    <t>3117108230</t>
  </si>
  <si>
    <t>3104064344</t>
  </si>
  <si>
    <t>CR 4 N  14 25</t>
  </si>
  <si>
    <t>4.99326067</t>
  </si>
  <si>
    <t>-75.8127576</t>
  </si>
  <si>
    <t>BARRIO LA GRANJA VALLEDUPAR 4</t>
  </si>
  <si>
    <t>3218442632</t>
  </si>
  <si>
    <t>3122904092</t>
  </si>
  <si>
    <t xml:space="preserve"> CR 5 # 11 - 27</t>
  </si>
  <si>
    <t>4.9930789</t>
  </si>
  <si>
    <t>-75.8127991</t>
  </si>
  <si>
    <t>BARRIO OBRERO III - VALLEDUPAR</t>
  </si>
  <si>
    <t>3226370152</t>
  </si>
  <si>
    <t>3206424918</t>
  </si>
  <si>
    <t>CORR HUISITO,HUISITO</t>
  </si>
  <si>
    <t>2.5088820</t>
  </si>
  <si>
    <t>-77.0632702</t>
  </si>
  <si>
    <t>BARRIO LAS PALMAS NADRID MADRID</t>
  </si>
  <si>
    <t>3107919571</t>
  </si>
  <si>
    <t>CGT HUISITO,HUISITO</t>
  </si>
  <si>
    <t>2.5084243</t>
  </si>
  <si>
    <t>-77.0642633</t>
  </si>
  <si>
    <t>BARRIO INSP SAN JUAN DEL LOZADA LA MACARENA</t>
  </si>
  <si>
    <t>3206057277</t>
  </si>
  <si>
    <t>3017812835</t>
  </si>
  <si>
    <t>3185186982</t>
  </si>
  <si>
    <t>PIAGUA TAMBO,PIAGUA CORREGIMIENTO PIAGIA</t>
  </si>
  <si>
    <t>2.4375919</t>
  </si>
  <si>
    <t>-76.7738516</t>
  </si>
  <si>
    <t xml:space="preserve">BARRIO BELLO LA 2000 </t>
  </si>
  <si>
    <t>3124039040</t>
  </si>
  <si>
    <t>AV 4 NRO 10N-231 LT 2B,EL BOSQUE</t>
  </si>
  <si>
    <t>7.9115108</t>
  </si>
  <si>
    <t>-72.4988920</t>
  </si>
  <si>
    <t>BARRIO VILLA DEL SOL BELLO</t>
  </si>
  <si>
    <t>3218964932</t>
  </si>
  <si>
    <t>3218964632</t>
  </si>
  <si>
    <t>CL 8 NRO 5-60 CC COOSACUT LOCAL 70 Y 72,EL CENTRO</t>
  </si>
  <si>
    <t>7.8889570</t>
  </si>
  <si>
    <t>-72.5050141</t>
  </si>
  <si>
    <t>BARRIO VALLE MESA - VALLEDUPAR</t>
  </si>
  <si>
    <t>3107637314</t>
  </si>
  <si>
    <t>KDX 1 A 3 MZ H LT 16,VALLES DE GIRON</t>
  </si>
  <si>
    <t>7.8861876</t>
  </si>
  <si>
    <t>-72.5432371</t>
  </si>
  <si>
    <t>BARRIO FUNDADORES IV VALLEDUPAR</t>
  </si>
  <si>
    <t>3112489434</t>
  </si>
  <si>
    <t>CL 9 7-97,EL CENTRO</t>
  </si>
  <si>
    <t>7.8874362</t>
  </si>
  <si>
    <t>-72.5071229</t>
  </si>
  <si>
    <t>RISARALDA III - CALDAS</t>
  </si>
  <si>
    <t>3114891992</t>
  </si>
  <si>
    <t>AV 3 NRO 8 07,SAN LUIS</t>
  </si>
  <si>
    <t>7.907245</t>
  </si>
  <si>
    <t>-72.469535</t>
  </si>
  <si>
    <t>BARRIO CALLE PRINCIPAL RISARALDA</t>
  </si>
  <si>
    <t>3209310273</t>
  </si>
  <si>
    <t>CL 2 NRO 5-03,DOÑA CECI</t>
  </si>
  <si>
    <t>7.8978950</t>
  </si>
  <si>
    <t>-72.5270566</t>
  </si>
  <si>
    <t>BARRIO CENTRO IV VILLAMARIA</t>
  </si>
  <si>
    <t>3702440</t>
  </si>
  <si>
    <t>3004417355</t>
  </si>
  <si>
    <t xml:space="preserve"> CR 3B  3-75</t>
  </si>
  <si>
    <t>9.2325073</t>
  </si>
  <si>
    <t>-74.7438508</t>
  </si>
  <si>
    <t>MAGANGUÉ</t>
  </si>
  <si>
    <t>BARRIO LA PRADERA VILLAMARIA CALDAS</t>
  </si>
  <si>
    <t>6877080</t>
  </si>
  <si>
    <t>3013716949</t>
  </si>
  <si>
    <t xml:space="preserve"> CR 3  14 A-47 </t>
  </si>
  <si>
    <t>9.2347657</t>
  </si>
  <si>
    <t>-74.7444914</t>
  </si>
  <si>
    <t>BARRIO VILLA DIANA FUNZA</t>
  </si>
  <si>
    <t>3012344865</t>
  </si>
  <si>
    <t>CR 4 14 87 P 2 AP 1,CENTRO</t>
  </si>
  <si>
    <t>9.2346284</t>
  </si>
  <si>
    <t>-74.7448498</t>
  </si>
  <si>
    <t>BARRIO FUNZA FUNZA 2</t>
  </si>
  <si>
    <t>7706321</t>
  </si>
  <si>
    <t xml:space="preserve"> CL 11 B 17 73</t>
  </si>
  <si>
    <t>5.7196316</t>
  </si>
  <si>
    <t>-72.9333903</t>
  </si>
  <si>
    <t>BARRIO PROVIVIENDA FUNZA</t>
  </si>
  <si>
    <t>7714089</t>
  </si>
  <si>
    <t xml:space="preserve"> CR 11 7 64</t>
  </si>
  <si>
    <t>5.7112</t>
  </si>
  <si>
    <t>BARRIO FUNZA FUNZA 1</t>
  </si>
  <si>
    <t>6495647</t>
  </si>
  <si>
    <t>3114960922</t>
  </si>
  <si>
    <t>CR 14 # 6 -33</t>
  </si>
  <si>
    <t>5.7120256</t>
  </si>
  <si>
    <t>-72.9343568</t>
  </si>
  <si>
    <t>BARRIO CENTRO VILLA RICA 5</t>
  </si>
  <si>
    <t>3134039296</t>
  </si>
  <si>
    <t>3103144794</t>
  </si>
  <si>
    <t>CL PRINCIPAL HUISITO,CL PRINCIPAL HUISITO</t>
  </si>
  <si>
    <t>2.5084724</t>
  </si>
  <si>
    <t>-77.0635772</t>
  </si>
  <si>
    <t>BARRIO CENTRO LA MESA 2</t>
  </si>
  <si>
    <t>3152305754</t>
  </si>
  <si>
    <t>CR 2 NRO. 12 - 62 LOCAL 1</t>
  </si>
  <si>
    <t>2.613051388</t>
  </si>
  <si>
    <t>-76.3764505</t>
  </si>
  <si>
    <t>BARRIO VILLAS DEL NUEVO SIGLO LA MESA</t>
  </si>
  <si>
    <t>3155219270</t>
  </si>
  <si>
    <t>VRD PITAYO,VRD PITAYO</t>
  </si>
  <si>
    <t>2.7135014</t>
  </si>
  <si>
    <t>-76.3245340</t>
  </si>
  <si>
    <t>VEREDA SANTA ROSA 2 GUEPSA</t>
  </si>
  <si>
    <t>8278093</t>
  </si>
  <si>
    <t>3209864171</t>
  </si>
  <si>
    <t>3217346704</t>
  </si>
  <si>
    <t xml:space="preserve"> CR  18   16   53</t>
  </si>
  <si>
    <t>2.3524055</t>
  </si>
  <si>
    <t>-76.6834651</t>
  </si>
  <si>
    <t>BARRIO CENTRO PIEDECUESTA 5</t>
  </si>
  <si>
    <t>3234476644</t>
  </si>
  <si>
    <t>3234771137</t>
  </si>
  <si>
    <t>CR 20 NO 18 - 71 BRR OSPINA PEREZ,OSPINA PEREZ</t>
  </si>
  <si>
    <t>2.3544706</t>
  </si>
  <si>
    <t>-76.6844575</t>
  </si>
  <si>
    <t>BARRIO SAN RAFAEL PIEDECUESTA 3</t>
  </si>
  <si>
    <t>5840832</t>
  </si>
  <si>
    <t>3215393403</t>
  </si>
  <si>
    <t>TRANSVERSAL 9 10A 34 APARTAMENTO 01 BARRIO SANTA CLARA</t>
  </si>
  <si>
    <t>8.88694029</t>
  </si>
  <si>
    <t>-75.79063056</t>
  </si>
  <si>
    <t>BARRIO HOYO GRANDE PIEDECUESTA</t>
  </si>
  <si>
    <t>7641234</t>
  </si>
  <si>
    <t>3126695038</t>
  </si>
  <si>
    <t xml:space="preserve"> CR 14 13 20</t>
  </si>
  <si>
    <t>BARRIO PINARES DE GRANADA PIEDECUESTA</t>
  </si>
  <si>
    <t>7744017</t>
  </si>
  <si>
    <t>3107190368</t>
  </si>
  <si>
    <t xml:space="preserve"> CL 14 15 13</t>
  </si>
  <si>
    <t>8.8881047</t>
  </si>
  <si>
    <t>-75.7920633</t>
  </si>
  <si>
    <t>BARRIO OBRERO LA UNIO</t>
  </si>
  <si>
    <t>3126231555</t>
  </si>
  <si>
    <t>3145243021</t>
  </si>
  <si>
    <t>CL 9A 14 - 92 BRR LA ESPERANZA</t>
  </si>
  <si>
    <t>8.8824914</t>
  </si>
  <si>
    <t>-75.7902830</t>
  </si>
  <si>
    <t>BARRIO VEREDA PLANADAS FINCA CAMPO VERDE PIEDECUESTA</t>
  </si>
  <si>
    <t xml:space="preserve">BARRIO SANTA ISABEL - PALMIRA </t>
  </si>
  <si>
    <t>3234385083</t>
  </si>
  <si>
    <t>CR 11 A 15 24 LOC 2,SANTA CLARA</t>
  </si>
  <si>
    <t>8.889278</t>
  </si>
  <si>
    <t>-75.789337</t>
  </si>
  <si>
    <t>BARRIO ALTAMIRA PALMIRA 3</t>
  </si>
  <si>
    <t>3008142879</t>
  </si>
  <si>
    <t>CR 15 CL 10 62 LC 3,LA ESPERANZA</t>
  </si>
  <si>
    <t>8.884695</t>
  </si>
  <si>
    <t>-75.790536</t>
  </si>
  <si>
    <t>PALMIRA EL RECREO</t>
  </si>
  <si>
    <t>3104166537</t>
  </si>
  <si>
    <t>3022105311</t>
  </si>
  <si>
    <t>CL 6 A SUR KR 10 43 BRR ORO BLANCO,CORREGIMIENTO EL CAÑITO</t>
  </si>
  <si>
    <t>8.8701114</t>
  </si>
  <si>
    <t>-75.8178440</t>
  </si>
  <si>
    <t>BARRIO LA ESPERANZA PALMIRA 1</t>
  </si>
  <si>
    <t>3114153873</t>
  </si>
  <si>
    <t>CR 2 A 1C 195,VEREDA EL ZAPAL</t>
  </si>
  <si>
    <t>8.9269212</t>
  </si>
  <si>
    <t>-75.7663698</t>
  </si>
  <si>
    <t>BARRIO NUEVO PALMIRA 1</t>
  </si>
  <si>
    <t>3014396700</t>
  </si>
  <si>
    <t>CR 14 9A 4,LA ESPERANZA</t>
  </si>
  <si>
    <t>8.8822459</t>
  </si>
  <si>
    <t>-75.7894973</t>
  </si>
  <si>
    <t>BARRIO BARRIO EL RECREO PALMIRA</t>
  </si>
  <si>
    <t>3108681851</t>
  </si>
  <si>
    <t>CL 17A NRO 25 98,GAITAN</t>
  </si>
  <si>
    <t>7.8799267</t>
  </si>
  <si>
    <t>-72.5251109</t>
  </si>
  <si>
    <t>BARRIO LAS AMERICAS PALMIRA</t>
  </si>
  <si>
    <t>3112267474</t>
  </si>
  <si>
    <t>MZ D1 CASA 26,URB TORCOROMA 3</t>
  </si>
  <si>
    <t>7.890130</t>
  </si>
  <si>
    <t>-72.472229</t>
  </si>
  <si>
    <t>BARRIO CENTRO SANTANDER DE QUILICHAO 6</t>
  </si>
  <si>
    <t>3125777194</t>
  </si>
  <si>
    <t>CL 17 NRO 19 159,VALLESTER</t>
  </si>
  <si>
    <t>7.885025</t>
  </si>
  <si>
    <t>-72.469420</t>
  </si>
  <si>
    <t>BARRIO CENTRO SANTNADER DE QUILICHAO</t>
  </si>
  <si>
    <t>3107877898</t>
  </si>
  <si>
    <t>3105679817</t>
  </si>
  <si>
    <t>CL 17 NRO 15 57,LA LIBERTAD</t>
  </si>
  <si>
    <t>7.886251</t>
  </si>
  <si>
    <t>-72.4737540</t>
  </si>
  <si>
    <t>BARRIO LA MAGDALENA CORREGIMIENTO CASTILLA COYAIMA</t>
  </si>
  <si>
    <t>3204264500</t>
  </si>
  <si>
    <t>CR 12 55 12,GUSTAVO JIMÉNEZ</t>
  </si>
  <si>
    <t>5.7550110</t>
  </si>
  <si>
    <t>-72.9081850</t>
  </si>
  <si>
    <t>BARRIO VILLA LUCIA YOPAL 3</t>
  </si>
  <si>
    <t>3202334107</t>
  </si>
  <si>
    <t>3107694581</t>
  </si>
  <si>
    <t>CR 26 16 08,EL CARMEN</t>
  </si>
  <si>
    <t>-72.939</t>
  </si>
  <si>
    <t>BARRIO CORREGIMIENTO 1 LA CHAPARRERA YOPAL</t>
  </si>
  <si>
    <t>3214227877</t>
  </si>
  <si>
    <t>CR 17 NO.2-99,LOS ARRAYANES</t>
  </si>
  <si>
    <t>5.7102</t>
  </si>
  <si>
    <t>BARRIO NUEVO HABITAT II YOPAL</t>
  </si>
  <si>
    <t>3173793909</t>
  </si>
  <si>
    <t>3015068183</t>
  </si>
  <si>
    <t>3008668042</t>
  </si>
  <si>
    <t>CR 15 A 8-9 ,EL SOCORRO</t>
  </si>
  <si>
    <t>8.8801461</t>
  </si>
  <si>
    <t>-75.7918971</t>
  </si>
  <si>
    <t>BARRIO EL CENTRO YOPAL 1</t>
  </si>
  <si>
    <t>3241258074</t>
  </si>
  <si>
    <t>CR 27 2-97 C EL QUEMADO CORREGIMIENTO EL QUEMAO</t>
  </si>
  <si>
    <t>8.8698886</t>
  </si>
  <si>
    <t>-75.8180063</t>
  </si>
  <si>
    <t>BARRIO PROVIVIENDA YOPAL</t>
  </si>
  <si>
    <t>7685047</t>
  </si>
  <si>
    <t>3205722517</t>
  </si>
  <si>
    <t xml:space="preserve"> CL 11  16-05</t>
  </si>
  <si>
    <t>8.1722085</t>
  </si>
  <si>
    <t>-76.0591918</t>
  </si>
  <si>
    <t>BARRIO CASIMENA I YOPAL</t>
  </si>
  <si>
    <t>3004559451</t>
  </si>
  <si>
    <t>CR 16 18 46,BRR ESCOLAR</t>
  </si>
  <si>
    <t>8.1710144</t>
  </si>
  <si>
    <t>-76.0571019</t>
  </si>
  <si>
    <t>BARRIO CENTRO - BITUIMA</t>
  </si>
  <si>
    <t>3126501395</t>
  </si>
  <si>
    <t>CL 19 19 E 12,SAN CARLOS</t>
  </si>
  <si>
    <t>8.1639650</t>
  </si>
  <si>
    <t>-76.0610517</t>
  </si>
  <si>
    <t>BARRIO ESQUINA PARROQUIA BITUIMA</t>
  </si>
  <si>
    <t>3116827436</t>
  </si>
  <si>
    <t>CL 10 17 - 51,19 DE MARZO</t>
  </si>
  <si>
    <t>8.1719130</t>
  </si>
  <si>
    <t>-76.0611182</t>
  </si>
  <si>
    <t>BARRIO CENTRO COGUA 1</t>
  </si>
  <si>
    <t>3204633648</t>
  </si>
  <si>
    <t>CL 10 CR 43 - 10 SBN,LAS BALSAS</t>
  </si>
  <si>
    <t>8.1622709</t>
  </si>
  <si>
    <t>-76.0718593</t>
  </si>
  <si>
    <t>BARRIO SUTATAUSA VRD PENAS DE BOQUERON</t>
  </si>
  <si>
    <t>3112325433</t>
  </si>
  <si>
    <t>3134717439</t>
  </si>
  <si>
    <t>AV 3 NRO 12-36,MOTILONES</t>
  </si>
  <si>
    <t>7.9205899</t>
  </si>
  <si>
    <t>-72.5220595</t>
  </si>
  <si>
    <t>SANTA ROSA DE VITERBO - BOYACA</t>
  </si>
  <si>
    <t>3214575984</t>
  </si>
  <si>
    <t>AV 7 NRO 2N 26,SEVILLA</t>
  </si>
  <si>
    <t>7.9008863</t>
  </si>
  <si>
    <t>-72.5074553</t>
  </si>
  <si>
    <t>BARRIO CENTRO SANTA ROSA DE VITERBO 4</t>
  </si>
  <si>
    <t>3204262072</t>
  </si>
  <si>
    <t>3232371506</t>
  </si>
  <si>
    <t>AV 25 NRO 22 97,GAITAN</t>
  </si>
  <si>
    <t>7.8767715</t>
  </si>
  <si>
    <t>-72.5246500</t>
  </si>
  <si>
    <t>BARRIO LA UNION SANTA ROSA DE VITERBO</t>
  </si>
  <si>
    <t>CL 11 NO.26-05, BR VALDES TABERA</t>
  </si>
  <si>
    <t>BARRIO CENTRO SANTA ROSA DE VITERBO 6</t>
  </si>
  <si>
    <t>7752509</t>
  </si>
  <si>
    <t>3185496771</t>
  </si>
  <si>
    <t>3226425027</t>
  </si>
  <si>
    <t xml:space="preserve"> CL 22 11 2 BIS 20  EL LAGUITO</t>
  </si>
  <si>
    <t>5.7247820</t>
  </si>
  <si>
    <t>-72.9236890</t>
  </si>
  <si>
    <t>BARRIO CENTRO SANTA ROSA DE VITERBO 9</t>
  </si>
  <si>
    <t>7712618</t>
  </si>
  <si>
    <t>3213858112</t>
  </si>
  <si>
    <t xml:space="preserve"> CR 23 2 110</t>
  </si>
  <si>
    <t>5.7094</t>
  </si>
  <si>
    <t>SOTAQUIRA EL RECUERDO</t>
  </si>
  <si>
    <t>7701978</t>
  </si>
  <si>
    <t>3133868803</t>
  </si>
  <si>
    <t xml:space="preserve"> CR 14 14 01</t>
  </si>
  <si>
    <t>5.7188</t>
  </si>
  <si>
    <t>7740687</t>
  </si>
  <si>
    <t xml:space="preserve"> CR 18 9 19</t>
  </si>
  <si>
    <t>5.71</t>
  </si>
  <si>
    <t>-72.93</t>
  </si>
  <si>
    <t>BARRIO COMPRORIENTE TIBASOSA</t>
  </si>
  <si>
    <t>7732815</t>
  </si>
  <si>
    <t>BARRIO COOMPRORIENTE TIBASOSA</t>
  </si>
  <si>
    <t>3114086668</t>
  </si>
  <si>
    <t>3145861145</t>
  </si>
  <si>
    <t>CR 23 10 55,BRR 19 DE MARZO</t>
  </si>
  <si>
    <t>8.1694109</t>
  </si>
  <si>
    <t>-76.063424</t>
  </si>
  <si>
    <t>TIBASOSA VEREDA SANTA TERESA</t>
  </si>
  <si>
    <t>3196338275</t>
  </si>
  <si>
    <t>CR 17 #9 F-21 BRR EL POBLADO</t>
  </si>
  <si>
    <t>4.721773</t>
  </si>
  <si>
    <t>-74.229827</t>
  </si>
  <si>
    <t>BARRIO EL PARAISO ALFEREZ REAL MANIZALES</t>
  </si>
  <si>
    <t>3197196557</t>
  </si>
  <si>
    <t>CR 3 13 12 C.C EL TREBOL LC 54,CC EL TREBOL</t>
  </si>
  <si>
    <t>4.7111342</t>
  </si>
  <si>
    <t>-74.2225731</t>
  </si>
  <si>
    <t>BARRIO ENEA MANIZALES 5</t>
  </si>
  <si>
    <t>BARRIO FATIMA MANIZALES 6</t>
  </si>
  <si>
    <t>3166881824</t>
  </si>
  <si>
    <t>CL 17 10 B 41 IN 2 BRR SANTELMO.SANTELMO</t>
  </si>
  <si>
    <t>4.7174756</t>
  </si>
  <si>
    <t>-74.2241565</t>
  </si>
  <si>
    <t>BARRIO CHAPINERO MANIZALES</t>
  </si>
  <si>
    <t>3017065954</t>
  </si>
  <si>
    <t>CL 11 A 12 04 LOCAL 3</t>
  </si>
  <si>
    <t>4.6903431</t>
  </si>
  <si>
    <t>-74.1712793</t>
  </si>
  <si>
    <t>BARRIO BOSQUE MANIZALES</t>
  </si>
  <si>
    <t>3206852307</t>
  </si>
  <si>
    <t>CR 8 A 17 A 18,VILLA MARIA ET 4</t>
  </si>
  <si>
    <t>4.7159289</t>
  </si>
  <si>
    <t>-74.2225642</t>
  </si>
  <si>
    <t>BARRIO ALTA SUIZA</t>
  </si>
  <si>
    <t>3225129622</t>
  </si>
  <si>
    <t>CL 14 NRO 17 38,SAN JOSE</t>
  </si>
  <si>
    <t>7.8807525</t>
  </si>
  <si>
    <t>-72.5159835</t>
  </si>
  <si>
    <t>BARRIO AGUSTINOS MANIZALES</t>
  </si>
  <si>
    <t>3133397427</t>
  </si>
  <si>
    <t>AV 11 10 28,EL LLANO</t>
  </si>
  <si>
    <t>7.8855004</t>
  </si>
  <si>
    <t>-72.5100005</t>
  </si>
  <si>
    <t>BARRIO CENTRO MANIZALES 3</t>
  </si>
  <si>
    <t>3123780109</t>
  </si>
  <si>
    <t>CL 10B #12B - 23 URB ANIVERSARIO 1</t>
  </si>
  <si>
    <t>7.8914389</t>
  </si>
  <si>
    <t>-72.4763404</t>
  </si>
  <si>
    <t>BARRIO FATIMA MANIZALES</t>
  </si>
  <si>
    <t>3143706323</t>
  </si>
  <si>
    <t>3232042878</t>
  </si>
  <si>
    <t>CL 9 NRO 6-43 LC 116,CENTRO</t>
  </si>
  <si>
    <t>7.8873658</t>
  </si>
  <si>
    <t>-72.5056657</t>
  </si>
  <si>
    <t>BARRIO BLOQUES DE NORTE MANIZALES</t>
  </si>
  <si>
    <t>3059380919</t>
  </si>
  <si>
    <t>3183971797</t>
  </si>
  <si>
    <t>MZ A LOTE 10 LOCAL 2 URB PLENO SOL SABANA VERDE,URB PLENO SOL</t>
  </si>
  <si>
    <t>7.8994881</t>
  </si>
  <si>
    <t>-72.5459852</t>
  </si>
  <si>
    <t>BARRIO EL CAMPIN II MANIZALES</t>
  </si>
  <si>
    <t>3204041988</t>
  </si>
  <si>
    <t>CL 16 NRO 5-94,BENJAMIN HERRERA</t>
  </si>
  <si>
    <t>7.914693</t>
  </si>
  <si>
    <t>-72.500999</t>
  </si>
  <si>
    <t>BARRIO SAN JUAN DEL LOSADA SAN VICENTE DEL CAGUAN</t>
  </si>
  <si>
    <t>3115896868</t>
  </si>
  <si>
    <t>AV 3 NRO 9 -82 BR SAN LUIS LOCAL 2,SAN LUIS</t>
  </si>
  <si>
    <t>7.8955426</t>
  </si>
  <si>
    <t>-72.4824312</t>
  </si>
  <si>
    <t>BARRIO SAN JUAN DE LOZADA SAN VICENTE DEL CAGUAN</t>
  </si>
  <si>
    <t>3102247957</t>
  </si>
  <si>
    <t>3245720094</t>
  </si>
  <si>
    <t>CL 5 NRO 4-58,LA VICTORIA</t>
  </si>
  <si>
    <t>7.9099099</t>
  </si>
  <si>
    <t>-72.5278917</t>
  </si>
  <si>
    <t>BARRIO SAN JUAN DEL LOZADA SAN VICENTE DEL CAGUAN</t>
  </si>
  <si>
    <t>3044229226</t>
  </si>
  <si>
    <t>3205422849</t>
  </si>
  <si>
    <t>CL 12 6 44 CENTRO,CENTRO</t>
  </si>
  <si>
    <t>4.9848380</t>
  </si>
  <si>
    <t>-75.6060826</t>
  </si>
  <si>
    <t>BARRIO SAN MARCOS</t>
  </si>
  <si>
    <t>7566443</t>
  </si>
  <si>
    <t>3128514153</t>
  </si>
  <si>
    <t xml:space="preserve"> CL 7  10-32 CENTRO</t>
  </si>
  <si>
    <t>3.1738889</t>
  </si>
  <si>
    <t>-76.26122673</t>
  </si>
  <si>
    <t>BARRIO TINAJAS PEREIRA</t>
  </si>
  <si>
    <t>8270154</t>
  </si>
  <si>
    <t>3137676572</t>
  </si>
  <si>
    <t xml:space="preserve"> CL 7 9 59</t>
  </si>
  <si>
    <t>3.1744269</t>
  </si>
  <si>
    <t>-76.2624542</t>
  </si>
  <si>
    <t>BARRIO CENTRO PEREIRA 54</t>
  </si>
  <si>
    <t>3218287584</t>
  </si>
  <si>
    <t>CL 6 11 39</t>
  </si>
  <si>
    <t>3.1738658</t>
  </si>
  <si>
    <t>-76.2595435</t>
  </si>
  <si>
    <t>BARRIO CUBA PEREIRA 12</t>
  </si>
  <si>
    <t>3107886197</t>
  </si>
  <si>
    <t>CR 10 10 09,20 DE AGOSTO</t>
  </si>
  <si>
    <t>3.1723771</t>
  </si>
  <si>
    <t>-76.2634235</t>
  </si>
  <si>
    <t>BARRIO CUBA PEREIRA 11</t>
  </si>
  <si>
    <t>3007727118</t>
  </si>
  <si>
    <t>CR 10 3 54 BRR LA PLAYA,LA PLAYA</t>
  </si>
  <si>
    <t>3.1757677</t>
  </si>
  <si>
    <t>-76.2591691</t>
  </si>
  <si>
    <t>BARRIO CENTRO PEREIRA  49</t>
  </si>
  <si>
    <t>3145639249</t>
  </si>
  <si>
    <t>CL 9 4-26,CENTRO</t>
  </si>
  <si>
    <t>8.18530928</t>
  </si>
  <si>
    <t>-75.08225204</t>
  </si>
  <si>
    <t>AYAPEL</t>
  </si>
  <si>
    <t>BARRIO CENTRO PEREIRA 46</t>
  </si>
  <si>
    <t>3106307554</t>
  </si>
  <si>
    <t>3226010228</t>
  </si>
  <si>
    <t>AV 6 10-75,OTRO</t>
  </si>
  <si>
    <t>8.3140284</t>
  </si>
  <si>
    <t>-75.1419004</t>
  </si>
  <si>
    <t>BARRIO CENTRO PEREIRA 36</t>
  </si>
  <si>
    <t>3012796370</t>
  </si>
  <si>
    <t>CR 7 25 127,OSPINA PEREZ</t>
  </si>
  <si>
    <t>8.3085445</t>
  </si>
  <si>
    <t>-75.1452700</t>
  </si>
  <si>
    <t>BARRIO CENTRO PEREIRA 4</t>
  </si>
  <si>
    <t>3128991589</t>
  </si>
  <si>
    <t>CL 11 8 56,LLERAS CAMARGO</t>
  </si>
  <si>
    <t>8.313448</t>
  </si>
  <si>
    <t>-75.143987</t>
  </si>
  <si>
    <t>BARRIO SAN JORGE PEREIRA</t>
  </si>
  <si>
    <t>3123339751</t>
  </si>
  <si>
    <t>CL 2 NO. 3 69,CENTRO</t>
  </si>
  <si>
    <t>BARRIO LOS COMUNEROS PUENTE NACIONAL</t>
  </si>
  <si>
    <t>3138084212</t>
  </si>
  <si>
    <t>3107593248</t>
  </si>
  <si>
    <t>CR 6 1 07 SUR,CENTRO</t>
  </si>
  <si>
    <t>5.0673199</t>
  </si>
  <si>
    <t>-73.8805052</t>
  </si>
  <si>
    <t>BARRIO CENTRO PUENTE NACIONAL 4</t>
  </si>
  <si>
    <t>3143954177</t>
  </si>
  <si>
    <t>3133983775</t>
  </si>
  <si>
    <t>CR 6 7 11,NOCAIMA</t>
  </si>
  <si>
    <t>5.0703267</t>
  </si>
  <si>
    <t>-74.3773050</t>
  </si>
  <si>
    <t>NOCAIMA</t>
  </si>
  <si>
    <t>BARRIO CENTRO PUENTE NACIONAL 1</t>
  </si>
  <si>
    <t>3124430217</t>
  </si>
  <si>
    <t>CL 6 8 04,EL RETIRO</t>
  </si>
  <si>
    <t>5.0700085</t>
  </si>
  <si>
    <t>-74.3794422</t>
  </si>
  <si>
    <t>BARRIO CENTRO XX SINCELEJO</t>
  </si>
  <si>
    <t>3112599866</t>
  </si>
  <si>
    <t>cra 4 # 6-14 centro</t>
  </si>
  <si>
    <t>5.0692246</t>
  </si>
  <si>
    <t>-74.3773688</t>
  </si>
  <si>
    <t>BARRIO SAN CARLOS SINCELEJOS</t>
  </si>
  <si>
    <t>3125133842</t>
  </si>
  <si>
    <t>CRA 7 NRO 6 - 52 CENTRO,EL RETIRO</t>
  </si>
  <si>
    <t>5.0701845</t>
  </si>
  <si>
    <t>-74.3782435</t>
  </si>
  <si>
    <t>BARRIO AVENIDA OKALA SINCELEJO 1</t>
  </si>
  <si>
    <t>3134053020</t>
  </si>
  <si>
    <t>3118996971</t>
  </si>
  <si>
    <t>CL 7 7 25 BRR LAGUNITAS,LAGUNITAS</t>
  </si>
  <si>
    <t>4.6824827</t>
  </si>
  <si>
    <t>-74.7155370</t>
  </si>
  <si>
    <t>BARRIO AV ARGELIA SINCELEJO</t>
  </si>
  <si>
    <t>3112274721</t>
  </si>
  <si>
    <t>3114601664</t>
  </si>
  <si>
    <t>AV 2 1 31 B CENTRO QUIPILE,CENTRO</t>
  </si>
  <si>
    <t>4.7413740</t>
  </si>
  <si>
    <t>-74.5339549</t>
  </si>
  <si>
    <t>QUIPILE</t>
  </si>
  <si>
    <t>SINCELEJO CUATRO VIENTOS</t>
  </si>
  <si>
    <t>3227434051</t>
  </si>
  <si>
    <t>CL PRINCIPAL 4 33 IPM LA SIERRA.IPM LA SIERRA</t>
  </si>
  <si>
    <t>4.7901014</t>
  </si>
  <si>
    <t>-74.551646</t>
  </si>
  <si>
    <t>BARRIO CENTRO SINCELEJO 21</t>
  </si>
  <si>
    <t>3138222742</t>
  </si>
  <si>
    <t>3183554376</t>
  </si>
  <si>
    <t>CL 3 3 - 35 BRR CENTRO INSPECCION LA VIRGEN .INSPECCION LA VIRGEN</t>
  </si>
  <si>
    <t>4.6517999</t>
  </si>
  <si>
    <t>-74.5685414</t>
  </si>
  <si>
    <t>BARRIO CENTRO SINCELEJO 10</t>
  </si>
  <si>
    <t>8282758</t>
  </si>
  <si>
    <t>3105702932</t>
  </si>
  <si>
    <t xml:space="preserve"> CR 6 3 91</t>
  </si>
  <si>
    <t>5.04320635</t>
  </si>
  <si>
    <t>-73.79771705</t>
  </si>
  <si>
    <t>SESQUILÉ</t>
  </si>
  <si>
    <t>BARRIO BOSTON SINCELEJO</t>
  </si>
  <si>
    <t>3227335991</t>
  </si>
  <si>
    <t>3125553586</t>
  </si>
  <si>
    <t xml:space="preserve"> VRD BOITA</t>
  </si>
  <si>
    <t>5.0538673</t>
  </si>
  <si>
    <t>-73.8072795</t>
  </si>
  <si>
    <t>BARRIO EL CORTIJO SINCELEJO</t>
  </si>
  <si>
    <t>3118355857</t>
  </si>
  <si>
    <t>3118355859</t>
  </si>
  <si>
    <t>cra 8 no 6-39 segundo piso</t>
  </si>
  <si>
    <t>5.0464838</t>
  </si>
  <si>
    <t>-73.798324</t>
  </si>
  <si>
    <t>BARRIO BOSTON SINCELEJO 1</t>
  </si>
  <si>
    <t>3123399185</t>
  </si>
  <si>
    <t>VDA BOITA,VEREDA BOITA</t>
  </si>
  <si>
    <t>5.0531544</t>
  </si>
  <si>
    <t>-73.8076218</t>
  </si>
  <si>
    <t>BARRIO LA PALMA SINCELEJO</t>
  </si>
  <si>
    <t>3143752623</t>
  </si>
  <si>
    <t>CR 8 #6 -12</t>
  </si>
  <si>
    <t>5.046327</t>
  </si>
  <si>
    <t>-73.7988150</t>
  </si>
  <si>
    <t>BARRIO AVENIDA OCALA - SINCELEJO</t>
  </si>
  <si>
    <t>3112638344</t>
  </si>
  <si>
    <t>3214165581</t>
  </si>
  <si>
    <t>CR 6 4 49,SESQUILE</t>
  </si>
  <si>
    <t>5.0441217</t>
  </si>
  <si>
    <t>-73.7970283</t>
  </si>
  <si>
    <t>BARRIO LA GRANJA IBAGUE</t>
  </si>
  <si>
    <t>3105818330</t>
  </si>
  <si>
    <t>3208884812</t>
  </si>
  <si>
    <t>CL 5 6 - 78 LC 2,SESQUILE</t>
  </si>
  <si>
    <t>5.0448896</t>
  </si>
  <si>
    <t>-73.7974855</t>
  </si>
  <si>
    <t>BARRIO VARSOVIA II IBAGUE</t>
  </si>
  <si>
    <t>7228945</t>
  </si>
  <si>
    <t>3138453642</t>
  </si>
  <si>
    <t>CL 18 SUR 11 B 44</t>
  </si>
  <si>
    <t>4.5688753</t>
  </si>
  <si>
    <t>-74.2372564</t>
  </si>
  <si>
    <t>BARRIO NUEVA CASTILLA SUPER IBAGUE</t>
  </si>
  <si>
    <t>7816445</t>
  </si>
  <si>
    <t>3164650650</t>
  </si>
  <si>
    <t>3103148237</t>
  </si>
  <si>
    <t xml:space="preserve"> CL 14  7-93</t>
  </si>
  <si>
    <t>4.5828302</t>
  </si>
  <si>
    <t>-74.2184271</t>
  </si>
  <si>
    <t>BARRIO JARDIN SANTANDER IBAGUE  1</t>
  </si>
  <si>
    <t>3014962272</t>
  </si>
  <si>
    <t>CL 13 30 - 242 LC 2 CON FEIJOA CIUDAD VERDE,CONJUNTO FEIJOA CIUDAD VERDE/ SOACHA</t>
  </si>
  <si>
    <t>4.5993453</t>
  </si>
  <si>
    <t>-74.2219498</t>
  </si>
  <si>
    <t>BARRIO LA SAMARIA IBAGUE</t>
  </si>
  <si>
    <t>3157623555</t>
  </si>
  <si>
    <t>3112790362</t>
  </si>
  <si>
    <t>BIS KM 36 KDX 4 1 CORR AGUA CLARA VIA AL PUERTO,VDA LA JARRA</t>
  </si>
  <si>
    <t>8.2112296</t>
  </si>
  <si>
    <t>-72.4265658</t>
  </si>
  <si>
    <t>BARRIO FRANCIA IBAGUE</t>
  </si>
  <si>
    <t>3245250297</t>
  </si>
  <si>
    <t>CL 21 # 13 - 04,BARRIO ALFONSO LÓPEZ</t>
  </si>
  <si>
    <t>7.876618</t>
  </si>
  <si>
    <t>-72.509980</t>
  </si>
  <si>
    <t>BARRIO GRANDA IBAGUE</t>
  </si>
  <si>
    <t>3163550909</t>
  </si>
  <si>
    <t>3115986804</t>
  </si>
  <si>
    <t>AV 5 A # 0 - 49 LC 1,LA MERCED</t>
  </si>
  <si>
    <t>7.8970071</t>
  </si>
  <si>
    <t>-72.5052609</t>
  </si>
  <si>
    <t>BARRIO RICAURTE PARTE ALTA IBAGUE 2</t>
  </si>
  <si>
    <t>3108921487</t>
  </si>
  <si>
    <t>MZ D21 LOTE 13,URB TORCOROMA II</t>
  </si>
  <si>
    <t>7.895356</t>
  </si>
  <si>
    <t>-72.470902</t>
  </si>
  <si>
    <t>BARRIO CENTRO IBAGUE 47</t>
  </si>
  <si>
    <t>3114519214</t>
  </si>
  <si>
    <t>AV 17 5A 23,URB TORCOROMA SIGLO XXI</t>
  </si>
  <si>
    <t>7.8965827</t>
  </si>
  <si>
    <t>-72.4713106</t>
  </si>
  <si>
    <t>BARRIO CENTRO IBAGUE 46</t>
  </si>
  <si>
    <t>3115233002</t>
  </si>
  <si>
    <t>3143869024</t>
  </si>
  <si>
    <t>CL 0 NRO. 6 - 24 LC 2,LA MERCED</t>
  </si>
  <si>
    <t>-72.4915095</t>
  </si>
  <si>
    <t>BARRIO SAN ANTONIO IBAGUE 1</t>
  </si>
  <si>
    <t>3004940299</t>
  </si>
  <si>
    <t>CL 9 5 A 15,CENTRO</t>
  </si>
  <si>
    <t>8.3148891</t>
  </si>
  <si>
    <t>-75.1413865</t>
  </si>
  <si>
    <t>BARRIO LOS MARTIRES IBAGUE 4</t>
  </si>
  <si>
    <t>7799766</t>
  </si>
  <si>
    <t>3105621245</t>
  </si>
  <si>
    <t xml:space="preserve"> FRENTE AL PALACIO MUNICIPAL SAN ANDRES DE SOTAVENTO CORDOBA</t>
  </si>
  <si>
    <t>9.1452805</t>
  </si>
  <si>
    <t>-75.5091796</t>
  </si>
  <si>
    <t>BARRIO URB VASCONIA IBAGUE</t>
  </si>
  <si>
    <t>3147019286</t>
  </si>
  <si>
    <t>CR 7 E CL 9-192 LC 01,LAS FLORES</t>
  </si>
  <si>
    <t>9.1458672</t>
  </si>
  <si>
    <t>-75.5096154</t>
  </si>
  <si>
    <t>BARRIO PRADERAS DE SANTA RITA IBAGUE 1</t>
  </si>
  <si>
    <t>7730072</t>
  </si>
  <si>
    <t>3008190156</t>
  </si>
  <si>
    <t>CR 14 12B 11  local 2</t>
  </si>
  <si>
    <t>9.37380381</t>
  </si>
  <si>
    <t>-75.75948523</t>
  </si>
  <si>
    <t>BARRIO AMBALA IBAGUE 11</t>
  </si>
  <si>
    <t>3002569806</t>
  </si>
  <si>
    <t>3013313660</t>
  </si>
  <si>
    <t>CR 14 13 A -52,OTRO</t>
  </si>
  <si>
    <t>9.3754531</t>
  </si>
  <si>
    <t>-75.7591629</t>
  </si>
  <si>
    <t>BARRIO GALAN IBAGUE 1</t>
  </si>
  <si>
    <t>3124746391</t>
  </si>
  <si>
    <t>3144166930</t>
  </si>
  <si>
    <t>CL 7 21 122 BRR LA CRINOLINA,LA CRINOLINA</t>
  </si>
  <si>
    <t>5.1357177</t>
  </si>
  <si>
    <t>-74.1570312</t>
  </si>
  <si>
    <t>PACHO</t>
  </si>
  <si>
    <t>BARRIO KENNEDY IBAGUE</t>
  </si>
  <si>
    <t>3223057969</t>
  </si>
  <si>
    <t>CL 8 27 181</t>
  </si>
  <si>
    <t>5.1418421</t>
  </si>
  <si>
    <t>-74.1579459</t>
  </si>
  <si>
    <t>BARRIO EL CARMEN IBAGUE 11</t>
  </si>
  <si>
    <t>3213679546</t>
  </si>
  <si>
    <t>CL 8 14 19 CEN,CENTRO</t>
  </si>
  <si>
    <t>5.1286978</t>
  </si>
  <si>
    <t>-74.1594132</t>
  </si>
  <si>
    <t>BARRIO CENTRO IBAGUE 34</t>
  </si>
  <si>
    <t>3123088895</t>
  </si>
  <si>
    <t>CLL 8 Nº 12-18 BRR KENNEDY</t>
  </si>
  <si>
    <t>5.1274285</t>
  </si>
  <si>
    <t>-74.1602800</t>
  </si>
  <si>
    <t>BARRIO MODELIA I IBAGUE 1</t>
  </si>
  <si>
    <t>8450086</t>
  </si>
  <si>
    <t>3115380315</t>
  </si>
  <si>
    <t xml:space="preserve"> CL 3  4-01</t>
  </si>
  <si>
    <t>4.6162167</t>
  </si>
  <si>
    <t>-74.3517442</t>
  </si>
  <si>
    <t>BARRIO EL SALADO IBAGUE 8</t>
  </si>
  <si>
    <t>3132233010</t>
  </si>
  <si>
    <t>KM 19 VIA BOGOTA / MESITAS VDA VANCOUVER.SECTOR BELLAVISTA</t>
  </si>
  <si>
    <t>4.5887218</t>
  </si>
  <si>
    <t>-74.3502209</t>
  </si>
  <si>
    <t>BARRIO LOS CEDROS</t>
  </si>
  <si>
    <t>3143043253</t>
  </si>
  <si>
    <t>3204640506</t>
  </si>
  <si>
    <t>3132971817</t>
  </si>
  <si>
    <t>URB VILLA GLORIA LAS MERCEDES LT 1 ET 4 LC 2,URB. VILLA GLORIA</t>
  </si>
  <si>
    <t>4.9682428</t>
  </si>
  <si>
    <t>-74.2884633</t>
  </si>
  <si>
    <t>BARRIO LAS FERIAS IBAGUE 1</t>
  </si>
  <si>
    <t>3118127555</t>
  </si>
  <si>
    <t>CR 2 2 01,VILLA CARMENZA</t>
  </si>
  <si>
    <t>4.9686720</t>
  </si>
  <si>
    <t>-74.2878982</t>
  </si>
  <si>
    <t>BARRIO ANCON IBAGUE 3</t>
  </si>
  <si>
    <t>3102649666</t>
  </si>
  <si>
    <t>DG 32 10 20 BALCONES DE MERCURIO II PISO 2,"RINCÓN DE SANTA FE CONJUNTO BALCONES DE MERCURIO</t>
  </si>
  <si>
    <t>4.5904367</t>
  </si>
  <si>
    <t>-74.2062183</t>
  </si>
  <si>
    <t>BARRIO JORDAN III ETAPA IBAGUE</t>
  </si>
  <si>
    <t>3204309382</t>
  </si>
  <si>
    <t>CL 22 B 7A 56,CAMILO TORRES SOACHA</t>
  </si>
  <si>
    <t>4.5844990</t>
  </si>
  <si>
    <t>-74.2117600</t>
  </si>
  <si>
    <t>BARRIO HIPODROMO IBAGUE 6</t>
  </si>
  <si>
    <t>3212356827</t>
  </si>
  <si>
    <t>BARRIO AMBALA IBAGUE 7</t>
  </si>
  <si>
    <t>BARIO PICALEÑA IBAGUE</t>
  </si>
  <si>
    <t>3186940845</t>
  </si>
  <si>
    <t>3168239966</t>
  </si>
  <si>
    <t>CL 1 4 F 32,LAGOS DE MALIBÚ</t>
  </si>
  <si>
    <t>4.5754878</t>
  </si>
  <si>
    <t>-74.2258448</t>
  </si>
  <si>
    <t>BARRIO RICAURTE PARTE BAJA IBAGUE 1</t>
  </si>
  <si>
    <t>3114630996</t>
  </si>
  <si>
    <t>CL 30 A 6 G 46 ESTE,SAN MATEO</t>
  </si>
  <si>
    <t>4.5795104</t>
  </si>
  <si>
    <t>-74.2009268</t>
  </si>
  <si>
    <t>BARRIO URBANIZACION SANTA ANA IBAGUE</t>
  </si>
  <si>
    <t>3187369105</t>
  </si>
  <si>
    <t>3212047655</t>
  </si>
  <si>
    <t>CR 7 32 35 LC 211,SAN MATEO SOACHA</t>
  </si>
  <si>
    <t>4.588177</t>
  </si>
  <si>
    <t>-74.204596</t>
  </si>
  <si>
    <t>BARRIO AVENIDA PEDRO TAFUR IBAGUE</t>
  </si>
  <si>
    <t>3115647886</t>
  </si>
  <si>
    <t>3133793107</t>
  </si>
  <si>
    <t>TV 12A 38C 53,LEON X111</t>
  </si>
  <si>
    <t>4.5921033</t>
  </si>
  <si>
    <t>-74.1993750</t>
  </si>
  <si>
    <t>BARRIO LA POLA IBAGUE 4</t>
  </si>
  <si>
    <t>3022731103</t>
  </si>
  <si>
    <t>3505831388</t>
  </si>
  <si>
    <t>AV 6 NRO 8-72 CENTRO COMERCIAL FANTASTICO LOCAL 108 BR EL CENTRO</t>
  </si>
  <si>
    <t>7.887967</t>
  </si>
  <si>
    <t>-72.505241</t>
  </si>
  <si>
    <t>BARRIO EL BUNDE IV IBAGUE</t>
  </si>
  <si>
    <t>3108720932</t>
  </si>
  <si>
    <t>3124857645</t>
  </si>
  <si>
    <t>AV 7 NRO 5-55 LC 239 CC LAS MERCEDES,CALLEJON</t>
  </si>
  <si>
    <t>7.8913012</t>
  </si>
  <si>
    <t>-72.5065001</t>
  </si>
  <si>
    <t>BARRIO INTERLAKEN IBAGUE 2</t>
  </si>
  <si>
    <t>3224647950</t>
  </si>
  <si>
    <t>Avenida 9e #6n-95 santa lucia</t>
  </si>
  <si>
    <t>7.8947667</t>
  </si>
  <si>
    <t>-72.4724133</t>
  </si>
  <si>
    <t>BARRIO VILLA MARLEN 2 IBAGUE</t>
  </si>
  <si>
    <t>3007201258</t>
  </si>
  <si>
    <t>3136570964</t>
  </si>
  <si>
    <t>CL 8 NRO 6-65 LOC 24-034 A PS.2 CC ALEJANDRIA BR EL CENTRO</t>
  </si>
  <si>
    <t>7.888593</t>
  </si>
  <si>
    <t>-72.505879</t>
  </si>
  <si>
    <t>BARRIO EL PAYASO IBAGUÉ</t>
  </si>
  <si>
    <t>3102127135</t>
  </si>
  <si>
    <t>CL 12 12 12 BRR EL CONTENTO</t>
  </si>
  <si>
    <t>7.883389</t>
  </si>
  <si>
    <t>-72.510738</t>
  </si>
  <si>
    <t>BARRIO AMBALA II IBAGUE</t>
  </si>
  <si>
    <t>3208709455</t>
  </si>
  <si>
    <t>TV 17 0-23,PUEBLO NUEVO</t>
  </si>
  <si>
    <t>7.8918919</t>
  </si>
  <si>
    <t>-72.5247265</t>
  </si>
  <si>
    <t>BARRIO URB PIEDRA PINTADA IBAGUE</t>
  </si>
  <si>
    <t>3136394465</t>
  </si>
  <si>
    <t>3177774006</t>
  </si>
  <si>
    <t>CALLE PRINCIPAL BARRIO CENTRO</t>
  </si>
  <si>
    <t>1.6280011</t>
  </si>
  <si>
    <t>-77.45857</t>
  </si>
  <si>
    <t>POLICARPA</t>
  </si>
  <si>
    <t>MATERIALES EMO - IBAGUE</t>
  </si>
  <si>
    <t>EN CORREGIMIENTO MADRIGAL,CORREGIMIENTO MADRIGAL</t>
  </si>
  <si>
    <t>1.7492855</t>
  </si>
  <si>
    <t>-77.509080</t>
  </si>
  <si>
    <t>BARRIO JAZMIN TOLIMA</t>
  </si>
  <si>
    <t>3132291710</t>
  </si>
  <si>
    <t>3123677656</t>
  </si>
  <si>
    <t>CORREGIMIENTO DE SANTACRUZ</t>
  </si>
  <si>
    <t>1.826870</t>
  </si>
  <si>
    <t>-77.548460</t>
  </si>
  <si>
    <t>BARRIO OTRO LOS CORDOBAS</t>
  </si>
  <si>
    <t>3206578579</t>
  </si>
  <si>
    <t>3104691254</t>
  </si>
  <si>
    <t>VEREDA SANTA ROSA,VEREDA SANTA ROSA</t>
  </si>
  <si>
    <t>1.855818333</t>
  </si>
  <si>
    <t>-77.5604683333</t>
  </si>
  <si>
    <t>BARRIO VEREDA GALILEA COMUNIDAD 10</t>
  </si>
  <si>
    <t>3188958667</t>
  </si>
  <si>
    <t>3187254990</t>
  </si>
  <si>
    <t>CORREGIMIENTO EL EJIDO POLICARPA,CORREGIMIENTO EL EJIDO</t>
  </si>
  <si>
    <t>1.716995</t>
  </si>
  <si>
    <t>-77.512102</t>
  </si>
  <si>
    <t>BARRIO PLAYA SALGUERO SANTA MARTA</t>
  </si>
  <si>
    <t>3205642348</t>
  </si>
  <si>
    <t>CR 8 6 34 BARRIO SHUMACHER,SHUMACHER</t>
  </si>
  <si>
    <t>1.334546</t>
  </si>
  <si>
    <t>-77.593959</t>
  </si>
  <si>
    <t>BARRIO LOS LAURELES SANTA MARTA 1</t>
  </si>
  <si>
    <t>3104142980</t>
  </si>
  <si>
    <t>CR 5 6 08 ESQ BRR INDUSTRIAL,INDUSTRIAL</t>
  </si>
  <si>
    <t>1.3369908</t>
  </si>
  <si>
    <t>-77.5929864</t>
  </si>
  <si>
    <t>BARRIO MARIA EUGENIA SANTA MARTA  3</t>
  </si>
  <si>
    <t>3162950448</t>
  </si>
  <si>
    <t>3188903068</t>
  </si>
  <si>
    <t>CL 1 CR 4 43 DIV 2 BRR SUCRE,EL PROGRESO</t>
  </si>
  <si>
    <t>1.3391715</t>
  </si>
  <si>
    <t>-77.5943070</t>
  </si>
  <si>
    <t>BARRIO CIUDAD EQUIDAD SANTA MARTA 1</t>
  </si>
  <si>
    <t>MZ A LOTE 4 CONJUNTO CAMPESTRE SAN CRISTOBAL,SAN CRISTOBAL</t>
  </si>
  <si>
    <t>7.5971603</t>
  </si>
  <si>
    <t>-72.6017712</t>
  </si>
  <si>
    <t>BARRIO ALTOS DE SANTA MARTA SANTA MARTA 1</t>
  </si>
  <si>
    <t>3205319355</t>
  </si>
  <si>
    <t>CR 4 7-77,CENTRO</t>
  </si>
  <si>
    <t>7.6216216</t>
  </si>
  <si>
    <t>-72.5872133</t>
  </si>
  <si>
    <t>BARRIO CENTRO SANTA MARTA 17</t>
  </si>
  <si>
    <t>3202883562</t>
  </si>
  <si>
    <t>CR 10 A 6A 21 SUR,VALLE SANTA ANA</t>
  </si>
  <si>
    <t>4.5662293</t>
  </si>
  <si>
    <t>-74.2308454</t>
  </si>
  <si>
    <t>BARRIO LIBANO 2000 SANTA MARTA</t>
  </si>
  <si>
    <t>3046020519</t>
  </si>
  <si>
    <t>CL 32 SUR 15 C 54,CIUDAD LATINA</t>
  </si>
  <si>
    <t>4.575401</t>
  </si>
  <si>
    <t>-74.243774</t>
  </si>
  <si>
    <t>BARRIO URBANIZACION ANDREA CAROLINA</t>
  </si>
  <si>
    <t>3208425592</t>
  </si>
  <si>
    <t>CALLE 53 NO 10 - 33,LEON XIII</t>
  </si>
  <si>
    <t>4.5961379</t>
  </si>
  <si>
    <t>-74.1911335</t>
  </si>
  <si>
    <t>BARRIO EL DORADO PASTO</t>
  </si>
  <si>
    <t>3203119503</t>
  </si>
  <si>
    <t>3045328223</t>
  </si>
  <si>
    <t>CR 17 19 A SUR 112,INDUMIL</t>
  </si>
  <si>
    <t>4.5809551</t>
  </si>
  <si>
    <t>-74.2416241</t>
  </si>
  <si>
    <t>BARRIO VILLA DEL SOL</t>
  </si>
  <si>
    <t>3232232476</t>
  </si>
  <si>
    <t>3232293153</t>
  </si>
  <si>
    <t>CR 3 12B - 04,UBATE SOACHA</t>
  </si>
  <si>
    <t>4.5772351</t>
  </si>
  <si>
    <t>-74.2180057</t>
  </si>
  <si>
    <t>BARRIO PATIO BONITO II</t>
  </si>
  <si>
    <t>3197797174</t>
  </si>
  <si>
    <t>CR 5 ESTE 29 C 50,SAN MATEO</t>
  </si>
  <si>
    <t>4.580607</t>
  </si>
  <si>
    <t>-74.2041581</t>
  </si>
  <si>
    <t>BARRIO FONTIBON VII BOGOTA</t>
  </si>
  <si>
    <t>3116043590</t>
  </si>
  <si>
    <t>3125067284</t>
  </si>
  <si>
    <t>TV 19 39 C - 105 LC 1, POTRERO GRANDE SOACHA</t>
  </si>
  <si>
    <t>4.5953719</t>
  </si>
  <si>
    <t>-74.205377</t>
  </si>
  <si>
    <t>BARRIO NORMANDIA XI BOGOTA</t>
  </si>
  <si>
    <t>3156103183</t>
  </si>
  <si>
    <t>CL 1 5 B 06,QUINTAS DE LA LAGUNA</t>
  </si>
  <si>
    <t>4.5800664</t>
  </si>
  <si>
    <t>-74.2258461</t>
  </si>
  <si>
    <t>BARRIO MOLINOS IV BOGOTA</t>
  </si>
  <si>
    <t>3123785446</t>
  </si>
  <si>
    <t>3112175689</t>
  </si>
  <si>
    <t>CL 10 NRO 14 111 LC 4Y5,BR SAN MIGUEL</t>
  </si>
  <si>
    <t>7.884906651084266</t>
  </si>
  <si>
    <t>-72.51421798833027</t>
  </si>
  <si>
    <t>MATERIALES EMO II CALI</t>
  </si>
  <si>
    <t>3219495425</t>
  </si>
  <si>
    <t>MZ 32 - 5,BR PALMERAS PARTE ALTA</t>
  </si>
  <si>
    <t>7.905714</t>
  </si>
  <si>
    <t>-72.529599</t>
  </si>
  <si>
    <t>BARRIO LA GLORIA VICTORIA BOGOTA</t>
  </si>
  <si>
    <t>3015012755</t>
  </si>
  <si>
    <t>AV 6 CL 26 LC 1 BRR BUENOS AIRES</t>
  </si>
  <si>
    <t>7.9286603</t>
  </si>
  <si>
    <t>-72.5193356</t>
  </si>
  <si>
    <t>BARRIO MUNICIPAL - CALI</t>
  </si>
  <si>
    <t>3204437646</t>
  </si>
  <si>
    <t>3208903206</t>
  </si>
  <si>
    <t>CALLE 30 #1-81 LOCAL15,SAN MATEO</t>
  </si>
  <si>
    <t>4.5833230</t>
  </si>
  <si>
    <t>-74.2050433</t>
  </si>
  <si>
    <t>BARRIO LAGOS DE SUBA III BOGOTA</t>
  </si>
  <si>
    <t>3214243579</t>
  </si>
  <si>
    <t>3165669317</t>
  </si>
  <si>
    <t>3204924701</t>
  </si>
  <si>
    <t>CR 9 10 22 S,NEMESIS</t>
  </si>
  <si>
    <t>4.564492</t>
  </si>
  <si>
    <t>-74.232105</t>
  </si>
  <si>
    <t>BARRIO AURES - BOGOTÁ</t>
  </si>
  <si>
    <t>BARRIO SUBA XVII - BOGOTÁ</t>
  </si>
  <si>
    <t>3158130148</t>
  </si>
  <si>
    <t>3112291888</t>
  </si>
  <si>
    <t>CL 27 SUR #15G - 60 </t>
  </si>
  <si>
    <t>4.5759733</t>
  </si>
  <si>
    <t>-74.2416533</t>
  </si>
  <si>
    <t>BARRIO QUINTA PAREDES IV - BOGOTÁ</t>
  </si>
  <si>
    <t>3118606637</t>
  </si>
  <si>
    <t>3232503818</t>
  </si>
  <si>
    <t>CL 34 ESTE 14-00 BL 24 CA 21 BOSQUES DE TIBANICA,SOACHA</t>
  </si>
  <si>
    <t>4.57814</t>
  </si>
  <si>
    <t>-74.195057</t>
  </si>
  <si>
    <t>BARRIO LA FELICIDAD - BOGOTÁ</t>
  </si>
  <si>
    <t>3142143013</t>
  </si>
  <si>
    <t>CALLE 30 NO 1 - 140,SAN MATEO</t>
  </si>
  <si>
    <t>4.5842339</t>
  </si>
  <si>
    <t>-74.2051463</t>
  </si>
  <si>
    <t>BARRIO SUBA XX - BOGOTÁ</t>
  </si>
  <si>
    <t>3112907216</t>
  </si>
  <si>
    <t>CR 4 28 - 04</t>
  </si>
  <si>
    <t>4.584904</t>
  </si>
  <si>
    <t>-74.206996</t>
  </si>
  <si>
    <t>CANDELARIA LA NUEVA BOGOTÁ - CUNDINAMARCA</t>
  </si>
  <si>
    <t>3125583296</t>
  </si>
  <si>
    <t>3209969707</t>
  </si>
  <si>
    <t>CR 14 ESTE # 32 A - 90,SOACHA TERREROS</t>
  </si>
  <si>
    <t>4.5778786</t>
  </si>
  <si>
    <t>-74.1962066</t>
  </si>
  <si>
    <t>SAN JOSÉ BOGOTÁ - CUNDINAMARCA</t>
  </si>
  <si>
    <t>3539261</t>
  </si>
  <si>
    <t>3153834689</t>
  </si>
  <si>
    <t xml:space="preserve"> CR 4  4-30</t>
  </si>
  <si>
    <t>5.31445424</t>
  </si>
  <si>
    <t>-75.80114524</t>
  </si>
  <si>
    <t>BARRIO SUBA LISBOA BOGOTA</t>
  </si>
  <si>
    <t>CR 5 12 32 40,CENTRO</t>
  </si>
  <si>
    <t>5.3155780</t>
  </si>
  <si>
    <t>-75.7981176</t>
  </si>
  <si>
    <t>BARRIO PATIO BONITO 13 BOGOTÁ</t>
  </si>
  <si>
    <t>3122228320</t>
  </si>
  <si>
    <t>CR 7 11 56 LC 1,EL JARDIN</t>
  </si>
  <si>
    <t>5.3170577</t>
  </si>
  <si>
    <t>-75.7989987</t>
  </si>
  <si>
    <t>BARRIO SAN NICOLAS VII - CALI</t>
  </si>
  <si>
    <t>3655672</t>
  </si>
  <si>
    <t>3148128310</t>
  </si>
  <si>
    <t xml:space="preserve">CL 16  14 - 26 CENTRO </t>
  </si>
  <si>
    <t>4.8680410</t>
  </si>
  <si>
    <t>-75.6219756</t>
  </si>
  <si>
    <t>BARRIO CALIMA VIII- CALI</t>
  </si>
  <si>
    <t>3650257</t>
  </si>
  <si>
    <t>3003550208</t>
  </si>
  <si>
    <t xml:space="preserve"> CL 12 9 89</t>
  </si>
  <si>
    <t>4.8657664</t>
  </si>
  <si>
    <t>-75.6169915</t>
  </si>
  <si>
    <t>BARRIO CENTENARIO BOGOTA</t>
  </si>
  <si>
    <t>3653096</t>
  </si>
  <si>
    <t>3104998310</t>
  </si>
  <si>
    <t xml:space="preserve"> CR 10 B 30 A 06 TORRE 1 APTO 103 A PORTAL DE LAS ARAUCARIAS</t>
  </si>
  <si>
    <t>4.8812574</t>
  </si>
  <si>
    <t>-75.6219682</t>
  </si>
  <si>
    <t>BARRIO SANTA HELENITA 3 BOGOTA</t>
  </si>
  <si>
    <t>BARRIO SUBA GAITANA BOGOTA 1</t>
  </si>
  <si>
    <t>3137605833</t>
  </si>
  <si>
    <t>CRA 14# 18-14 centro</t>
  </si>
  <si>
    <t>4.8699557</t>
  </si>
  <si>
    <t>-75.6222946</t>
  </si>
  <si>
    <t>BARRIO SUBA LOMBARDIA BOGOTA 1</t>
  </si>
  <si>
    <t>3172902553</t>
  </si>
  <si>
    <t>KR 10 BIS N 9B - 45 BRR BOLIVAR, BOLIVAR</t>
  </si>
  <si>
    <t>4.8635043</t>
  </si>
  <si>
    <t>-75.6191720</t>
  </si>
  <si>
    <t>BARRIO LA ESTANCIA 2 BOGOTÁ</t>
  </si>
  <si>
    <t>3216871486</t>
  </si>
  <si>
    <t>CL 45 13 03 MZ 3 CA 52 BRR LOS CRISTALES,LOS CRISTALES</t>
  </si>
  <si>
    <t>4.8923411</t>
  </si>
  <si>
    <t>-75.6263721</t>
  </si>
  <si>
    <t>BARRIO 7 DE AGOSTO 10 BOGOTÁ</t>
  </si>
  <si>
    <t>3058529112</t>
  </si>
  <si>
    <t>3045986489</t>
  </si>
  <si>
    <t>CR 23 23 02,LA HERMOSA</t>
  </si>
  <si>
    <t>4.8730042</t>
  </si>
  <si>
    <t>-75.6288867</t>
  </si>
  <si>
    <t>BARRIO SUBA ALCAPARROS  BOGOTÁ</t>
  </si>
  <si>
    <t>BARRIO CENTRO SAN NICOLAS CALI</t>
  </si>
  <si>
    <t>3204160791</t>
  </si>
  <si>
    <t>VRD 0 0 0 KM 10 VIA SANGIL BARICHARA VEREDA EL GUAYABAL,VEREDA EL GUAYABAL</t>
  </si>
  <si>
    <t>6.6064792</t>
  </si>
  <si>
    <t>-73.2375133</t>
  </si>
  <si>
    <t>BARRIO CENTRO CALI 7</t>
  </si>
  <si>
    <t>6229758</t>
  </si>
  <si>
    <t>3206679525</t>
  </si>
  <si>
    <t xml:space="preserve"> CR 17  47-44</t>
  </si>
  <si>
    <t>7.5801354</t>
  </si>
  <si>
    <t>-73.86017434</t>
  </si>
  <si>
    <t>BARRIO PERDOMO BOGOTA 6</t>
  </si>
  <si>
    <t>6200176</t>
  </si>
  <si>
    <t>3002873915</t>
  </si>
  <si>
    <t xml:space="preserve"> CR 8 50 17 CPC FASE II LC 169</t>
  </si>
  <si>
    <t>7.0610847</t>
  </si>
  <si>
    <t>-73.8689389</t>
  </si>
  <si>
    <t>BARRIO PATIO BONITO BOGOTA 2</t>
  </si>
  <si>
    <t>3118242969</t>
  </si>
  <si>
    <t>3223283168</t>
  </si>
  <si>
    <t>CL 45 35 A 06,SIMON BOLIVAR</t>
  </si>
  <si>
    <t>7.056753</t>
  </si>
  <si>
    <t>-73.843971</t>
  </si>
  <si>
    <t>BARRIO MARROQUIN 2 CALI</t>
  </si>
  <si>
    <t>311 8242969</t>
  </si>
  <si>
    <t>3162678137</t>
  </si>
  <si>
    <t>AV 52 A 35 B 17 PRIMERO DE MAYO,SIMON BOLIVAR</t>
  </si>
  <si>
    <t>7.06261000</t>
  </si>
  <si>
    <t>-73.841529</t>
  </si>
  <si>
    <t>BARRIO LAS PALMITAS BOGOTA</t>
  </si>
  <si>
    <t>3226836079</t>
  </si>
  <si>
    <t>AV 1E 12-39,BRR CAOBOS</t>
  </si>
  <si>
    <t>7.8851621</t>
  </si>
  <si>
    <t>-72.4973821</t>
  </si>
  <si>
    <t>BARRIO PATIO BONITO BOGOTA 3</t>
  </si>
  <si>
    <t>AV 0 11-165 LC 1,BRR CAOBOS</t>
  </si>
  <si>
    <t>7.88532200</t>
  </si>
  <si>
    <t>-72.4979199</t>
  </si>
  <si>
    <t>BARRIO SAN PABLO BOGOTA</t>
  </si>
  <si>
    <t>3143149820</t>
  </si>
  <si>
    <t>AV 7 NRO 0-69 LOCAL M1-39,BRR CALLEJON</t>
  </si>
  <si>
    <t>-72.5065362</t>
  </si>
  <si>
    <t>BARRIO SANTO DOMINGO CALI</t>
  </si>
  <si>
    <t>3208014971</t>
  </si>
  <si>
    <t>CL 7 2-95,LATINO</t>
  </si>
  <si>
    <t>7.890385166</t>
  </si>
  <si>
    <t>-72.502136222</t>
  </si>
  <si>
    <t>BARRIO PRADOS DEL NORTE CALI 1</t>
  </si>
  <si>
    <t>CC ALEJANDRIA LOC 34 - 043/34-044 EL CENTRO,</t>
  </si>
  <si>
    <t>7.8885719722</t>
  </si>
  <si>
    <t>-72.5056960</t>
  </si>
  <si>
    <t>BARRIO EL SALITRE BOGOTA</t>
  </si>
  <si>
    <t>3107355344</t>
  </si>
  <si>
    <t>3107355644</t>
  </si>
  <si>
    <t>CL 18A 7-78,BRR LA LIBERTAD</t>
  </si>
  <si>
    <t>7.887455</t>
  </si>
  <si>
    <t>-72.481408</t>
  </si>
  <si>
    <t>BARRIO BETANIA BOGOTA 1</t>
  </si>
  <si>
    <t>3002012150</t>
  </si>
  <si>
    <t>CL 5 N 8-81 - CALLEJON</t>
  </si>
  <si>
    <t>7.891091777</t>
  </si>
  <si>
    <t>-72.50891875</t>
  </si>
  <si>
    <t>BARRIO CENTRO CALI 19</t>
  </si>
  <si>
    <t>3004725680</t>
  </si>
  <si>
    <t>CL 9 4-42 LOC 79 Y 80 CC EL PALACIO,EL CENTRO</t>
  </si>
  <si>
    <t>7.888283000</t>
  </si>
  <si>
    <t>-72.50335497</t>
  </si>
  <si>
    <t>BARRIO SALOMIA CALI 3</t>
  </si>
  <si>
    <t>3136617621</t>
  </si>
  <si>
    <t>AV 7 0-61 LC N1 86 MUELLE 1,CALLEJON</t>
  </si>
  <si>
    <t>7.8959599722</t>
  </si>
  <si>
    <t>-72.5079209722</t>
  </si>
  <si>
    <t>BARRIO LA PRIMAVERA CALI  1</t>
  </si>
  <si>
    <t>3017754759</t>
  </si>
  <si>
    <t>CL 6 NRO 13-36,COMUNEROS</t>
  </si>
  <si>
    <t>7.9128332</t>
  </si>
  <si>
    <t>-72.5255081</t>
  </si>
  <si>
    <t>BARRIO CONDADO DE CASTILLA BOGOTA</t>
  </si>
  <si>
    <t>7797945</t>
  </si>
  <si>
    <t>3134794656</t>
  </si>
  <si>
    <t>CL 48 12 09E JULIO RINCON SOACHA</t>
  </si>
  <si>
    <t>4.5864764</t>
  </si>
  <si>
    <t>-74.1887242</t>
  </si>
  <si>
    <t>BARRIO BOSA PIAMONTE BOGOTA 4</t>
  </si>
  <si>
    <t>3134421549</t>
  </si>
  <si>
    <t>TV 18 J # 10-20,DANUBIO SOACHA</t>
  </si>
  <si>
    <t>4.5892137</t>
  </si>
  <si>
    <t>-74.2239448</t>
  </si>
  <si>
    <t>BARRIO MONTE BLANCO BOGOTA  2</t>
  </si>
  <si>
    <t>9003134</t>
  </si>
  <si>
    <t>3132602711</t>
  </si>
  <si>
    <t>CL 26 SUR 12 C 7 COMPARTIR</t>
  </si>
  <si>
    <t>4.5706617</t>
  </si>
  <si>
    <t>-74.2392233</t>
  </si>
  <si>
    <t>BARRIO CHARCO AZUL CALI</t>
  </si>
  <si>
    <t>9016475</t>
  </si>
  <si>
    <t>3142356726</t>
  </si>
  <si>
    <t>3102203883</t>
  </si>
  <si>
    <t>CR 9A 16A - 105 SUR TO 4 AP 102,</t>
  </si>
  <si>
    <t>4.579474</t>
  </si>
  <si>
    <t>-74.234707</t>
  </si>
  <si>
    <t>BARRIO VEREDA CASICASGO SUESCA</t>
  </si>
  <si>
    <t>3223650121</t>
  </si>
  <si>
    <t>TV 12 45 - 105</t>
  </si>
  <si>
    <t>4.5977224</t>
  </si>
  <si>
    <t>-74.1913118</t>
  </si>
  <si>
    <t>BARRIO BAVARIA PRIMER SECTOR BOGOTA</t>
  </si>
  <si>
    <t>7622324</t>
  </si>
  <si>
    <t>3143428069</t>
  </si>
  <si>
    <t xml:space="preserve"> TV 13  36 06</t>
  </si>
  <si>
    <t>4.5903402</t>
  </si>
  <si>
    <t>-74.2003543</t>
  </si>
  <si>
    <t>BARRIO MARIA PAZ BOGOTA 7</t>
  </si>
  <si>
    <t>3125660490</t>
  </si>
  <si>
    <t>TV 7 4B 06</t>
  </si>
  <si>
    <t>4.5826202</t>
  </si>
  <si>
    <t>-74.2238858</t>
  </si>
  <si>
    <t>BARRIO BOSA PIAMONTE BOGOTA 5</t>
  </si>
  <si>
    <t>9021863</t>
  </si>
  <si>
    <t>3134919803</t>
  </si>
  <si>
    <t>3106296568</t>
  </si>
  <si>
    <t xml:space="preserve"> CR 15 F  32 67</t>
  </si>
  <si>
    <t>4.5753914</t>
  </si>
  <si>
    <t>-74.2442273</t>
  </si>
  <si>
    <t>BARRIO RIO NEGRO BOGOTA 4</t>
  </si>
  <si>
    <t>8284868</t>
  </si>
  <si>
    <t>3017495569</t>
  </si>
  <si>
    <t>3154041340</t>
  </si>
  <si>
    <t xml:space="preserve"> CR 2C  26 05 LC 101</t>
  </si>
  <si>
    <t>4.583291</t>
  </si>
  <si>
    <t>-74.2084915</t>
  </si>
  <si>
    <t>BARRIO BOSA BOGOTA 6</t>
  </si>
  <si>
    <t>3113797153</t>
  </si>
  <si>
    <t>CR 3  3 - 10 BRR PIEDRA DE BOLIVAR CABECERA MUNCIPAL DE BERRUECOS</t>
  </si>
  <si>
    <t>1.50327</t>
  </si>
  <si>
    <t>-77.135802</t>
  </si>
  <si>
    <t>ARBOLEDA</t>
  </si>
  <si>
    <t>BERRUECOS</t>
  </si>
  <si>
    <t>BARRIO BOSA BOGOTA 7</t>
  </si>
  <si>
    <t>318 8895881</t>
  </si>
  <si>
    <t>3188895881</t>
  </si>
  <si>
    <t>3209780387</t>
  </si>
  <si>
    <t>CC C.P.C FASE 1 LOCAL 156 SECTOR COMERCIAL,BARRANCABERMEJA</t>
  </si>
  <si>
    <t>7.0610928</t>
  </si>
  <si>
    <t>-73.8689381</t>
  </si>
  <si>
    <t>BARRIO CENTRO CALI 23</t>
  </si>
  <si>
    <t>3124542809</t>
  </si>
  <si>
    <t>3166740291</t>
  </si>
  <si>
    <t>CR 21 54 38 LOCAL 2,TORCOROMA</t>
  </si>
  <si>
    <t>7.6455449</t>
  </si>
  <si>
    <t>-73.85621191</t>
  </si>
  <si>
    <t>BARRIO BOSA PORVENIR BOGOTA 2</t>
  </si>
  <si>
    <t>3102441621</t>
  </si>
  <si>
    <t>CL 9 4 34,BRR SAN ANTONIO</t>
  </si>
  <si>
    <t>5.9896741</t>
  </si>
  <si>
    <t>-73.7711300</t>
  </si>
  <si>
    <t>BARRIO BOSA CARLOS ALBAN BOGOTA 1</t>
  </si>
  <si>
    <t>3115068900</t>
  </si>
  <si>
    <t>CR 4 9 45,NUEVO PORTAL</t>
  </si>
  <si>
    <t>5.9900675</t>
  </si>
  <si>
    <t>-73.7707332</t>
  </si>
  <si>
    <t>BARRIO LAS GRANJAS BOGOTA</t>
  </si>
  <si>
    <t>6600050</t>
  </si>
  <si>
    <t>3132630189</t>
  </si>
  <si>
    <t xml:space="preserve"> CR 4  3-91</t>
  </si>
  <si>
    <t>6.5295383</t>
  </si>
  <si>
    <t>-72.6968520</t>
  </si>
  <si>
    <t>BARRIO PRADOS DE SANTA BARBARA BOGOTA</t>
  </si>
  <si>
    <t>3102178805</t>
  </si>
  <si>
    <t>CR 4 NO.1-11,LIBERTADORES</t>
  </si>
  <si>
    <t>7.1137912</t>
  </si>
  <si>
    <t>-73.1081034</t>
  </si>
  <si>
    <t>BARRIO AURES II BOGOTA 1</t>
  </si>
  <si>
    <t>2798260</t>
  </si>
  <si>
    <t>3125722106</t>
  </si>
  <si>
    <t xml:space="preserve"> CR 14  24-30</t>
  </si>
  <si>
    <t>6.2879694</t>
  </si>
  <si>
    <t>-73.1461369</t>
  </si>
  <si>
    <t>CHARALÁ</t>
  </si>
  <si>
    <t>BARRIO AMERICAS BOGOTA 4</t>
  </si>
  <si>
    <t>3142142552</t>
  </si>
  <si>
    <t>CR 14 A #22-75 BRR José Antonio Galán</t>
  </si>
  <si>
    <t>6.28626664</t>
  </si>
  <si>
    <t>-73.14632268</t>
  </si>
  <si>
    <t>BARRIO MONTERREY BOGOTA</t>
  </si>
  <si>
    <t>3123507006</t>
  </si>
  <si>
    <t>CL 24 14 A 41</t>
  </si>
  <si>
    <t>6.2876965</t>
  </si>
  <si>
    <t>-73.1467676</t>
  </si>
  <si>
    <t>BARRIO SANTA LIBRADA BOGOTA 6</t>
  </si>
  <si>
    <t>3003964105</t>
  </si>
  <si>
    <t>CR 26 NRO 32 - 55 LC 02,CENTRO</t>
  </si>
  <si>
    <t>9.3174814</t>
  </si>
  <si>
    <t>-75.2927621</t>
  </si>
  <si>
    <t>BARRIO FONTIBON ARABIA BOGOTA</t>
  </si>
  <si>
    <t>3105521945</t>
  </si>
  <si>
    <t>3145243646</t>
  </si>
  <si>
    <t xml:space="preserve"> CR 12 CALLE 11 2 APTO 01 CENTRO</t>
  </si>
  <si>
    <t>9.1609305</t>
  </si>
  <si>
    <t>-75.04783</t>
  </si>
  <si>
    <t>BARRIO PATIO BONITO BOGOTA 9</t>
  </si>
  <si>
    <t>3218318780</t>
  </si>
  <si>
    <t>CR 12 CALLE 13 3,CENTRO</t>
  </si>
  <si>
    <t>9.1620917</t>
  </si>
  <si>
    <t>-75.0476256</t>
  </si>
  <si>
    <t>BARRIO NUEVA ZELANDIA BOGOTA 3</t>
  </si>
  <si>
    <t>5968635</t>
  </si>
  <si>
    <t>3154540720</t>
  </si>
  <si>
    <t>CL 20 18-01,AGUAS CALIENTES</t>
  </si>
  <si>
    <t>7.8832365</t>
  </si>
  <si>
    <t>-72.4723828</t>
  </si>
  <si>
    <t>BARRIO DINDALITO BOGOTA 9</t>
  </si>
  <si>
    <t>3187951960</t>
  </si>
  <si>
    <t>calle 9#2-83</t>
  </si>
  <si>
    <t>7.8962267</t>
  </si>
  <si>
    <t>-72.4824317</t>
  </si>
  <si>
    <t>BARRIO CORUÑA BOGOTA 1</t>
  </si>
  <si>
    <t>3125267587</t>
  </si>
  <si>
    <t>3044694729</t>
  </si>
  <si>
    <t xml:space="preserve"> LOCAL 6 URBANIZACIÓN NATURA PARQUE CENTRAL,BRR PARQUE CENTRAL NATURA</t>
  </si>
  <si>
    <t>7.8780447</t>
  </si>
  <si>
    <t>-72.4682007</t>
  </si>
  <si>
    <t>BARRIO SUBA BOGOTA 11</t>
  </si>
  <si>
    <t>5909178</t>
  </si>
  <si>
    <t>3202744973</t>
  </si>
  <si>
    <t>CL 5N 3 E 161 VILLAS DE LA CANDELARIA BARRIO CEIBA II</t>
  </si>
  <si>
    <t>7.9026830</t>
  </si>
  <si>
    <t>-72.4953873</t>
  </si>
  <si>
    <t>BARRIO ENGATIVA BOGOTA 5</t>
  </si>
  <si>
    <t>3245577838</t>
  </si>
  <si>
    <t>AV 6 NRO 8-45 LOCAL 1-602 CC ALEJANDRIA,EL CENTRO</t>
  </si>
  <si>
    <t>7.8878920</t>
  </si>
  <si>
    <t>-72.5055940</t>
  </si>
  <si>
    <t>BARRIO SAMPER MENDOZA BOGOTA</t>
  </si>
  <si>
    <t>5920543</t>
  </si>
  <si>
    <t>3108824053</t>
  </si>
  <si>
    <t>AV 11 6-67,URB TORCOROMA I</t>
  </si>
  <si>
    <t>7.8952751</t>
  </si>
  <si>
    <t>-72.4755185</t>
  </si>
  <si>
    <t>BARRIO CENTRO CALI 28</t>
  </si>
  <si>
    <t>5727617</t>
  </si>
  <si>
    <t>3138787336</t>
  </si>
  <si>
    <t>AV 10 9 71 - EL LLANO</t>
  </si>
  <si>
    <t>7.8863189</t>
  </si>
  <si>
    <t>-72.5091310</t>
  </si>
  <si>
    <t>BARRIO SAN PEDRO LOS ROBLES FONTIBON BOGOTA</t>
  </si>
  <si>
    <t>5922939</t>
  </si>
  <si>
    <t>3143759668</t>
  </si>
  <si>
    <t>CL 10 NRO 9-96,EL LLANO</t>
  </si>
  <si>
    <t>7.8861243</t>
  </si>
  <si>
    <t>-72.509101</t>
  </si>
  <si>
    <t>BARRIO BOSA SANTA FE BOGOTA 3</t>
  </si>
  <si>
    <t>AV 11 E NRO 0-22,QUINTA ORIENTAL</t>
  </si>
  <si>
    <t>7.8988791</t>
  </si>
  <si>
    <t>-72.4908985</t>
  </si>
  <si>
    <t>BARRIO BOSA SAN MARTIN BOGOTA</t>
  </si>
  <si>
    <t>CL 7A  0N - 64</t>
  </si>
  <si>
    <t>-72.4701556</t>
  </si>
  <si>
    <t>BARRIO SAN CIPRIANO BOGOTA 1</t>
  </si>
  <si>
    <t>3158323629</t>
  </si>
  <si>
    <t>CR 3 CL 3SUR 80 BRR LA LOMA,LA LOMA</t>
  </si>
  <si>
    <t>1.3961895</t>
  </si>
  <si>
    <t>-77.1517104</t>
  </si>
  <si>
    <t>BARRIO SAN ISIDRO BOGOTA 1</t>
  </si>
  <si>
    <t>3145140206</t>
  </si>
  <si>
    <t>3184533724</t>
  </si>
  <si>
    <t>MZ A CA 3 PORTAL DE VERACRUZ,PORTAL DE VERACRUZ</t>
  </si>
  <si>
    <t>1.3711200</t>
  </si>
  <si>
    <t>-77.1597603</t>
  </si>
  <si>
    <t>BARRIO BOSA RECREO BOGOTA 4</t>
  </si>
  <si>
    <t>3122976260</t>
  </si>
  <si>
    <t>CR 3 NO. 1 - 144 BARRIO SAN ANTONIO,SAN ANTONIO</t>
  </si>
  <si>
    <t>1.3882375</t>
  </si>
  <si>
    <t>-77.1562797</t>
  </si>
  <si>
    <t>BARRIO BOSA CHICO BOGOTA</t>
  </si>
  <si>
    <t>3173601482</t>
  </si>
  <si>
    <t xml:space="preserve"> CR 4 PAR BOLIVAR DE POTOSI</t>
  </si>
  <si>
    <t>0.8076661</t>
  </si>
  <si>
    <t>-77.5723504</t>
  </si>
  <si>
    <t>POTOSÍ</t>
  </si>
  <si>
    <t>BARRIO ISMAEL PERDOMO BOGOTA</t>
  </si>
  <si>
    <t>5662656</t>
  </si>
  <si>
    <t>3104260606</t>
  </si>
  <si>
    <t xml:space="preserve"> EL COMERCIO RICAURTE</t>
  </si>
  <si>
    <t>1.2108187</t>
  </si>
  <si>
    <t>-77.9944521</t>
  </si>
  <si>
    <t>RICAURTE</t>
  </si>
  <si>
    <t>BARRIO SAN PASCUAL CALI 1</t>
  </si>
  <si>
    <t>3185357</t>
  </si>
  <si>
    <t>3117927234</t>
  </si>
  <si>
    <t xml:space="preserve"> CR 3  4 35  EL COMERCIO</t>
  </si>
  <si>
    <t>1.2108681</t>
  </si>
  <si>
    <t>-77.9947082</t>
  </si>
  <si>
    <t>BARRIO CIUDAD JARDIN BOGOTA 2</t>
  </si>
  <si>
    <t>3235166182</t>
  </si>
  <si>
    <t>3225236292</t>
  </si>
  <si>
    <t>CGT EL PALMAR DE IMBI LA BENDICION,EL PALMAR DE IMBILI LA BENDICION</t>
  </si>
  <si>
    <t>1.2168525</t>
  </si>
  <si>
    <t>-78.0407858</t>
  </si>
  <si>
    <t>BARRIO VILLA DE CASALOMA SOACHA SUESCA</t>
  </si>
  <si>
    <t>3202336728</t>
  </si>
  <si>
    <t xml:space="preserve"> CR 5  7 02</t>
  </si>
  <si>
    <t>4.177134166</t>
  </si>
  <si>
    <t>-74.5327736</t>
  </si>
  <si>
    <t>ICONONZO</t>
  </si>
  <si>
    <t>BARRIO BILBAO BOGOTA 1</t>
  </si>
  <si>
    <t>3154184558</t>
  </si>
  <si>
    <t>CR 4 6 25,CENTRO</t>
  </si>
  <si>
    <t>4.1769817</t>
  </si>
  <si>
    <t>-74.5331094</t>
  </si>
  <si>
    <t>BARRIO JORDAN 1 BOGOTA</t>
  </si>
  <si>
    <t>3108676080</t>
  </si>
  <si>
    <t>CR 6 5 29,CENTRO</t>
  </si>
  <si>
    <t>4.1782950</t>
  </si>
  <si>
    <t>-74.5336746</t>
  </si>
  <si>
    <t>BARRIO CHICO NORTE BOGOTA 3</t>
  </si>
  <si>
    <t>3118684243</t>
  </si>
  <si>
    <t>CL 7 5 38,CENTRO</t>
  </si>
  <si>
    <t>4.1774610</t>
  </si>
  <si>
    <t>-74.5325517</t>
  </si>
  <si>
    <t>BARRIO LAGOS DE CASTILLA BOGOTA</t>
  </si>
  <si>
    <t>3103358779</t>
  </si>
  <si>
    <t>CL 7 # 1-97,DIVINO NIÑO</t>
  </si>
  <si>
    <t>5.1963317</t>
  </si>
  <si>
    <t>-74.8987833</t>
  </si>
  <si>
    <t>SAN SEBASTIÁN DE MARIQUITA</t>
  </si>
  <si>
    <t>BARRIO CASTILLA BOGOTA 15</t>
  </si>
  <si>
    <t>3138724579</t>
  </si>
  <si>
    <t>CL13 NO.   5 - 34  LA CONCORDIA</t>
  </si>
  <si>
    <t>5.192433</t>
  </si>
  <si>
    <t xml:space="preserve">-74.892521 </t>
  </si>
  <si>
    <t>BARRIO PUERTO RICO BOGOTA</t>
  </si>
  <si>
    <t>3102784779</t>
  </si>
  <si>
    <t>CR 9 10 74 / 78,EL CARMEN</t>
  </si>
  <si>
    <t>5.195806</t>
  </si>
  <si>
    <t>-74.889372</t>
  </si>
  <si>
    <t>BARRIO BOSA BOGOTA 14</t>
  </si>
  <si>
    <t>3208274820</t>
  </si>
  <si>
    <t>3197845440</t>
  </si>
  <si>
    <t>CL 7 5 39,CENTRO</t>
  </si>
  <si>
    <t>5.1978318</t>
  </si>
  <si>
    <t>-74.8942631</t>
  </si>
  <si>
    <t>BARRIO BOSA EL CORZO BOGOTA</t>
  </si>
  <si>
    <t>2160491</t>
  </si>
  <si>
    <t>3108949963</t>
  </si>
  <si>
    <t xml:space="preserve"> CL 6  13-25</t>
  </si>
  <si>
    <t>4.3301940</t>
  </si>
  <si>
    <t>-75.8271110</t>
  </si>
  <si>
    <t>BARRIO GARCES NAVAS BOGOTA 1</t>
  </si>
  <si>
    <t>2160371</t>
  </si>
  <si>
    <t>3105289189</t>
  </si>
  <si>
    <t xml:space="preserve"> CR 15  10-09 CENTRO CAICEDONIA VALLE</t>
  </si>
  <si>
    <t>4.3330885</t>
  </si>
  <si>
    <t>-75.8289807</t>
  </si>
  <si>
    <t>BARRIO LUIS CARLOS GALAN PASTO</t>
  </si>
  <si>
    <t>2160169</t>
  </si>
  <si>
    <t>3113726757</t>
  </si>
  <si>
    <t xml:space="preserve"> CR 16 13 05 CENTRO</t>
  </si>
  <si>
    <t>4.3352886</t>
  </si>
  <si>
    <t>-75.8301581</t>
  </si>
  <si>
    <t>BARRIO TERRAZAS DE CHAPAL PASTO</t>
  </si>
  <si>
    <t>2161105</t>
  </si>
  <si>
    <t>3026940770</t>
  </si>
  <si>
    <t>CR 15  4 - 07 ESQUINA B/ LA INMACULADA</t>
  </si>
  <si>
    <t>4.328585</t>
  </si>
  <si>
    <t>-75.828055</t>
  </si>
  <si>
    <t>BARRIO AQUINE 1 PASTO</t>
  </si>
  <si>
    <t>3146808294</t>
  </si>
  <si>
    <t>CL 6 10 16,CENTRO</t>
  </si>
  <si>
    <t>4.330736</t>
  </si>
  <si>
    <t>-75.824761</t>
  </si>
  <si>
    <t>BARRIO CENTRO PASTO 30</t>
  </si>
  <si>
    <t>3218873915</t>
  </si>
  <si>
    <t>CALLE 10 NO. 15 - 52,CENTRO</t>
  </si>
  <si>
    <t>4.3331575</t>
  </si>
  <si>
    <t>-75.8293915</t>
  </si>
  <si>
    <t xml:space="preserve">SAN JUAN BOSCO 1 </t>
  </si>
  <si>
    <t>3122342051</t>
  </si>
  <si>
    <t>3006570673</t>
  </si>
  <si>
    <t>CL 15 15 - 42,CENTRO</t>
  </si>
  <si>
    <t>4.3368908</t>
  </si>
  <si>
    <t>-75.8299669</t>
  </si>
  <si>
    <t>BARRIO EL PILAR PASTO 3</t>
  </si>
  <si>
    <t>3147509308</t>
  </si>
  <si>
    <t>CL 2 13 14 LC 107 TORRES DEL SURCO,TORRES DEL SURCO</t>
  </si>
  <si>
    <t>4.3272519</t>
  </si>
  <si>
    <t>-75.8264397</t>
  </si>
  <si>
    <t>BARRIO MORASURCO PASTO 1</t>
  </si>
  <si>
    <t>3108250051</t>
  </si>
  <si>
    <t>CL 9 27 03 ESQUINA,LA ESPERANZA</t>
  </si>
  <si>
    <t>3.3282877</t>
  </si>
  <si>
    <t>-76.2425016</t>
  </si>
  <si>
    <t>BARRIO SANTA MONICA PASTO 2</t>
  </si>
  <si>
    <t>3103168624</t>
  </si>
  <si>
    <t>AV 5 8 85 CC RIVER PLAZA OF 204,EL CENTRO</t>
  </si>
  <si>
    <t>BARRIO LA AURORA PASTO 2</t>
  </si>
  <si>
    <t>3045475673</t>
  </si>
  <si>
    <t>3105866803</t>
  </si>
  <si>
    <t>3045351757</t>
  </si>
  <si>
    <t xml:space="preserve"> CL 15 A 12 74 LC 3 LA LIBERTAD</t>
  </si>
  <si>
    <t>7.8883116</t>
  </si>
  <si>
    <t>-72.4755392</t>
  </si>
  <si>
    <t>BARRIO AGUALONGO PASTO</t>
  </si>
  <si>
    <t>3123139079</t>
  </si>
  <si>
    <t>AV 9 E NRO. 2-66,QUINTA ORIENTAL</t>
  </si>
  <si>
    <t>7.9163936</t>
  </si>
  <si>
    <t>-72.5061784</t>
  </si>
  <si>
    <t>BARRIO PARQUE INFANTIL PASTO 1</t>
  </si>
  <si>
    <t>3123567967</t>
  </si>
  <si>
    <t>AV 2 12-02 LC 02,AEROPUERTO</t>
  </si>
  <si>
    <t>7.895813</t>
  </si>
  <si>
    <t>-72.5205229</t>
  </si>
  <si>
    <t>BARRIO CENTRO 59 PASTO</t>
  </si>
  <si>
    <t>5781870</t>
  </si>
  <si>
    <t xml:space="preserve"> AV 7 19  50 NUCLEO 2 BG 8 PAR INDUSTRIAL</t>
  </si>
  <si>
    <t>7.9193391</t>
  </si>
  <si>
    <t>-72.5031752</t>
  </si>
  <si>
    <t xml:space="preserve">BARRIO LAS VIOLETAS PASTO   </t>
  </si>
  <si>
    <t>AV 4  20 17 BRR  TASAJERO LOS PATIOS</t>
  </si>
  <si>
    <t>7.828296060894342</t>
  </si>
  <si>
    <t xml:space="preserve"> -72.50642432522538</t>
  </si>
  <si>
    <t>BARRIO CENTENARIO 3 PASTO</t>
  </si>
  <si>
    <t>5891448</t>
  </si>
  <si>
    <t>3112333700</t>
  </si>
  <si>
    <t xml:space="preserve"> CL 11 4 39 CC LECS LC 137</t>
  </si>
  <si>
    <t>7.8858505</t>
  </si>
  <si>
    <t>-72.5031230</t>
  </si>
  <si>
    <t>BARRIO GRANADA</t>
  </si>
  <si>
    <t>6602348</t>
  </si>
  <si>
    <t>3106284993</t>
  </si>
  <si>
    <t>CRA  5    5 - 53</t>
  </si>
  <si>
    <t>6.84257971</t>
  </si>
  <si>
    <t>-72.69428188</t>
  </si>
  <si>
    <t>BARRIO AVENIDA BOYACA PASTO</t>
  </si>
  <si>
    <t>4326604</t>
  </si>
  <si>
    <t>3144518899</t>
  </si>
  <si>
    <t>CR 6  LC 2 BRR SANTANDER ED MARIA HELENA</t>
  </si>
  <si>
    <t>6.8429007</t>
  </si>
  <si>
    <t>-72.6940727</t>
  </si>
  <si>
    <t>BARRIO PANAN IPIALES</t>
  </si>
  <si>
    <t>3103340952</t>
  </si>
  <si>
    <t>3103296975</t>
  </si>
  <si>
    <t>3209127380</t>
  </si>
  <si>
    <t>SALIDA MALAGA-CERRITO,ARENALES</t>
  </si>
  <si>
    <t>6.832768</t>
  </si>
  <si>
    <t>-72.697218</t>
  </si>
  <si>
    <t>BARRIO CENTRO IPIALES 7</t>
  </si>
  <si>
    <t>3223770219</t>
  </si>
  <si>
    <t>DG 8 NO.6-04,LA ESMERALDA</t>
  </si>
  <si>
    <t>6.8437008</t>
  </si>
  <si>
    <t>-72.6934452</t>
  </si>
  <si>
    <t>BARRIO CENTRO IPIALES 6</t>
  </si>
  <si>
    <t>3219770350</t>
  </si>
  <si>
    <t>3106746240</t>
  </si>
  <si>
    <t>CR 5 NO.8-19,BELEN</t>
  </si>
  <si>
    <t>6.8441149</t>
  </si>
  <si>
    <t>-72.6939748</t>
  </si>
  <si>
    <t>EXXON BARRIO ALTOS DE ROSALES FLORIDABLANCA</t>
  </si>
  <si>
    <t>3144077388</t>
  </si>
  <si>
    <t>3124349443</t>
  </si>
  <si>
    <t>CR 5 5 87,CENTRO</t>
  </si>
  <si>
    <t>4.1470003</t>
  </si>
  <si>
    <t>-74.7230520</t>
  </si>
  <si>
    <t>CARMEN DE APICALÁ</t>
  </si>
  <si>
    <t>BARRIO HACIENDA SAN JUAN FLORIDABLANCA</t>
  </si>
  <si>
    <t>3115965210</t>
  </si>
  <si>
    <t>3142855227</t>
  </si>
  <si>
    <t>3208923893</t>
  </si>
  <si>
    <t>CL 1 12 35,CENTRO</t>
  </si>
  <si>
    <t>4.1511685</t>
  </si>
  <si>
    <t>-74.7154113</t>
  </si>
  <si>
    <t>BARRIO LAGOS IV FLORIDABLANCA</t>
  </si>
  <si>
    <t>2564213</t>
  </si>
  <si>
    <t>3015505467</t>
  </si>
  <si>
    <t xml:space="preserve"> CR 11  4-75</t>
  </si>
  <si>
    <t>4.9232688</t>
  </si>
  <si>
    <t>-75.0651976</t>
  </si>
  <si>
    <t>BARRIO CONJUNTO ALATAMIRA  3 FLORIDABLANCA</t>
  </si>
  <si>
    <t>2561491</t>
  </si>
  <si>
    <t>3132882299</t>
  </si>
  <si>
    <t xml:space="preserve"> CL 2 4 37</t>
  </si>
  <si>
    <t>4.919998</t>
  </si>
  <si>
    <t>-75.059701</t>
  </si>
  <si>
    <t>BARRIO URBANIZACION VILLA CAMPESTRE FLORIDABLANCA</t>
  </si>
  <si>
    <t>2562745</t>
  </si>
  <si>
    <t>3125853562</t>
  </si>
  <si>
    <t xml:space="preserve"> CL 4 8/12 CENTRO</t>
  </si>
  <si>
    <t>4.9222915</t>
  </si>
  <si>
    <t>-75.0623878</t>
  </si>
  <si>
    <t>BARRIO CAÑAVERAL FLORIDABLANCA 6</t>
  </si>
  <si>
    <t>3204231935</t>
  </si>
  <si>
    <t>MZ 13 CASA 16,BRR PROTECHO</t>
  </si>
  <si>
    <t>4.9224602</t>
  </si>
  <si>
    <t>-75.0642244</t>
  </si>
  <si>
    <t>BARRIO LA CUMBRE FLORIDABLANCA 7</t>
  </si>
  <si>
    <t>3223755718</t>
  </si>
  <si>
    <t>CR 11 # 2-17,LAS BRISAS</t>
  </si>
  <si>
    <t>4.920687</t>
  </si>
  <si>
    <t>-75.065458</t>
  </si>
  <si>
    <t>BARRIO OASIS FLORIDABLANCA 1</t>
  </si>
  <si>
    <t>2560155</t>
  </si>
  <si>
    <t>3112622833</t>
  </si>
  <si>
    <t xml:space="preserve"> CR 5  2A 65</t>
  </si>
  <si>
    <t>4.921322</t>
  </si>
  <si>
    <t>-75.060144</t>
  </si>
  <si>
    <t>BARRIO ALARES FLORIDABLANCA 1</t>
  </si>
  <si>
    <t>3204361404</t>
  </si>
  <si>
    <t>CR 22 6 60,CENTRO</t>
  </si>
  <si>
    <t>4.2057650</t>
  </si>
  <si>
    <t>-74.6409983</t>
  </si>
  <si>
    <t>MELGAR</t>
  </si>
  <si>
    <t>BARRIO CERROS DEL CAMPESTRE FLORIDABLANCA 1</t>
  </si>
  <si>
    <t>3209482690</t>
  </si>
  <si>
    <t>CL 1 CARRERA 28 A 09,CENTRO</t>
  </si>
  <si>
    <t>4.204151</t>
  </si>
  <si>
    <t>-74.647925</t>
  </si>
  <si>
    <t>BARRIO BOSA NOVA BOGOTA 2</t>
  </si>
  <si>
    <t>3203656977</t>
  </si>
  <si>
    <t>AV KM3 VÍA MELGAR - BOGOTÁ LOCAL 9,VEREDA SAN JOSE DE LA COLORADA</t>
  </si>
  <si>
    <t>4.2281996</t>
  </si>
  <si>
    <t>-74.6207214</t>
  </si>
  <si>
    <t>BARRIO AURES BOGOTA 2</t>
  </si>
  <si>
    <t>3164187967</t>
  </si>
  <si>
    <t>CL 7 51 105 LC 2,CENTRO</t>
  </si>
  <si>
    <t>4.1962339</t>
  </si>
  <si>
    <t>-74.6544059</t>
  </si>
  <si>
    <t>BARRIO PANAMERICANO CALI</t>
  </si>
  <si>
    <t>3214801091</t>
  </si>
  <si>
    <t>CL 12 12 A 116,ICACAL</t>
  </si>
  <si>
    <t>4.2050535</t>
  </si>
  <si>
    <t>-74.6305718</t>
  </si>
  <si>
    <t>BARRIO PERDOMO BOGOTA 11</t>
  </si>
  <si>
    <t>3208120512</t>
  </si>
  <si>
    <t xml:space="preserve"> CR 2 2 69 DOIMA</t>
  </si>
  <si>
    <t>4.538376</t>
  </si>
  <si>
    <t xml:space="preserve">-74.880725 </t>
  </si>
  <si>
    <t>PIEDRAS</t>
  </si>
  <si>
    <t>BARRIO BRITALIA NORTE BOGOTA 2</t>
  </si>
  <si>
    <t>3127247900</t>
  </si>
  <si>
    <t>3217247900</t>
  </si>
  <si>
    <t>CR 5  12 - 35 ESQUINA CGT COSTA RICA</t>
  </si>
  <si>
    <t>3.75292</t>
  </si>
  <si>
    <t>-76.23257</t>
  </si>
  <si>
    <t>BARRIO VILLA MAYOR BOGOTA 2</t>
  </si>
  <si>
    <t>3104623009</t>
  </si>
  <si>
    <t>3148277681</t>
  </si>
  <si>
    <t>CL 7 NRO. 2 - 29,CENTRO</t>
  </si>
  <si>
    <t>3.7249602934045174</t>
  </si>
  <si>
    <t>-76.26735556913701</t>
  </si>
  <si>
    <t>BARRIO CENTRO CALI 34</t>
  </si>
  <si>
    <t>3003142098</t>
  </si>
  <si>
    <t>CL 20E 73 48 BELLO,PARÍS BELLO</t>
  </si>
  <si>
    <t>6.3116137</t>
  </si>
  <si>
    <t>-75.5798734</t>
  </si>
  <si>
    <t>BARRIO SAN LUIS I CALI 2</t>
  </si>
  <si>
    <t>5847888</t>
  </si>
  <si>
    <t>3102331115</t>
  </si>
  <si>
    <t>AV 7   # 5 - 05</t>
  </si>
  <si>
    <t>7.9107157</t>
  </si>
  <si>
    <t>-72.4755304</t>
  </si>
  <si>
    <t>BARRIO DANUBIO AZUL BOGOTA 4</t>
  </si>
  <si>
    <t>5946671</t>
  </si>
  <si>
    <t>3123894541</t>
  </si>
  <si>
    <t>CL 21 BN 4 07,TASAJERO</t>
  </si>
  <si>
    <t>7.92008372</t>
  </si>
  <si>
    <t>-72.49255652</t>
  </si>
  <si>
    <t>BARRIO AURES BOGOTA 3</t>
  </si>
  <si>
    <t>5493832</t>
  </si>
  <si>
    <t>3026879065</t>
  </si>
  <si>
    <t>3232931679</t>
  </si>
  <si>
    <t xml:space="preserve"> CL 9 B NORTE 15 E 07 PROCERES</t>
  </si>
  <si>
    <t>7.910404</t>
  </si>
  <si>
    <t>-72.487098</t>
  </si>
  <si>
    <t>BARRIO BOSA PORVENIR BOGOTA 7</t>
  </si>
  <si>
    <t>3144323583</t>
  </si>
  <si>
    <t>3214558645</t>
  </si>
  <si>
    <t xml:space="preserve"> AV 2 35 A 30 LT 14 LC 2</t>
  </si>
  <si>
    <t>7.947274</t>
  </si>
  <si>
    <t>-72.501731</t>
  </si>
  <si>
    <t>BARRIO SIMON BOLIVAR BOGOTA 5</t>
  </si>
  <si>
    <t>5782273</t>
  </si>
  <si>
    <t>3182446289</t>
  </si>
  <si>
    <t>3024589754</t>
  </si>
  <si>
    <t>AV 5      5 A N 37 local 1 Barrio colpet</t>
  </si>
  <si>
    <t>7.9043448</t>
  </si>
  <si>
    <t>-72.5028915</t>
  </si>
  <si>
    <t>BARRIO RINCON BOGOTA 5</t>
  </si>
  <si>
    <t xml:space="preserve"> CL 1 1  04</t>
  </si>
  <si>
    <t>7.947240</t>
  </si>
  <si>
    <t>-72.505340</t>
  </si>
  <si>
    <t>BARRIO SALOMIA CALI 5</t>
  </si>
  <si>
    <t>5710905</t>
  </si>
  <si>
    <t>3166735198</t>
  </si>
  <si>
    <t xml:space="preserve"> AV 6 9 72 CE MAEACAY LC 37</t>
  </si>
  <si>
    <t>7.8869282</t>
  </si>
  <si>
    <t>-72.5052398</t>
  </si>
  <si>
    <t>BARRIO BOSA ATALAYAS BOGOTA 3</t>
  </si>
  <si>
    <t>3013739987</t>
  </si>
  <si>
    <t xml:space="preserve"> AV 5 8 89 CE RIVER PLAZA II OF 254</t>
  </si>
  <si>
    <t>7.8882188</t>
  </si>
  <si>
    <t>-72.5038491</t>
  </si>
  <si>
    <t>BARRIO ALIRIO MORA BELTRAN CALI 1</t>
  </si>
  <si>
    <t>5834901</t>
  </si>
  <si>
    <t>3023557239</t>
  </si>
  <si>
    <t xml:space="preserve"> CL 9 A 52 CE RIVER PLAZA</t>
  </si>
  <si>
    <t>7.8882246</t>
  </si>
  <si>
    <t>-72.5038611</t>
  </si>
  <si>
    <t>BARRIO CRISTOBAL COLON CALI 3</t>
  </si>
  <si>
    <t>5764082</t>
  </si>
  <si>
    <t>3103381153</t>
  </si>
  <si>
    <t xml:space="preserve"> CL 13 18 34</t>
  </si>
  <si>
    <t>7.8875580</t>
  </si>
  <si>
    <t>-72.4702897</t>
  </si>
  <si>
    <t>BARRIO SAN CAYETANO CALI 2</t>
  </si>
  <si>
    <t>5747179</t>
  </si>
  <si>
    <t>3183895375</t>
  </si>
  <si>
    <t>AV 11 E  10N- 95 LC 1 GUAIMARAL</t>
  </si>
  <si>
    <t>7.910597</t>
  </si>
  <si>
    <t>-72.492782</t>
  </si>
  <si>
    <t>BARRIO BOSA CENTRO BOGOTA 4</t>
  </si>
  <si>
    <t>5874646</t>
  </si>
  <si>
    <t>3143436223</t>
  </si>
  <si>
    <t>3125255044</t>
  </si>
  <si>
    <t xml:space="preserve"> AV 7 A 17  24 KDX 2 2 1</t>
  </si>
  <si>
    <t>7.9168824</t>
  </si>
  <si>
    <t>-72.5030388</t>
  </si>
  <si>
    <t>BARRIO ORQUIDEAS CALI</t>
  </si>
  <si>
    <t>3058212494</t>
  </si>
  <si>
    <t>3058122494</t>
  </si>
  <si>
    <t>CR 5 # 7 - 28,CENTRO</t>
  </si>
  <si>
    <t>4.543823</t>
  </si>
  <si>
    <t>-74.879816</t>
  </si>
  <si>
    <t>BARRIO SAN VICENTE CALI  8</t>
  </si>
  <si>
    <t>3185470186</t>
  </si>
  <si>
    <t>VRD PARADERO CHIPALO,MUNICIPIO DE PIEDRAS</t>
  </si>
  <si>
    <t>4.488728</t>
  </si>
  <si>
    <t>-74.974800</t>
  </si>
  <si>
    <t>BARRIO BILBAO BOGOTA 5</t>
  </si>
  <si>
    <t>3007832548</t>
  </si>
  <si>
    <t>CR 3 ENTRE CALLE 9 Y 10 ENTREDA,PEDREGAL</t>
  </si>
  <si>
    <t>4.5439380</t>
  </si>
  <si>
    <t>-74.8775338</t>
  </si>
  <si>
    <t>BARRIO SUBA RINCON BOGOTA 14</t>
  </si>
  <si>
    <t>2237924</t>
  </si>
  <si>
    <t>3173188264</t>
  </si>
  <si>
    <t xml:space="preserve"> CR 12 5 01</t>
  </si>
  <si>
    <t>3.6825763</t>
  </si>
  <si>
    <t>-76.3129815</t>
  </si>
  <si>
    <t>BARRIO LLERAS RESTREPO CALI</t>
  </si>
  <si>
    <t>3163190176</t>
  </si>
  <si>
    <t>CR 12 7 27,CENTRO</t>
  </si>
  <si>
    <t>3.6846653</t>
  </si>
  <si>
    <t>-76.3130816</t>
  </si>
  <si>
    <t>BARRIO BILBAO BOGOTA 6</t>
  </si>
  <si>
    <t>3229066042</t>
  </si>
  <si>
    <t>CL 4 C SUR 5 21 URB EL PORVENIR ,EL PORVENIR</t>
  </si>
  <si>
    <t>3.6768690</t>
  </si>
  <si>
    <t>-76.3073248</t>
  </si>
  <si>
    <t>BARRIO EL LISTON BOGOTA</t>
  </si>
  <si>
    <t>3165383717</t>
  </si>
  <si>
    <t>CR 16 N 4 A -14</t>
  </si>
  <si>
    <t>4.7882909</t>
  </si>
  <si>
    <t>-71.3426823</t>
  </si>
  <si>
    <t>OROCUÉ</t>
  </si>
  <si>
    <t>BARRIO POLICARPA BOGOTA 4</t>
  </si>
  <si>
    <t>3214889082</t>
  </si>
  <si>
    <t>CR 11 3 49</t>
  </si>
  <si>
    <t>4.7907529</t>
  </si>
  <si>
    <t>-71.3378834</t>
  </si>
  <si>
    <t>BARRIO PORVENIR CALI</t>
  </si>
  <si>
    <t>3142386913</t>
  </si>
  <si>
    <t>CL 4 H 10 - 04</t>
  </si>
  <si>
    <t>4.7907980</t>
  </si>
  <si>
    <t>-71.3453481</t>
  </si>
  <si>
    <t>BOSA CARBONEL BOGOTA 1</t>
  </si>
  <si>
    <t>3204487227</t>
  </si>
  <si>
    <t>VRD ALGARROBO - CALLE PRINCIPAL FRENTE AL COLEGIO,CRR ALGARROBO</t>
  </si>
  <si>
    <t>4.9989403</t>
  </si>
  <si>
    <t>-71.8860472</t>
  </si>
  <si>
    <t>BARRIO PATIO BONITO TIERRA BUENA BOGOTA</t>
  </si>
  <si>
    <t>3165350927</t>
  </si>
  <si>
    <t>CR 18 # 03,</t>
  </si>
  <si>
    <t>4.7851294</t>
  </si>
  <si>
    <t>-71.3436242</t>
  </si>
  <si>
    <t>ALIRIO MORA CALI</t>
  </si>
  <si>
    <t>3213728354</t>
  </si>
  <si>
    <t>DG 4 18 10,SAN GREGORIO</t>
  </si>
  <si>
    <t>4.7879299</t>
  </si>
  <si>
    <t>-71.3449457</t>
  </si>
  <si>
    <t>BARRIO EL PARAISO CALI</t>
  </si>
  <si>
    <t>3022107763</t>
  </si>
  <si>
    <t>BARRIO OMAR TORRIJOS CALI 1</t>
  </si>
  <si>
    <t>3148658891</t>
  </si>
  <si>
    <t>3146231211</t>
  </si>
  <si>
    <t>CL 50 50 54 LC 201,BELLO CENTRO</t>
  </si>
  <si>
    <t>6.3343399</t>
  </si>
  <si>
    <t>-75.5591372</t>
  </si>
  <si>
    <t>BARRIO USAQUEN BOGOTA 4</t>
  </si>
  <si>
    <t>3113422262</t>
  </si>
  <si>
    <t xml:space="preserve">BARRRIO BONANZA BOGOTA </t>
  </si>
  <si>
    <t>3208982165</t>
  </si>
  <si>
    <t>3242268778</t>
  </si>
  <si>
    <t>CR 50 49 38,CENTRO</t>
  </si>
  <si>
    <t>6.3341091</t>
  </si>
  <si>
    <t>-75.5584223</t>
  </si>
  <si>
    <t>BARRIO LA ESMERALDA BOGOTA 6</t>
  </si>
  <si>
    <t>3015918923</t>
  </si>
  <si>
    <t>BARRIO VERSALLES CALI 6</t>
  </si>
  <si>
    <t>3045749817</t>
  </si>
  <si>
    <t>AV 42 B 52 22,NIQUIA</t>
  </si>
  <si>
    <t>6.3375362</t>
  </si>
  <si>
    <t>-75.5497294</t>
  </si>
  <si>
    <t>BARRIO PATIO BONITO BOGOTA  24</t>
  </si>
  <si>
    <t>3113118467</t>
  </si>
  <si>
    <t>3026941995</t>
  </si>
  <si>
    <t>CL 53 # 50 41,BELLO</t>
  </si>
  <si>
    <t>6.336826</t>
  </si>
  <si>
    <t>-75.559227</t>
  </si>
  <si>
    <t>BARRIO PUENTE GRANDE FONTIBON</t>
  </si>
  <si>
    <t>3054675083</t>
  </si>
  <si>
    <t>3167692442</t>
  </si>
  <si>
    <t>CR 63 A 56 A 11,BELLO</t>
  </si>
  <si>
    <t>6.340732</t>
  </si>
  <si>
    <t>-75.568634</t>
  </si>
  <si>
    <t>CALI OBRERO</t>
  </si>
  <si>
    <t>6044582484</t>
  </si>
  <si>
    <t>3147308544</t>
  </si>
  <si>
    <t>3052148224</t>
  </si>
  <si>
    <t>DIAGONAL 67 31 150,BELLO</t>
  </si>
  <si>
    <t>6.3486164</t>
  </si>
  <si>
    <t>-75.5403286</t>
  </si>
  <si>
    <t>CENTRO BOGOTA CUNDINAMARCA</t>
  </si>
  <si>
    <t>7280136</t>
  </si>
  <si>
    <t>VALLE DEL CAUCA CALI</t>
  </si>
  <si>
    <t>5877877</t>
  </si>
  <si>
    <t>3204535448</t>
  </si>
  <si>
    <t>3023803376</t>
  </si>
  <si>
    <t xml:space="preserve"> URB TASAJERO LC T 118 A CUCUTA CUCUTA NORTE DE SANTANDER</t>
  </si>
  <si>
    <t>7.9256105</t>
  </si>
  <si>
    <t>-72.4932978</t>
  </si>
  <si>
    <t>BARRIO CRISTOBAL COLON CALI  4</t>
  </si>
  <si>
    <t>5719904</t>
  </si>
  <si>
    <t>3164652724</t>
  </si>
  <si>
    <t xml:space="preserve"> AV 8 8 73</t>
  </si>
  <si>
    <t>7.8876863</t>
  </si>
  <si>
    <t>-72.5072762</t>
  </si>
  <si>
    <t>BARRIO GARCES NAVAS BOGOTA 5</t>
  </si>
  <si>
    <t>5711785</t>
  </si>
  <si>
    <t>3123155281</t>
  </si>
  <si>
    <t xml:space="preserve"> CL 11  8 25 CENTRO CUCUTA CUCUTA NORTE DE SANTANDER</t>
  </si>
  <si>
    <t>7.9163721</t>
  </si>
  <si>
    <t>-72.5062482</t>
  </si>
  <si>
    <t>BARRIO BOSA CALDAS BOGOTA</t>
  </si>
  <si>
    <t>5711186</t>
  </si>
  <si>
    <t>3150557465</t>
  </si>
  <si>
    <t xml:space="preserve"> CL 14 3 65 LC 103</t>
  </si>
  <si>
    <t>7.8831547</t>
  </si>
  <si>
    <t>-72.5016865</t>
  </si>
  <si>
    <t>BARRIO PATIO BONITO 25</t>
  </si>
  <si>
    <t>5813531</t>
  </si>
  <si>
    <t>3134520346</t>
  </si>
  <si>
    <t xml:space="preserve"> MANZA R4 LT 14 ATALAYA CUCUTA CUCUTA NORTE DE SANTANDER</t>
  </si>
  <si>
    <t>7.9062769</t>
  </si>
  <si>
    <t>-72.5230070</t>
  </si>
  <si>
    <t>BARRIO COMUNERO II CALI</t>
  </si>
  <si>
    <t>5781820 EXT 109</t>
  </si>
  <si>
    <t xml:space="preserve"> CL 1  1-89 CHAPINERO</t>
  </si>
  <si>
    <t>7.9073308</t>
  </si>
  <si>
    <t>-72.5122156</t>
  </si>
  <si>
    <t>BARRIO AURES 2 BOGOTA 3</t>
  </si>
  <si>
    <t>5870164</t>
  </si>
  <si>
    <t xml:space="preserve"> CL 13 A 6 38</t>
  </si>
  <si>
    <t>7.9368497</t>
  </si>
  <si>
    <t>-72.5079312</t>
  </si>
  <si>
    <t>CALI ALFONSO LOPEZ II</t>
  </si>
  <si>
    <t>3321524</t>
  </si>
  <si>
    <t>3126774575</t>
  </si>
  <si>
    <t>3112319646</t>
  </si>
  <si>
    <t>BRR CENTRO LOGISTIC CR 2 NORTE 1 - 536</t>
  </si>
  <si>
    <t>4.830412</t>
  </si>
  <si>
    <t>-75.700359</t>
  </si>
  <si>
    <t>BARRIO SAN ANTONIO CC PANAMA BOGOTA</t>
  </si>
  <si>
    <t>3302344</t>
  </si>
  <si>
    <t>3103957441</t>
  </si>
  <si>
    <t xml:space="preserve"> CL 21 16 54</t>
  </si>
  <si>
    <t>4.8277764</t>
  </si>
  <si>
    <t>-75.6800875</t>
  </si>
  <si>
    <t>BARRIO PATIO BONITO 3 BOGOTA</t>
  </si>
  <si>
    <t>3425090</t>
  </si>
  <si>
    <t>3136168603</t>
  </si>
  <si>
    <t>3226740157</t>
  </si>
  <si>
    <t xml:space="preserve"> CR 18 A 49 04 LC 3 LOS MOLIS</t>
  </si>
  <si>
    <t>4.8376567</t>
  </si>
  <si>
    <t>-75.6658314</t>
  </si>
  <si>
    <t>BARRIO VILLA ALSACIA BOGOTA 10</t>
  </si>
  <si>
    <t>3128897153</t>
  </si>
  <si>
    <t>3225143188</t>
  </si>
  <si>
    <t>MZ 13 CA 31 BRR MIRADOR DE LA ESTANCIA</t>
  </si>
  <si>
    <t>4.8127349</t>
  </si>
  <si>
    <t>-75.6710123</t>
  </si>
  <si>
    <t>BARRIO POLICARPA BOGOTA 5</t>
  </si>
  <si>
    <t>3233325768</t>
  </si>
  <si>
    <t>CR 8 A CL 15 107 LC 3 -ZONA INDUSTRIAL LA MACARENA ,ZONA INDUSTRIAL LA MACARENA</t>
  </si>
  <si>
    <t>4.8264699</t>
  </si>
  <si>
    <t>-75.6877634</t>
  </si>
  <si>
    <t>BARRIO MARCO FIDEL SUAREZ BOGOTA 2</t>
  </si>
  <si>
    <t>3113070691</t>
  </si>
  <si>
    <t>BARRIO ALAMOS BOGOTA 10</t>
  </si>
  <si>
    <t>3125310162</t>
  </si>
  <si>
    <t>CL 4 C 18A 03,SAN GREGORIO</t>
  </si>
  <si>
    <t>4.7894094</t>
  </si>
  <si>
    <t>-71.3451631</t>
  </si>
  <si>
    <t>BARRIO SAN JOSE SUR BOGOTA 2</t>
  </si>
  <si>
    <t>3212808223</t>
  </si>
  <si>
    <t>CR 16 14 83,PABLO VI</t>
  </si>
  <si>
    <t>1.2033065</t>
  </si>
  <si>
    <t>-76.9179787</t>
  </si>
  <si>
    <t>BARRIO LA BASE AEREA MARCO FIDEL SUAREZ CALI</t>
  </si>
  <si>
    <t>3164478041</t>
  </si>
  <si>
    <t>3214654385</t>
  </si>
  <si>
    <t>CRA 14 15 17 - LIBERTAD,LIBERTAD</t>
  </si>
  <si>
    <t>1.2018711</t>
  </si>
  <si>
    <t>-76.9165545</t>
  </si>
  <si>
    <t>BARRIO PORVENIR BOGOTA 1</t>
  </si>
  <si>
    <t>3162079964</t>
  </si>
  <si>
    <t>3247065038</t>
  </si>
  <si>
    <t>CL 16 CR 9 1 BR FRAY BARTOLOME</t>
  </si>
  <si>
    <t>1.201016</t>
  </si>
  <si>
    <t>-76.912937</t>
  </si>
  <si>
    <t>BARRIO RICAURTE BOGOTA 11</t>
  </si>
  <si>
    <t>5811828</t>
  </si>
  <si>
    <t>3207868023</t>
  </si>
  <si>
    <t xml:space="preserve"> CR 53 16B 03 MEDELLIN ANTIOQUIA</t>
  </si>
  <si>
    <t>6.2201006</t>
  </si>
  <si>
    <t>-75.5811931</t>
  </si>
  <si>
    <t>BARRIO VILLA COLOMBIA BOSA BOGOTA</t>
  </si>
  <si>
    <t>2573674</t>
  </si>
  <si>
    <t>3206138801</t>
  </si>
  <si>
    <t xml:space="preserve"> CL 71  65-100 CERRO EL VOLADOR</t>
  </si>
  <si>
    <t>6.2715329</t>
  </si>
  <si>
    <t>-75.5783462</t>
  </si>
  <si>
    <t>BARRIO GUABAL CALI 2</t>
  </si>
  <si>
    <t>2167934</t>
  </si>
  <si>
    <t>3003755578</t>
  </si>
  <si>
    <t>CL 35 32 68</t>
  </si>
  <si>
    <t>6.232287</t>
  </si>
  <si>
    <t> -75.559123</t>
  </si>
  <si>
    <t>BARRIO DEPARTAMENTAL CALI 1</t>
  </si>
  <si>
    <t>BARRIO PASO DEL COMERCIO CALI 2</t>
  </si>
  <si>
    <t>BARRIO CIUDAD CORDOBA CALI 8</t>
  </si>
  <si>
    <t>3146177152</t>
  </si>
  <si>
    <t>BARRIO ANDRES SANIN CALI  2</t>
  </si>
  <si>
    <t>6045987814</t>
  </si>
  <si>
    <t>3135369255</t>
  </si>
  <si>
    <t>CARRERA 58 D 25 B 23,BELLO</t>
  </si>
  <si>
    <t>6.3153248</t>
  </si>
  <si>
    <t>-75.5668779</t>
  </si>
  <si>
    <t>BARRIO FONTIBON CENTRO BOGOTA 3</t>
  </si>
  <si>
    <t>3157533034</t>
  </si>
  <si>
    <t>3148888980</t>
  </si>
  <si>
    <t>DG 54 42 21,NIQUIA</t>
  </si>
  <si>
    <t>6.3384123</t>
  </si>
  <si>
    <t>-75.5483048</t>
  </si>
  <si>
    <t>BARRIO EL POPULAR CALI 2</t>
  </si>
  <si>
    <t>3137494046</t>
  </si>
  <si>
    <t>CALLLE 32 CR 57 -104,LA FLORIDA</t>
  </si>
  <si>
    <t>6.319431</t>
  </si>
  <si>
    <t>-75.5636861</t>
  </si>
  <si>
    <t>BARRIO LA INDEPENDENCIA CALI</t>
  </si>
  <si>
    <t>3166657710</t>
  </si>
  <si>
    <t>3184094669</t>
  </si>
  <si>
    <t>CARRERA 49 47 75,PRADO</t>
  </si>
  <si>
    <t>6.3336891</t>
  </si>
  <si>
    <t>-75.5574128</t>
  </si>
  <si>
    <t>BARRIO PIO 12 KENNEDY BOGOTA</t>
  </si>
  <si>
    <t>3163046724</t>
  </si>
  <si>
    <t>3163046729</t>
  </si>
  <si>
    <t>3113673258</t>
  </si>
  <si>
    <t>DIAGONAL 62 40A 18,NIQUIA</t>
  </si>
  <si>
    <t>6.3444070</t>
  </si>
  <si>
    <t>-75.5472513</t>
  </si>
  <si>
    <t>BARRIO ALIRIO MORA BELTRAN CALI 2</t>
  </si>
  <si>
    <t>3214654851</t>
  </si>
  <si>
    <t>3157490616</t>
  </si>
  <si>
    <t>BRR LAURELES GALAXIA MAZANA 7A CA 4</t>
  </si>
  <si>
    <t>4.858864</t>
  </si>
  <si>
    <t>-75.659055</t>
  </si>
  <si>
    <t>BARRIO MARCO FIDEL SUAREZ BOGOTA 5</t>
  </si>
  <si>
    <t>3104712315</t>
  </si>
  <si>
    <t>3118087766</t>
  </si>
  <si>
    <t>3146654003</t>
  </si>
  <si>
    <t>CR 15 51 07 P 1 - LOS NARANJOS,LOS NARANJOS</t>
  </si>
  <si>
    <t>4.8404647</t>
  </si>
  <si>
    <t>-75.6669959</t>
  </si>
  <si>
    <t>BARRIO VALVANERA  BOGOTA</t>
  </si>
  <si>
    <t>3116295698</t>
  </si>
  <si>
    <t>3113580357</t>
  </si>
  <si>
    <t>CAMPESTRE A MZ 19 CS 2,CAMPESTRE A</t>
  </si>
  <si>
    <t>4.8324230</t>
  </si>
  <si>
    <t>-75.6827251</t>
  </si>
  <si>
    <t>BARRIO PATIO BONITO BOGOTA 26</t>
  </si>
  <si>
    <t>3016326040</t>
  </si>
  <si>
    <t>3016326404</t>
  </si>
  <si>
    <t>3128077027</t>
  </si>
  <si>
    <t>MZ 6 CA 117 LC 1 BRR LOS LAGUITOS </t>
  </si>
  <si>
    <t>4.8252568</t>
  </si>
  <si>
    <t>-75.6661158</t>
  </si>
  <si>
    <t>BARRIO RICARDO BALCAZAR CALI 3</t>
  </si>
  <si>
    <t>3006301874</t>
  </si>
  <si>
    <t xml:space="preserve">CL 44 18 08 BARRIO SAN FERNANDO </t>
  </si>
  <si>
    <t>4.8361868</t>
  </si>
  <si>
    <t>-75.6671532</t>
  </si>
  <si>
    <t>BARRIO EL PONDAJE CALI  2</t>
  </si>
  <si>
    <t>3014744900</t>
  </si>
  <si>
    <t>DOSQUEBRADAS CAMPESTRE MZ 14 CA 28</t>
  </si>
  <si>
    <t>4.8301052</t>
  </si>
  <si>
    <t>-75.6844439</t>
  </si>
  <si>
    <t>BARRIO ALFONSO BONILLA ARAGON CALI 2</t>
  </si>
  <si>
    <t>3006909241</t>
  </si>
  <si>
    <t>3135726780</t>
  </si>
  <si>
    <t>CON RESIDENCIAL QUINTAS DE ARAGON LC 2,LA PLAYITA</t>
  </si>
  <si>
    <t>4.8458012</t>
  </si>
  <si>
    <t>-75.6721581</t>
  </si>
  <si>
    <t>BARRIO CIUDAD CORDOBA CALI 9</t>
  </si>
  <si>
    <t>3320391</t>
  </si>
  <si>
    <t>3168047030</t>
  </si>
  <si>
    <t>CR 8 BIS 15 109 BG 14A SEC SERVIENTREGA, CC PORTAL DEL SUR</t>
  </si>
  <si>
    <t>4.8263727</t>
  </si>
  <si>
    <t>-75.6860269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</si>
</sst>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Gelion Thin"/>
    </font>
    <font>
      <b/>
      <sz val="10"/>
      <color theme="1"/>
      <name val="Gelion Thin"/>
    </font>
    <font>
      <sz val="10"/>
      <color theme="1"/>
      <name val="Gelion Thin"/>
    </font>
    <font>
      <b/>
      <sz val="11"/>
      <color rgb="FFFFFFFF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164" fontId="7" fillId="0" borderId="9" xfId="1" applyNumberFormat="1" applyFont="1" applyBorder="1" applyAlignment="1">
      <alignment vertical="center"/>
    </xf>
    <xf numFmtId="164" fontId="6" fillId="0" borderId="9" xfId="1" applyNumberFormat="1" applyFont="1" applyBorder="1" applyAlignment="1">
      <alignment horizontal="right" vertical="center"/>
    </xf>
    <xf numFmtId="164" fontId="7" fillId="0" borderId="10" xfId="1" applyNumberFormat="1" applyFont="1" applyBorder="1" applyAlignment="1">
      <alignment horizontal="right" vertical="center"/>
    </xf>
    <xf numFmtId="164" fontId="6" fillId="0" borderId="5" xfId="1" applyNumberFormat="1" applyFont="1" applyBorder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0" xfId="0" pivotButton="1"/>
    <xf numFmtId="165" fontId="0" fillId="0" borderId="0" xfId="0" applyNumberFormat="1"/>
    <xf numFmtId="0" fontId="4" fillId="0" borderId="11" xfId="0" applyFont="1" applyBorder="1" applyAlignment="1">
      <alignment horizontal="center" vertical="center"/>
    </xf>
    <xf numFmtId="0" fontId="8" fillId="7" borderId="0" xfId="0" applyFont="1" applyFill="1"/>
    <xf numFmtId="0" fontId="0" fillId="8" borderId="0" xfId="0" applyFill="1"/>
    <xf numFmtId="164" fontId="9" fillId="0" borderId="0" xfId="0" applyNumberFormat="1" applyFont="1" applyAlignment="1">
      <alignment wrapText="1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0" fontId="4" fillId="0" borderId="11" xfId="0" applyFont="1" applyBorder="1"/>
    <xf numFmtId="164" fontId="4" fillId="0" borderId="11" xfId="1" applyNumberFormat="1" applyFont="1" applyFill="1" applyBorder="1" applyAlignment="1">
      <alignment wrapText="1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19">
    <dxf>
      <numFmt numFmtId="165" formatCode="&quot;$&quot;\ 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$&quot;\ #,##0"/>
    </dxf>
  </dxfs>
  <tableStyles count="0" defaultTableStyle="TableStyleMedium9" defaultPivotStyle="PivotStyleLight16"/>
  <colors>
    <mruColors>
      <color rgb="FFDDF2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ni%20Hern&#225;ndez\Downloads\TIPOLOGIAS%20LINEACOM_WOMPI%20(1).xlsx" TargetMode="External"/><Relationship Id="rId1" Type="http://schemas.openxmlformats.org/officeDocument/2006/relationships/externalLinkPath" Target="file:///C:\Users\Lini%20Hern&#225;ndez\Downloads\TIPOLOGIAS%20LINEACOM_WOMPI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OLOGIAS"/>
      <sheetName val="TIPOLOGIAS_CB"/>
      <sheetName val="TIPOLOGIAS_ROLLOS"/>
      <sheetName val="TIPOLOGIAS_ENVIOS_VP"/>
    </sheetNames>
    <sheetDataSet>
      <sheetData sheetId="0">
        <row r="1">
          <cell r="A1" t="str">
            <v>CODIGO DANE</v>
          </cell>
          <cell r="B1" t="str">
            <v>CIUDAD</v>
          </cell>
          <cell r="C1" t="str">
            <v>DEPARTAMENTO</v>
          </cell>
          <cell r="D1" t="str">
            <v>DESDE DONDE SE ATIENDE</v>
          </cell>
          <cell r="E1" t="str">
            <v>TIPOLOGIA WOMPI</v>
          </cell>
          <cell r="F1" t="str">
            <v>TIPO DE TRAYECTO</v>
          </cell>
        </row>
        <row r="2">
          <cell r="A2">
            <v>91430</v>
          </cell>
          <cell r="B2" t="str">
            <v>LA VICTORIA</v>
          </cell>
          <cell r="C2" t="str">
            <v>AMAZONAS</v>
          </cell>
          <cell r="D2" t="str">
            <v>BOGOTA</v>
          </cell>
          <cell r="E2" t="str">
            <v>LEJANA</v>
          </cell>
          <cell r="F2" t="str">
            <v>AEREO</v>
          </cell>
        </row>
        <row r="3">
          <cell r="A3">
            <v>91669</v>
          </cell>
          <cell r="B3" t="str">
            <v>PUERTO SANTANDER</v>
          </cell>
          <cell r="C3" t="str">
            <v>AMAZONAS</v>
          </cell>
          <cell r="D3" t="str">
            <v>BOGOTA</v>
          </cell>
          <cell r="E3" t="str">
            <v>LEJANA</v>
          </cell>
          <cell r="F3" t="str">
            <v>AEREO</v>
          </cell>
        </row>
        <row r="4">
          <cell r="A4">
            <v>91263</v>
          </cell>
          <cell r="B4" t="str">
            <v>EL ENCANTO</v>
          </cell>
          <cell r="C4" t="str">
            <v>AMAZONAS</v>
          </cell>
          <cell r="D4" t="str">
            <v>BOGOTA</v>
          </cell>
          <cell r="E4" t="str">
            <v>LEJANA</v>
          </cell>
          <cell r="F4" t="str">
            <v>AEREO</v>
          </cell>
        </row>
        <row r="5">
          <cell r="A5">
            <v>91405</v>
          </cell>
          <cell r="B5" t="str">
            <v>LA CHORRERA</v>
          </cell>
          <cell r="C5" t="str">
            <v>AMAZONAS</v>
          </cell>
          <cell r="D5" t="str">
            <v>BOGOTA</v>
          </cell>
          <cell r="E5" t="str">
            <v>LEJANA</v>
          </cell>
          <cell r="F5" t="str">
            <v>AEREO</v>
          </cell>
        </row>
        <row r="6">
          <cell r="A6">
            <v>91407</v>
          </cell>
          <cell r="B6" t="str">
            <v>LA PEDRERA</v>
          </cell>
          <cell r="C6" t="str">
            <v>AMAZONAS</v>
          </cell>
          <cell r="D6" t="str">
            <v>BOGOTA</v>
          </cell>
          <cell r="E6" t="str">
            <v>LEJANA</v>
          </cell>
          <cell r="F6" t="str">
            <v>AEREO</v>
          </cell>
        </row>
        <row r="7">
          <cell r="A7">
            <v>91001</v>
          </cell>
          <cell r="B7" t="str">
            <v>LETICIA</v>
          </cell>
          <cell r="C7" t="str">
            <v>AMAZONAS</v>
          </cell>
          <cell r="D7" t="str">
            <v>BOGOTA</v>
          </cell>
          <cell r="E7" t="str">
            <v>LEJANA</v>
          </cell>
          <cell r="F7" t="str">
            <v>AEREO</v>
          </cell>
        </row>
        <row r="8">
          <cell r="A8">
            <v>91460</v>
          </cell>
          <cell r="B8" t="str">
            <v>MIRITI - PARANA</v>
          </cell>
          <cell r="C8" t="str">
            <v>AMAZONAS</v>
          </cell>
          <cell r="D8" t="str">
            <v>BOGOTA</v>
          </cell>
          <cell r="E8" t="str">
            <v>LEJANA</v>
          </cell>
          <cell r="F8" t="str">
            <v>AEREO</v>
          </cell>
        </row>
        <row r="9">
          <cell r="A9">
            <v>91530</v>
          </cell>
          <cell r="B9" t="str">
            <v>PUERTO ALEGRIA</v>
          </cell>
          <cell r="C9" t="str">
            <v>AMAZONAS</v>
          </cell>
          <cell r="D9" t="str">
            <v>BOGOTA</v>
          </cell>
          <cell r="E9" t="str">
            <v>LEJANA</v>
          </cell>
          <cell r="F9" t="str">
            <v>AEREO</v>
          </cell>
        </row>
        <row r="10">
          <cell r="A10">
            <v>91536</v>
          </cell>
          <cell r="B10" t="str">
            <v>PUERTO ARICA</v>
          </cell>
          <cell r="C10" t="str">
            <v>AMAZONAS</v>
          </cell>
          <cell r="D10" t="str">
            <v>BOGOTA</v>
          </cell>
          <cell r="E10" t="str">
            <v>LEJANA</v>
          </cell>
          <cell r="F10" t="str">
            <v>AEREO</v>
          </cell>
        </row>
        <row r="11">
          <cell r="A11">
            <v>91540</v>
          </cell>
          <cell r="B11" t="str">
            <v>PUERTO NARIÑO</v>
          </cell>
          <cell r="C11" t="str">
            <v>AMAZONAS</v>
          </cell>
          <cell r="D11" t="str">
            <v>BOGOTA</v>
          </cell>
          <cell r="E11" t="str">
            <v>LEJANA</v>
          </cell>
          <cell r="F11" t="str">
            <v>AEREO</v>
          </cell>
        </row>
        <row r="12">
          <cell r="A12">
            <v>91798</v>
          </cell>
          <cell r="B12" t="str">
            <v>TARAPACA</v>
          </cell>
          <cell r="C12" t="str">
            <v>AMAZONAS</v>
          </cell>
          <cell r="D12" t="str">
            <v>BOGOTA</v>
          </cell>
          <cell r="E12" t="str">
            <v>LEJANA</v>
          </cell>
          <cell r="F12" t="str">
            <v>AEREO</v>
          </cell>
        </row>
        <row r="13">
          <cell r="A13">
            <v>5055</v>
          </cell>
          <cell r="B13" t="str">
            <v>ARGELIA</v>
          </cell>
          <cell r="C13" t="str">
            <v>ANTIOQUIA</v>
          </cell>
          <cell r="D13" t="str">
            <v>MEDELLIN</v>
          </cell>
          <cell r="E13" t="str">
            <v>LEJANA</v>
          </cell>
          <cell r="F13" t="str">
            <v>TERRESTRE</v>
          </cell>
        </row>
        <row r="14">
          <cell r="A14">
            <v>5059</v>
          </cell>
          <cell r="B14" t="str">
            <v>ARMENIA</v>
          </cell>
          <cell r="C14" t="str">
            <v>ANTIOQUIA</v>
          </cell>
          <cell r="D14" t="str">
            <v>MEDELLIN</v>
          </cell>
          <cell r="E14" t="str">
            <v>INTERMEDIA</v>
          </cell>
          <cell r="F14" t="str">
            <v>TERRESTRE</v>
          </cell>
        </row>
        <row r="15">
          <cell r="A15">
            <v>5079</v>
          </cell>
          <cell r="B15" t="str">
            <v>BARBOSA</v>
          </cell>
          <cell r="C15" t="str">
            <v>ANTIOQUIA</v>
          </cell>
          <cell r="D15" t="str">
            <v>MEDELLIN</v>
          </cell>
          <cell r="E15" t="str">
            <v>INTERMEDIA</v>
          </cell>
          <cell r="F15" t="str">
            <v>TERRESTRE</v>
          </cell>
        </row>
        <row r="16">
          <cell r="A16">
            <v>5093</v>
          </cell>
          <cell r="B16" t="str">
            <v>BETULIA</v>
          </cell>
          <cell r="C16" t="str">
            <v>ANTIOQUIA</v>
          </cell>
          <cell r="D16" t="str">
            <v>MEDELLIN</v>
          </cell>
          <cell r="E16" t="str">
            <v>LEJANA</v>
          </cell>
          <cell r="F16" t="str">
            <v>TERRESTRE</v>
          </cell>
        </row>
        <row r="17">
          <cell r="A17">
            <v>5107</v>
          </cell>
          <cell r="B17" t="str">
            <v>BRICEÑO</v>
          </cell>
          <cell r="C17" t="str">
            <v>ANTIOQUIA</v>
          </cell>
          <cell r="D17" t="str">
            <v>MEDELLIN</v>
          </cell>
          <cell r="E17" t="str">
            <v>LEJANA</v>
          </cell>
          <cell r="F17" t="str">
            <v>TERRESTRE</v>
          </cell>
        </row>
        <row r="18">
          <cell r="A18">
            <v>5129</v>
          </cell>
          <cell r="B18" t="str">
            <v>CALDAS</v>
          </cell>
          <cell r="C18" t="str">
            <v>ANTIOQUIA</v>
          </cell>
          <cell r="D18" t="str">
            <v>MEDELLIN</v>
          </cell>
          <cell r="E18" t="str">
            <v>PRINCIPAL</v>
          </cell>
          <cell r="F18" t="str">
            <v>TERRESTRE</v>
          </cell>
        </row>
        <row r="19">
          <cell r="A19">
            <v>5206</v>
          </cell>
          <cell r="B19" t="str">
            <v>CONCEPCION</v>
          </cell>
          <cell r="C19" t="str">
            <v>ANTIOQUIA</v>
          </cell>
          <cell r="D19" t="str">
            <v>MEDELLIN</v>
          </cell>
          <cell r="E19" t="str">
            <v>INTERMEDIA</v>
          </cell>
          <cell r="F19" t="str">
            <v>TERRESTRE</v>
          </cell>
        </row>
        <row r="20">
          <cell r="A20">
            <v>5209</v>
          </cell>
          <cell r="B20" t="str">
            <v>CONCORDIA</v>
          </cell>
          <cell r="C20" t="str">
            <v>ANTIOQUIA</v>
          </cell>
          <cell r="D20" t="str">
            <v>MEDELLIN</v>
          </cell>
          <cell r="E20" t="str">
            <v>LEJANA</v>
          </cell>
          <cell r="F20" t="str">
            <v>TERRESTRE</v>
          </cell>
        </row>
        <row r="21">
          <cell r="A21">
            <v>5313</v>
          </cell>
          <cell r="B21" t="str">
            <v>GRANADA</v>
          </cell>
          <cell r="C21" t="str">
            <v>ANTIOQUIA</v>
          </cell>
          <cell r="D21" t="str">
            <v>MEDELLIN</v>
          </cell>
          <cell r="E21" t="str">
            <v>INTERMEDIA</v>
          </cell>
          <cell r="F21" t="str">
            <v>TERRESTRE</v>
          </cell>
        </row>
        <row r="22">
          <cell r="A22">
            <v>5315</v>
          </cell>
          <cell r="B22" t="str">
            <v>GUADALUPE</v>
          </cell>
          <cell r="C22" t="str">
            <v>ANTIOQUIA</v>
          </cell>
          <cell r="D22" t="str">
            <v>MEDELLIN</v>
          </cell>
          <cell r="E22" t="str">
            <v>LEJANA</v>
          </cell>
          <cell r="F22" t="str">
            <v>TERRESTRE</v>
          </cell>
        </row>
        <row r="23">
          <cell r="A23">
            <v>5368</v>
          </cell>
          <cell r="B23" t="str">
            <v>JERICO</v>
          </cell>
          <cell r="C23" t="str">
            <v>ANTIOQUIA</v>
          </cell>
          <cell r="D23" t="str">
            <v>MEDELLIN</v>
          </cell>
          <cell r="E23" t="str">
            <v>LEJANA</v>
          </cell>
          <cell r="F23" t="str">
            <v>TERRESTRE</v>
          </cell>
        </row>
        <row r="24">
          <cell r="A24">
            <v>5400</v>
          </cell>
          <cell r="B24" t="str">
            <v>LA UNION</v>
          </cell>
          <cell r="C24" t="str">
            <v>ANTIOQUIA</v>
          </cell>
          <cell r="D24" t="str">
            <v>MEDELLIN</v>
          </cell>
          <cell r="E24" t="str">
            <v>INTERMEDIA</v>
          </cell>
          <cell r="F24" t="str">
            <v>TERRESTRE</v>
          </cell>
        </row>
        <row r="25">
          <cell r="A25">
            <v>5483</v>
          </cell>
          <cell r="B25" t="str">
            <v>NARIÑO</v>
          </cell>
          <cell r="C25" t="str">
            <v>ANTIOQUIA</v>
          </cell>
          <cell r="D25" t="str">
            <v>MEDELLIN</v>
          </cell>
          <cell r="E25" t="str">
            <v>LEJANA</v>
          </cell>
          <cell r="F25" t="str">
            <v>TERRESTRE</v>
          </cell>
        </row>
        <row r="26">
          <cell r="A26">
            <v>5615</v>
          </cell>
          <cell r="B26" t="str">
            <v>RIONEGRO</v>
          </cell>
          <cell r="C26" t="str">
            <v>ANTIOQUIA</v>
          </cell>
          <cell r="D26" t="str">
            <v>MEDELLIN</v>
          </cell>
          <cell r="E26" t="str">
            <v>INTERMEDIA</v>
          </cell>
          <cell r="F26" t="str">
            <v>TERRESTRE</v>
          </cell>
        </row>
        <row r="27">
          <cell r="A27">
            <v>5628</v>
          </cell>
          <cell r="B27" t="str">
            <v>SABANALARGA</v>
          </cell>
          <cell r="C27" t="str">
            <v>ANTIOQUIA</v>
          </cell>
          <cell r="D27" t="str">
            <v>MEDELLIN</v>
          </cell>
          <cell r="E27" t="str">
            <v>LEJANA</v>
          </cell>
          <cell r="F27" t="str">
            <v>TERRESTRE</v>
          </cell>
        </row>
        <row r="28">
          <cell r="A28">
            <v>5649</v>
          </cell>
          <cell r="B28" t="str">
            <v>SAN CARLOS</v>
          </cell>
          <cell r="C28" t="str">
            <v>ANTIOQUIA</v>
          </cell>
          <cell r="D28" t="str">
            <v>MEDELLIN</v>
          </cell>
          <cell r="E28" t="str">
            <v>LEJANA</v>
          </cell>
          <cell r="F28" t="str">
            <v>TERRESTRE</v>
          </cell>
        </row>
        <row r="29">
          <cell r="A29">
            <v>5652</v>
          </cell>
          <cell r="B29" t="str">
            <v>SAN FRANCISCO</v>
          </cell>
          <cell r="C29" t="str">
            <v>ANTIOQUIA</v>
          </cell>
          <cell r="D29" t="str">
            <v>MEDELLIN</v>
          </cell>
          <cell r="E29" t="str">
            <v>LEJANA</v>
          </cell>
          <cell r="F29" t="str">
            <v>TERRESTRE</v>
          </cell>
        </row>
        <row r="30">
          <cell r="A30">
            <v>5660</v>
          </cell>
          <cell r="B30" t="str">
            <v>SAN LUIS</v>
          </cell>
          <cell r="C30" t="str">
            <v>ANTIOQUIA</v>
          </cell>
          <cell r="D30" t="str">
            <v>MEDELLIN</v>
          </cell>
          <cell r="E30" t="str">
            <v>LEJANA</v>
          </cell>
          <cell r="F30" t="str">
            <v>TERRESTRE</v>
          </cell>
        </row>
        <row r="31">
          <cell r="A31">
            <v>5664</v>
          </cell>
          <cell r="B31" t="str">
            <v>SAN PEDRO DE LOS MILAGROS</v>
          </cell>
          <cell r="C31" t="str">
            <v>ANTIOQUIA</v>
          </cell>
          <cell r="D31" t="str">
            <v>MEDELLIN</v>
          </cell>
          <cell r="E31" t="str">
            <v>INTERMEDIA</v>
          </cell>
          <cell r="F31" t="str">
            <v>TERRESTRE</v>
          </cell>
        </row>
        <row r="32">
          <cell r="A32">
            <v>5679</v>
          </cell>
          <cell r="B32" t="str">
            <v>SANTA BARBARA</v>
          </cell>
          <cell r="C32" t="str">
            <v>ANTIOQUIA</v>
          </cell>
          <cell r="D32" t="str">
            <v>MEDELLIN</v>
          </cell>
          <cell r="E32" t="str">
            <v>INTERMEDIA</v>
          </cell>
          <cell r="F32" t="str">
            <v>TERRESTRE</v>
          </cell>
        </row>
        <row r="33">
          <cell r="A33">
            <v>5819</v>
          </cell>
          <cell r="B33" t="str">
            <v>TOLEDO</v>
          </cell>
          <cell r="C33" t="str">
            <v>ANTIOQUIA</v>
          </cell>
          <cell r="D33" t="str">
            <v>MEDELLIN</v>
          </cell>
          <cell r="E33" t="str">
            <v>LEJANA</v>
          </cell>
          <cell r="F33" t="str">
            <v>TERRESTRE</v>
          </cell>
        </row>
        <row r="34">
          <cell r="A34">
            <v>5856</v>
          </cell>
          <cell r="B34" t="str">
            <v>VALPARAISO</v>
          </cell>
          <cell r="C34" t="str">
            <v>ANTIOQUIA</v>
          </cell>
          <cell r="D34" t="str">
            <v>MEDELLIN</v>
          </cell>
          <cell r="E34" t="str">
            <v>LEJANA</v>
          </cell>
          <cell r="F34" t="str">
            <v>TERRESTRE</v>
          </cell>
        </row>
        <row r="35">
          <cell r="A35">
            <v>5861</v>
          </cell>
          <cell r="B35" t="str">
            <v>VENECIA</v>
          </cell>
          <cell r="C35" t="str">
            <v>ANTIOQUIA</v>
          </cell>
          <cell r="D35" t="str">
            <v>MEDELLIN</v>
          </cell>
          <cell r="E35" t="str">
            <v>INTERMEDIA</v>
          </cell>
          <cell r="F35" t="str">
            <v>TERRESTRE</v>
          </cell>
        </row>
        <row r="36">
          <cell r="A36">
            <v>5002</v>
          </cell>
          <cell r="B36" t="str">
            <v>ABEJORRAL</v>
          </cell>
          <cell r="C36" t="str">
            <v>ANTIOQUIA</v>
          </cell>
          <cell r="D36" t="str">
            <v>MEDELLIN</v>
          </cell>
          <cell r="E36" t="str">
            <v>LEJANA</v>
          </cell>
          <cell r="F36" t="str">
            <v>TERRESTRE</v>
          </cell>
        </row>
        <row r="37">
          <cell r="A37">
            <v>5004</v>
          </cell>
          <cell r="B37" t="str">
            <v>ABRIAQUI</v>
          </cell>
          <cell r="C37" t="str">
            <v>ANTIOQUIA</v>
          </cell>
          <cell r="D37" t="str">
            <v>MEDELLIN</v>
          </cell>
          <cell r="E37" t="str">
            <v>LEJANA</v>
          </cell>
          <cell r="F37" t="str">
            <v>TERRESTRE</v>
          </cell>
        </row>
        <row r="38">
          <cell r="A38">
            <v>5021</v>
          </cell>
          <cell r="B38" t="str">
            <v>ALEJANDRIA</v>
          </cell>
          <cell r="C38" t="str">
            <v>ANTIOQUIA</v>
          </cell>
          <cell r="D38" t="str">
            <v>MEDELLIN</v>
          </cell>
          <cell r="E38" t="str">
            <v>LEJANA</v>
          </cell>
          <cell r="F38" t="str">
            <v>TERRESTRE</v>
          </cell>
        </row>
        <row r="39">
          <cell r="A39">
            <v>5030</v>
          </cell>
          <cell r="B39" t="str">
            <v>AMAGA</v>
          </cell>
          <cell r="C39" t="str">
            <v>ANTIOQUIA</v>
          </cell>
          <cell r="D39" t="str">
            <v>MEDELLIN</v>
          </cell>
          <cell r="E39" t="str">
            <v>INTERMEDIA</v>
          </cell>
          <cell r="F39" t="str">
            <v>TERRESTRE</v>
          </cell>
        </row>
        <row r="40">
          <cell r="A40">
            <v>5031</v>
          </cell>
          <cell r="B40" t="str">
            <v>AMALFI</v>
          </cell>
          <cell r="C40" t="str">
            <v>ANTIOQUIA</v>
          </cell>
          <cell r="D40" t="str">
            <v>MEDELLIN</v>
          </cell>
          <cell r="E40" t="str">
            <v>LEJANA</v>
          </cell>
          <cell r="F40" t="str">
            <v>TERRESTRE</v>
          </cell>
        </row>
        <row r="41">
          <cell r="A41">
            <v>5034</v>
          </cell>
          <cell r="B41" t="str">
            <v>ANDES</v>
          </cell>
          <cell r="C41" t="str">
            <v>ANTIOQUIA</v>
          </cell>
          <cell r="D41" t="str">
            <v>MEDELLIN</v>
          </cell>
          <cell r="E41" t="str">
            <v>LEJANA</v>
          </cell>
          <cell r="F41" t="str">
            <v>TERRESTRE</v>
          </cell>
        </row>
        <row r="42">
          <cell r="A42">
            <v>5036</v>
          </cell>
          <cell r="B42" t="str">
            <v>ANGELOPOLIS</v>
          </cell>
          <cell r="C42" t="str">
            <v>ANTIOQUIA</v>
          </cell>
          <cell r="D42" t="str">
            <v>MEDELLIN</v>
          </cell>
          <cell r="E42" t="str">
            <v>INTERMEDIA</v>
          </cell>
          <cell r="F42" t="str">
            <v>TERRESTRE</v>
          </cell>
        </row>
        <row r="43">
          <cell r="A43">
            <v>5038</v>
          </cell>
          <cell r="B43" t="str">
            <v>ANGOSTURA</v>
          </cell>
          <cell r="C43" t="str">
            <v>ANTIOQUIA</v>
          </cell>
          <cell r="D43" t="str">
            <v>MEDELLIN</v>
          </cell>
          <cell r="E43" t="str">
            <v>LEJANA</v>
          </cell>
          <cell r="F43" t="str">
            <v>TERRESTRE</v>
          </cell>
        </row>
        <row r="44">
          <cell r="A44">
            <v>5040</v>
          </cell>
          <cell r="B44" t="str">
            <v>ANORI</v>
          </cell>
          <cell r="C44" t="str">
            <v>ANTIOQUIA</v>
          </cell>
          <cell r="D44" t="str">
            <v>MEDELLIN</v>
          </cell>
          <cell r="E44" t="str">
            <v>LEJANA</v>
          </cell>
          <cell r="F44" t="str">
            <v>TERRESTRE</v>
          </cell>
        </row>
        <row r="45">
          <cell r="A45">
            <v>5044</v>
          </cell>
          <cell r="B45" t="str">
            <v>ANZA</v>
          </cell>
          <cell r="C45" t="str">
            <v>ANTIOQUIA</v>
          </cell>
          <cell r="D45" t="str">
            <v>MEDELLIN</v>
          </cell>
          <cell r="E45" t="str">
            <v>LEJANA</v>
          </cell>
          <cell r="F45" t="str">
            <v>TERRESTRE</v>
          </cell>
        </row>
        <row r="46">
          <cell r="A46">
            <v>5045</v>
          </cell>
          <cell r="B46" t="str">
            <v>APARTADO</v>
          </cell>
          <cell r="C46" t="str">
            <v>ANTIOQUIA</v>
          </cell>
          <cell r="D46" t="str">
            <v>APARTADO</v>
          </cell>
          <cell r="E46" t="str">
            <v>PRINCIPAL</v>
          </cell>
          <cell r="F46" t="str">
            <v>TERRESTRE</v>
          </cell>
        </row>
        <row r="47">
          <cell r="A47">
            <v>5051</v>
          </cell>
          <cell r="B47" t="str">
            <v>ARBOLETES</v>
          </cell>
          <cell r="C47" t="str">
            <v>ANTIOQUIA</v>
          </cell>
          <cell r="D47" t="str">
            <v>MONTERIA</v>
          </cell>
          <cell r="E47" t="str">
            <v>INTERMEDIA</v>
          </cell>
          <cell r="F47" t="str">
            <v>TERRESTRE</v>
          </cell>
        </row>
        <row r="48">
          <cell r="A48">
            <v>5088</v>
          </cell>
          <cell r="B48" t="str">
            <v>BELLO</v>
          </cell>
          <cell r="C48" t="str">
            <v>ANTIOQUIA</v>
          </cell>
          <cell r="D48" t="str">
            <v>MEDELLIN</v>
          </cell>
          <cell r="E48" t="str">
            <v>PRINCIPAL</v>
          </cell>
          <cell r="F48" t="str">
            <v>TERRESTRE</v>
          </cell>
        </row>
        <row r="49">
          <cell r="A49">
            <v>5086</v>
          </cell>
          <cell r="B49" t="str">
            <v>BELMIRA</v>
          </cell>
          <cell r="C49" t="str">
            <v>ANTIOQUIA</v>
          </cell>
          <cell r="D49" t="str">
            <v>MEDELLIN</v>
          </cell>
          <cell r="E49" t="str">
            <v>INTERMEDIA</v>
          </cell>
          <cell r="F49" t="str">
            <v>TERRESTRE</v>
          </cell>
        </row>
        <row r="50">
          <cell r="A50">
            <v>5091</v>
          </cell>
          <cell r="B50" t="str">
            <v>BETANIA</v>
          </cell>
          <cell r="C50" t="str">
            <v>ANTIOQUIA</v>
          </cell>
          <cell r="D50" t="str">
            <v>MEDELLIN</v>
          </cell>
          <cell r="E50" t="str">
            <v>LEJANA</v>
          </cell>
          <cell r="F50" t="str">
            <v>TERRESTRE</v>
          </cell>
        </row>
        <row r="51">
          <cell r="A51">
            <v>5113</v>
          </cell>
          <cell r="B51" t="str">
            <v>BURITICA</v>
          </cell>
          <cell r="C51" t="str">
            <v>ANTIOQUIA</v>
          </cell>
          <cell r="D51" t="str">
            <v>MEDELLIN</v>
          </cell>
          <cell r="E51" t="str">
            <v>LEJANA</v>
          </cell>
          <cell r="F51" t="str">
            <v>TERRESTRE</v>
          </cell>
        </row>
        <row r="52">
          <cell r="A52">
            <v>5120</v>
          </cell>
          <cell r="B52" t="str">
            <v>CACERES</v>
          </cell>
          <cell r="C52" t="str">
            <v>ANTIOQUIA</v>
          </cell>
          <cell r="D52" t="str">
            <v>MEDELLIN</v>
          </cell>
          <cell r="E52" t="str">
            <v>LEJANA</v>
          </cell>
          <cell r="F52" t="str">
            <v>TERRESTRE</v>
          </cell>
        </row>
        <row r="53">
          <cell r="A53">
            <v>5125</v>
          </cell>
          <cell r="B53" t="str">
            <v>CAICEDO</v>
          </cell>
          <cell r="C53" t="str">
            <v>ANTIOQUIA</v>
          </cell>
          <cell r="D53" t="str">
            <v>MEDELLIN</v>
          </cell>
          <cell r="E53" t="str">
            <v>LEJANA</v>
          </cell>
          <cell r="F53" t="str">
            <v>TERRESTRE</v>
          </cell>
        </row>
        <row r="54">
          <cell r="A54">
            <v>5134</v>
          </cell>
          <cell r="B54" t="str">
            <v>CAMPAMENTO</v>
          </cell>
          <cell r="C54" t="str">
            <v>ANTIOQUIA</v>
          </cell>
          <cell r="D54" t="str">
            <v>MEDELLIN</v>
          </cell>
          <cell r="E54" t="str">
            <v>LEJANA</v>
          </cell>
          <cell r="F54" t="str">
            <v>TERRESTRE</v>
          </cell>
        </row>
        <row r="55">
          <cell r="A55">
            <v>5138</v>
          </cell>
          <cell r="B55" t="str">
            <v>CAÑASGORDAS</v>
          </cell>
          <cell r="C55" t="str">
            <v>ANTIOQUIA</v>
          </cell>
          <cell r="D55" t="str">
            <v>MEDELLIN</v>
          </cell>
          <cell r="E55" t="str">
            <v>LEJANA</v>
          </cell>
          <cell r="F55" t="str">
            <v>TERRESTRE</v>
          </cell>
        </row>
        <row r="56">
          <cell r="A56">
            <v>5142</v>
          </cell>
          <cell r="B56" t="str">
            <v>CARACOLI</v>
          </cell>
          <cell r="C56" t="str">
            <v>ANTIOQUIA</v>
          </cell>
          <cell r="D56" t="str">
            <v>MEDELLIN</v>
          </cell>
          <cell r="E56" t="str">
            <v>LEJANA</v>
          </cell>
          <cell r="F56" t="str">
            <v>TERRESTRE</v>
          </cell>
        </row>
        <row r="57">
          <cell r="A57">
            <v>5145</v>
          </cell>
          <cell r="B57" t="str">
            <v>CARAMANTA</v>
          </cell>
          <cell r="C57" t="str">
            <v>ANTIOQUIA</v>
          </cell>
          <cell r="D57" t="str">
            <v>MEDELLIN</v>
          </cell>
          <cell r="E57" t="str">
            <v>LEJANA</v>
          </cell>
          <cell r="F57" t="str">
            <v>TERRESTRE</v>
          </cell>
        </row>
        <row r="58">
          <cell r="A58">
            <v>5147</v>
          </cell>
          <cell r="B58" t="str">
            <v>CAREPA</v>
          </cell>
          <cell r="C58" t="str">
            <v>ANTIOQUIA</v>
          </cell>
          <cell r="D58" t="str">
            <v>APARTADO</v>
          </cell>
          <cell r="E58" t="str">
            <v>PRINCIPAL</v>
          </cell>
          <cell r="F58" t="str">
            <v>TERRESTRE</v>
          </cell>
        </row>
        <row r="59">
          <cell r="A59">
            <v>5150</v>
          </cell>
          <cell r="B59" t="str">
            <v>CAROLINA</v>
          </cell>
          <cell r="C59" t="str">
            <v>ANTIOQUIA</v>
          </cell>
          <cell r="D59" t="str">
            <v>MEDELLIN</v>
          </cell>
          <cell r="E59" t="str">
            <v>LEJANA</v>
          </cell>
          <cell r="F59" t="str">
            <v>TERRESTRE</v>
          </cell>
        </row>
        <row r="60">
          <cell r="A60">
            <v>5154</v>
          </cell>
          <cell r="B60" t="str">
            <v>CAUCASIA</v>
          </cell>
          <cell r="C60" t="str">
            <v>ANTIOQUIA</v>
          </cell>
          <cell r="D60" t="str">
            <v>MONTERIA</v>
          </cell>
          <cell r="E60" t="str">
            <v>INTERMEDIA</v>
          </cell>
          <cell r="F60" t="str">
            <v>TERRESTRE</v>
          </cell>
        </row>
        <row r="61">
          <cell r="A61">
            <v>5172</v>
          </cell>
          <cell r="B61" t="str">
            <v>CHIGORODO</v>
          </cell>
          <cell r="C61" t="str">
            <v>ANTIOQUIA</v>
          </cell>
          <cell r="D61" t="str">
            <v>APARTADO</v>
          </cell>
          <cell r="E61" t="str">
            <v>INTERMEDIA</v>
          </cell>
          <cell r="F61" t="str">
            <v>TERRESTRE</v>
          </cell>
        </row>
        <row r="62">
          <cell r="A62">
            <v>5190</v>
          </cell>
          <cell r="B62" t="str">
            <v>CISNEROS</v>
          </cell>
          <cell r="C62" t="str">
            <v>ANTIOQUIA</v>
          </cell>
          <cell r="D62" t="str">
            <v>MEDELLIN</v>
          </cell>
          <cell r="E62" t="str">
            <v>INTERMEDIA</v>
          </cell>
          <cell r="F62" t="str">
            <v>TERRESTRE</v>
          </cell>
        </row>
        <row r="63">
          <cell r="A63">
            <v>5101</v>
          </cell>
          <cell r="B63" t="str">
            <v>CIUDAD BOLIVAR</v>
          </cell>
          <cell r="C63" t="str">
            <v>ANTIOQUIA</v>
          </cell>
          <cell r="D63" t="str">
            <v>MEDELLIN</v>
          </cell>
          <cell r="E63" t="str">
            <v>INTERMEDIA</v>
          </cell>
          <cell r="F63" t="str">
            <v>TERRESTRE</v>
          </cell>
        </row>
        <row r="64">
          <cell r="A64">
            <v>5197</v>
          </cell>
          <cell r="B64" t="str">
            <v>COCORNA</v>
          </cell>
          <cell r="C64" t="str">
            <v>ANTIOQUIA</v>
          </cell>
          <cell r="D64" t="str">
            <v>MEDELLIN</v>
          </cell>
          <cell r="E64" t="str">
            <v>INTERMEDIA</v>
          </cell>
          <cell r="F64" t="str">
            <v>TERRESTRE</v>
          </cell>
        </row>
        <row r="65">
          <cell r="A65">
            <v>5212</v>
          </cell>
          <cell r="B65" t="str">
            <v>COPACABANA</v>
          </cell>
          <cell r="C65" t="str">
            <v>ANTIOQUIA</v>
          </cell>
          <cell r="D65" t="str">
            <v>MEDELLIN</v>
          </cell>
          <cell r="E65" t="str">
            <v>PRINCIPAL</v>
          </cell>
          <cell r="F65" t="str">
            <v>TERRESTRE</v>
          </cell>
        </row>
        <row r="66">
          <cell r="A66">
            <v>5234</v>
          </cell>
          <cell r="B66" t="str">
            <v>DABEIBA</v>
          </cell>
          <cell r="C66" t="str">
            <v>ANTIOQUIA</v>
          </cell>
          <cell r="D66" t="str">
            <v>MEDELLIN</v>
          </cell>
          <cell r="E66" t="str">
            <v>LEJANA</v>
          </cell>
          <cell r="F66" t="str">
            <v>TERRESTRE</v>
          </cell>
        </row>
        <row r="67">
          <cell r="A67">
            <v>5237</v>
          </cell>
          <cell r="B67" t="str">
            <v>DON MATIAS</v>
          </cell>
          <cell r="C67" t="str">
            <v>ANTIOQUIA</v>
          </cell>
          <cell r="D67" t="str">
            <v>MEDELLIN</v>
          </cell>
          <cell r="E67" t="str">
            <v>INTERMEDIA</v>
          </cell>
          <cell r="F67" t="str">
            <v>TERRESTRE</v>
          </cell>
        </row>
        <row r="68">
          <cell r="A68">
            <v>5240</v>
          </cell>
          <cell r="B68" t="str">
            <v>EBEJICO</v>
          </cell>
          <cell r="C68" t="str">
            <v>ANTIOQUIA</v>
          </cell>
          <cell r="D68" t="str">
            <v>MEDELLIN</v>
          </cell>
          <cell r="E68" t="str">
            <v>INTERMEDIA</v>
          </cell>
          <cell r="F68" t="str">
            <v>TERRESTRE</v>
          </cell>
        </row>
        <row r="69">
          <cell r="A69">
            <v>5250</v>
          </cell>
          <cell r="B69" t="str">
            <v>EL BAGRE</v>
          </cell>
          <cell r="C69" t="str">
            <v>ANTIOQUIA</v>
          </cell>
          <cell r="D69" t="str">
            <v>MONTERIA</v>
          </cell>
          <cell r="E69" t="str">
            <v>LEJANA</v>
          </cell>
          <cell r="F69" t="str">
            <v>TERRESTRE</v>
          </cell>
        </row>
        <row r="70">
          <cell r="A70">
            <v>5148</v>
          </cell>
          <cell r="B70" t="str">
            <v>EL CARMEN DE VIBORAL</v>
          </cell>
          <cell r="C70" t="str">
            <v>ANTIOQUIA</v>
          </cell>
          <cell r="D70" t="str">
            <v>MEDELLIN</v>
          </cell>
          <cell r="E70" t="str">
            <v>INTERMEDIA</v>
          </cell>
          <cell r="F70" t="str">
            <v>TERRESTRE</v>
          </cell>
        </row>
        <row r="71">
          <cell r="A71">
            <v>5697</v>
          </cell>
          <cell r="B71" t="str">
            <v>EL SANTUARIO</v>
          </cell>
          <cell r="C71" t="str">
            <v>ANTIOQUIA</v>
          </cell>
          <cell r="D71" t="str">
            <v>MEDELLIN</v>
          </cell>
          <cell r="E71" t="str">
            <v>INTERMEDIA</v>
          </cell>
          <cell r="F71" t="str">
            <v>TERRESTRE</v>
          </cell>
        </row>
        <row r="72">
          <cell r="A72">
            <v>5264</v>
          </cell>
          <cell r="B72" t="str">
            <v>ENTRERRIOS</v>
          </cell>
          <cell r="C72" t="str">
            <v>ANTIOQUIA</v>
          </cell>
          <cell r="D72" t="str">
            <v>MEDELLIN</v>
          </cell>
          <cell r="E72" t="str">
            <v>INTERMEDIA</v>
          </cell>
          <cell r="F72" t="str">
            <v>TERRESTRE</v>
          </cell>
        </row>
        <row r="73">
          <cell r="A73">
            <v>5266</v>
          </cell>
          <cell r="B73" t="str">
            <v>ENVIGADO</v>
          </cell>
          <cell r="C73" t="str">
            <v>ANTIOQUIA</v>
          </cell>
          <cell r="D73" t="str">
            <v>MEDELLIN</v>
          </cell>
          <cell r="E73" t="str">
            <v>PRINCIPAL</v>
          </cell>
          <cell r="F73" t="str">
            <v>TERRESTRE</v>
          </cell>
        </row>
        <row r="74">
          <cell r="A74">
            <v>5282</v>
          </cell>
          <cell r="B74" t="str">
            <v>FREDONIA</v>
          </cell>
          <cell r="C74" t="str">
            <v>ANTIOQUIA</v>
          </cell>
          <cell r="D74" t="str">
            <v>MEDELLIN</v>
          </cell>
          <cell r="E74" t="str">
            <v>INTERMEDIA</v>
          </cell>
          <cell r="F74" t="str">
            <v>TERRESTRE</v>
          </cell>
        </row>
        <row r="75">
          <cell r="A75">
            <v>5284</v>
          </cell>
          <cell r="B75" t="str">
            <v>FRONTINO</v>
          </cell>
          <cell r="C75" t="str">
            <v>ANTIOQUIA</v>
          </cell>
          <cell r="D75" t="str">
            <v>MEDELLIN</v>
          </cell>
          <cell r="E75" t="str">
            <v>LEJANA</v>
          </cell>
          <cell r="F75" t="str">
            <v>TERRESTRE</v>
          </cell>
        </row>
        <row r="76">
          <cell r="A76">
            <v>5306</v>
          </cell>
          <cell r="B76" t="str">
            <v>GIRALDO</v>
          </cell>
          <cell r="C76" t="str">
            <v>ANTIOQUIA</v>
          </cell>
          <cell r="D76" t="str">
            <v>MEDELLIN</v>
          </cell>
          <cell r="E76" t="str">
            <v>LEJANA</v>
          </cell>
          <cell r="F76" t="str">
            <v>TERRESTRE</v>
          </cell>
        </row>
        <row r="77">
          <cell r="A77">
            <v>5308</v>
          </cell>
          <cell r="B77" t="str">
            <v>GIRARDOTA</v>
          </cell>
          <cell r="C77" t="str">
            <v>ANTIOQUIA</v>
          </cell>
          <cell r="D77" t="str">
            <v>MEDELLIN</v>
          </cell>
          <cell r="E77" t="str">
            <v>PRINCIPAL</v>
          </cell>
          <cell r="F77" t="str">
            <v>TERRESTRE</v>
          </cell>
        </row>
        <row r="78">
          <cell r="A78">
            <v>5310</v>
          </cell>
          <cell r="B78" t="str">
            <v>GOMEZ PLATA</v>
          </cell>
          <cell r="C78" t="str">
            <v>ANTIOQUIA</v>
          </cell>
          <cell r="D78" t="str">
            <v>MEDELLIN</v>
          </cell>
          <cell r="E78" t="str">
            <v>INTERMEDIA</v>
          </cell>
          <cell r="F78" t="str">
            <v>TERRESTRE</v>
          </cell>
        </row>
        <row r="79">
          <cell r="A79">
            <v>5318</v>
          </cell>
          <cell r="B79" t="str">
            <v>GUARNE</v>
          </cell>
          <cell r="C79" t="str">
            <v>ANTIOQUIA</v>
          </cell>
          <cell r="D79" t="str">
            <v>MEDELLIN</v>
          </cell>
          <cell r="E79" t="str">
            <v>INTERMEDIA</v>
          </cell>
          <cell r="F79" t="str">
            <v>TERRESTRE</v>
          </cell>
        </row>
        <row r="80">
          <cell r="A80">
            <v>5321</v>
          </cell>
          <cell r="B80" t="str">
            <v>GUATAPE</v>
          </cell>
          <cell r="C80" t="str">
            <v>ANTIOQUIA</v>
          </cell>
          <cell r="D80" t="str">
            <v>MEDELLIN</v>
          </cell>
          <cell r="E80" t="str">
            <v>INTERMEDIA</v>
          </cell>
          <cell r="F80" t="str">
            <v>TERRESTRE</v>
          </cell>
        </row>
        <row r="81">
          <cell r="A81">
            <v>5347</v>
          </cell>
          <cell r="B81" t="str">
            <v>HELICONIA</v>
          </cell>
          <cell r="C81" t="str">
            <v>ANTIOQUIA</v>
          </cell>
          <cell r="D81" t="str">
            <v>MEDELLIN</v>
          </cell>
          <cell r="E81" t="str">
            <v>INTERMEDIA</v>
          </cell>
          <cell r="F81" t="str">
            <v>TERRESTRE</v>
          </cell>
        </row>
        <row r="82">
          <cell r="A82">
            <v>5353</v>
          </cell>
          <cell r="B82" t="str">
            <v>HISPANIA</v>
          </cell>
          <cell r="C82" t="str">
            <v>ANTIOQUIA</v>
          </cell>
          <cell r="D82" t="str">
            <v>MEDELLIN</v>
          </cell>
          <cell r="E82" t="str">
            <v>LEJANA</v>
          </cell>
          <cell r="F82" t="str">
            <v>TERRESTRE</v>
          </cell>
        </row>
        <row r="83">
          <cell r="A83">
            <v>5360</v>
          </cell>
          <cell r="B83" t="str">
            <v>ITAGUI</v>
          </cell>
          <cell r="C83" t="str">
            <v>ANTIOQUIA</v>
          </cell>
          <cell r="D83" t="str">
            <v>MEDELLIN</v>
          </cell>
          <cell r="E83" t="str">
            <v>PRINCIPAL</v>
          </cell>
          <cell r="F83" t="str">
            <v>TERRESTRE</v>
          </cell>
        </row>
        <row r="84">
          <cell r="A84">
            <v>5361</v>
          </cell>
          <cell r="B84" t="str">
            <v>ITUANGO</v>
          </cell>
          <cell r="C84" t="str">
            <v>ANTIOQUIA</v>
          </cell>
          <cell r="D84" t="str">
            <v>MEDELLIN</v>
          </cell>
          <cell r="E84" t="str">
            <v>LEJANA</v>
          </cell>
          <cell r="F84" t="str">
            <v>TERRESTRE</v>
          </cell>
        </row>
        <row r="85">
          <cell r="A85">
            <v>5364</v>
          </cell>
          <cell r="B85" t="str">
            <v>JARDIN</v>
          </cell>
          <cell r="C85" t="str">
            <v>ANTIOQUIA</v>
          </cell>
          <cell r="D85" t="str">
            <v>MEDELLIN</v>
          </cell>
          <cell r="E85" t="str">
            <v>LEJANA</v>
          </cell>
          <cell r="F85" t="str">
            <v>TERRESTRE</v>
          </cell>
        </row>
        <row r="86">
          <cell r="A86">
            <v>5376</v>
          </cell>
          <cell r="B86" t="str">
            <v>LA CEJA</v>
          </cell>
          <cell r="C86" t="str">
            <v>ANTIOQUIA</v>
          </cell>
          <cell r="D86" t="str">
            <v>MEDELLIN</v>
          </cell>
          <cell r="E86" t="str">
            <v>INTERMEDIA</v>
          </cell>
          <cell r="F86" t="str">
            <v>TERRESTRE</v>
          </cell>
        </row>
        <row r="87">
          <cell r="A87">
            <v>5380</v>
          </cell>
          <cell r="B87" t="str">
            <v>LA ESTRELLA</v>
          </cell>
          <cell r="C87" t="str">
            <v>ANTIOQUIA</v>
          </cell>
          <cell r="D87" t="str">
            <v>MEDELLIN</v>
          </cell>
          <cell r="E87" t="str">
            <v>PRINCIPAL</v>
          </cell>
          <cell r="F87" t="str">
            <v>TERRESTRE</v>
          </cell>
        </row>
        <row r="88">
          <cell r="A88">
            <v>5390</v>
          </cell>
          <cell r="B88" t="str">
            <v>LA PINTADA</v>
          </cell>
          <cell r="C88" t="str">
            <v>ANTIOQUIA</v>
          </cell>
          <cell r="D88" t="str">
            <v>MEDELLIN</v>
          </cell>
          <cell r="E88" t="str">
            <v>INTERMEDIA</v>
          </cell>
          <cell r="F88" t="str">
            <v>TERRESTRE</v>
          </cell>
        </row>
        <row r="89">
          <cell r="A89">
            <v>5411</v>
          </cell>
          <cell r="B89" t="str">
            <v>LIBORINA</v>
          </cell>
          <cell r="C89" t="str">
            <v>ANTIOQUIA</v>
          </cell>
          <cell r="D89" t="str">
            <v>MEDELLIN</v>
          </cell>
          <cell r="E89" t="str">
            <v>LEJANA</v>
          </cell>
          <cell r="F89" t="str">
            <v>TERRESTRE</v>
          </cell>
        </row>
        <row r="90">
          <cell r="A90">
            <v>5425</v>
          </cell>
          <cell r="B90" t="str">
            <v>MACEO</v>
          </cell>
          <cell r="C90" t="str">
            <v>ANTIOQUIA</v>
          </cell>
          <cell r="D90" t="str">
            <v>MEDELLIN</v>
          </cell>
          <cell r="E90" t="str">
            <v>LEJANA</v>
          </cell>
          <cell r="F90" t="str">
            <v>TERRESTRE</v>
          </cell>
        </row>
        <row r="91">
          <cell r="A91">
            <v>5440</v>
          </cell>
          <cell r="B91" t="str">
            <v>MARINILLA</v>
          </cell>
          <cell r="C91" t="str">
            <v>ANTIOQUIA</v>
          </cell>
          <cell r="D91" t="str">
            <v>MEDELLIN</v>
          </cell>
          <cell r="E91" t="str">
            <v>INTERMEDIA</v>
          </cell>
          <cell r="F91" t="str">
            <v>TERRESTRE</v>
          </cell>
        </row>
        <row r="92">
          <cell r="A92">
            <v>5001</v>
          </cell>
          <cell r="B92" t="str">
            <v>MEDELLIN</v>
          </cell>
          <cell r="C92" t="str">
            <v>ANTIOQUIA</v>
          </cell>
          <cell r="D92" t="str">
            <v>MEDELLIN</v>
          </cell>
          <cell r="E92" t="str">
            <v>PRINCIPAL</v>
          </cell>
          <cell r="F92" t="str">
            <v>TERRESTRE</v>
          </cell>
        </row>
        <row r="93">
          <cell r="A93">
            <v>5467</v>
          </cell>
          <cell r="B93" t="str">
            <v>MONTEBELLO</v>
          </cell>
          <cell r="C93" t="str">
            <v>ANTIOQUIA</v>
          </cell>
          <cell r="D93" t="str">
            <v>MEDELLIN</v>
          </cell>
          <cell r="E93" t="str">
            <v>INTERMEDIA</v>
          </cell>
          <cell r="F93" t="str">
            <v>TERRESTRE</v>
          </cell>
        </row>
        <row r="94">
          <cell r="A94">
            <v>5475</v>
          </cell>
          <cell r="B94" t="str">
            <v>MURINDO</v>
          </cell>
          <cell r="C94" t="str">
            <v>ANTIOQUIA</v>
          </cell>
          <cell r="D94" t="str">
            <v>APARTADO</v>
          </cell>
          <cell r="E94" t="str">
            <v>LEJANA</v>
          </cell>
          <cell r="F94" t="str">
            <v>FLUVIAL</v>
          </cell>
        </row>
        <row r="95">
          <cell r="A95">
            <v>5480</v>
          </cell>
          <cell r="B95" t="str">
            <v>MUTATA</v>
          </cell>
          <cell r="C95" t="str">
            <v>ANTIOQUIA</v>
          </cell>
          <cell r="D95" t="str">
            <v>APARTADO</v>
          </cell>
          <cell r="E95" t="str">
            <v>INTERMEDIA</v>
          </cell>
          <cell r="F95" t="str">
            <v>TERRESTRE</v>
          </cell>
        </row>
        <row r="96">
          <cell r="A96">
            <v>5495</v>
          </cell>
          <cell r="B96" t="str">
            <v>NECHI</v>
          </cell>
          <cell r="C96" t="str">
            <v>ANTIOQUIA</v>
          </cell>
          <cell r="D96" t="str">
            <v>MONTERIA</v>
          </cell>
          <cell r="E96" t="str">
            <v>LEJANA</v>
          </cell>
          <cell r="F96" t="str">
            <v>TERRESTRE</v>
          </cell>
        </row>
        <row r="97">
          <cell r="A97">
            <v>5490</v>
          </cell>
          <cell r="B97" t="str">
            <v>NECOCLI</v>
          </cell>
          <cell r="C97" t="str">
            <v>ANTIOQUIA</v>
          </cell>
          <cell r="D97" t="str">
            <v>APARTADO</v>
          </cell>
          <cell r="E97" t="str">
            <v>INTERMEDIA</v>
          </cell>
          <cell r="F97" t="str">
            <v>TERRESTRE</v>
          </cell>
        </row>
        <row r="98">
          <cell r="A98">
            <v>5501</v>
          </cell>
          <cell r="B98" t="str">
            <v>OLAYA</v>
          </cell>
          <cell r="C98" t="str">
            <v>ANTIOQUIA</v>
          </cell>
          <cell r="D98" t="str">
            <v>MEDELLIN</v>
          </cell>
          <cell r="E98" t="str">
            <v>INTERMEDIA</v>
          </cell>
          <cell r="F98" t="str">
            <v>TERRESTRE</v>
          </cell>
        </row>
        <row r="99">
          <cell r="A99">
            <v>5541</v>
          </cell>
          <cell r="B99" t="str">
            <v>PEÑOL</v>
          </cell>
          <cell r="C99" t="str">
            <v>ANTIOQUIA</v>
          </cell>
          <cell r="D99" t="str">
            <v>MEDELLIN</v>
          </cell>
          <cell r="E99" t="str">
            <v>INTERMEDIA</v>
          </cell>
          <cell r="F99" t="str">
            <v>TERRESTRE</v>
          </cell>
        </row>
        <row r="100">
          <cell r="A100">
            <v>5543</v>
          </cell>
          <cell r="B100" t="str">
            <v>PEQUE</v>
          </cell>
          <cell r="C100" t="str">
            <v>ANTIOQUIA</v>
          </cell>
          <cell r="D100" t="str">
            <v>MEDELLIN</v>
          </cell>
          <cell r="E100" t="str">
            <v>LEJANA</v>
          </cell>
          <cell r="F100" t="str">
            <v>TERRESTRE</v>
          </cell>
        </row>
        <row r="101">
          <cell r="A101">
            <v>5576</v>
          </cell>
          <cell r="B101" t="str">
            <v>PUEBLORRICO</v>
          </cell>
          <cell r="C101" t="str">
            <v>ANTIOQUIA</v>
          </cell>
          <cell r="D101" t="str">
            <v>MEDELLIN</v>
          </cell>
          <cell r="E101" t="str">
            <v>LEJANA</v>
          </cell>
          <cell r="F101" t="str">
            <v>TERRESTRE</v>
          </cell>
        </row>
        <row r="102">
          <cell r="A102">
            <v>5579</v>
          </cell>
          <cell r="B102" t="str">
            <v>PUERTO BERRIO</v>
          </cell>
          <cell r="C102" t="str">
            <v>ANTIOQUIA</v>
          </cell>
          <cell r="D102" t="str">
            <v>MEDELLIN</v>
          </cell>
          <cell r="E102" t="str">
            <v>LEJANA</v>
          </cell>
          <cell r="F102" t="str">
            <v>TERRESTRE</v>
          </cell>
        </row>
        <row r="103">
          <cell r="A103">
            <v>5585</v>
          </cell>
          <cell r="B103" t="str">
            <v>PUERTO NARE</v>
          </cell>
          <cell r="C103" t="str">
            <v>ANTIOQUIA</v>
          </cell>
          <cell r="D103" t="str">
            <v>MEDELLIN</v>
          </cell>
          <cell r="E103" t="str">
            <v>LEJANA</v>
          </cell>
          <cell r="F103" t="str">
            <v>TERRESTRE</v>
          </cell>
        </row>
        <row r="104">
          <cell r="A104">
            <v>5591</v>
          </cell>
          <cell r="B104" t="str">
            <v>PUERTO TRIUNFO</v>
          </cell>
          <cell r="C104" t="str">
            <v>ANTIOQUIA</v>
          </cell>
          <cell r="D104" t="str">
            <v>MEDELLIN</v>
          </cell>
          <cell r="E104" t="str">
            <v>LEJANA</v>
          </cell>
          <cell r="F104" t="str">
            <v>TERRESTRE</v>
          </cell>
        </row>
        <row r="105">
          <cell r="A105">
            <v>5604</v>
          </cell>
          <cell r="B105" t="str">
            <v>REMEDIOS</v>
          </cell>
          <cell r="C105" t="str">
            <v>ANTIOQUIA</v>
          </cell>
          <cell r="D105" t="str">
            <v>MEDELLIN</v>
          </cell>
          <cell r="E105" t="str">
            <v>LEJANA</v>
          </cell>
          <cell r="F105" t="str">
            <v>TERRESTRE</v>
          </cell>
        </row>
        <row r="106">
          <cell r="A106">
            <v>5607</v>
          </cell>
          <cell r="B106" t="str">
            <v>RETIRO</v>
          </cell>
          <cell r="C106" t="str">
            <v>ANTIOQUIA</v>
          </cell>
          <cell r="D106" t="str">
            <v>MEDELLIN</v>
          </cell>
          <cell r="E106" t="str">
            <v>INTERMEDIA</v>
          </cell>
          <cell r="F106" t="str">
            <v>TERRESTRE</v>
          </cell>
        </row>
        <row r="107">
          <cell r="A107">
            <v>5631</v>
          </cell>
          <cell r="B107" t="str">
            <v>SABANETA</v>
          </cell>
          <cell r="C107" t="str">
            <v>ANTIOQUIA</v>
          </cell>
          <cell r="D107" t="str">
            <v>MEDELLIN</v>
          </cell>
          <cell r="E107" t="str">
            <v>PRINCIPAL</v>
          </cell>
          <cell r="F107" t="str">
            <v>TERRESTRE</v>
          </cell>
        </row>
        <row r="108">
          <cell r="A108">
            <v>5642</v>
          </cell>
          <cell r="B108" t="str">
            <v>SALGAR</v>
          </cell>
          <cell r="C108" t="str">
            <v>ANTIOQUIA</v>
          </cell>
          <cell r="D108" t="str">
            <v>MEDELLIN</v>
          </cell>
          <cell r="E108" t="str">
            <v>INTERMEDIA</v>
          </cell>
          <cell r="F108" t="str">
            <v>TERRESTRE</v>
          </cell>
        </row>
        <row r="109">
          <cell r="A109">
            <v>5647</v>
          </cell>
          <cell r="B109" t="str">
            <v>SAN ANDRES DE CUERQUIA</v>
          </cell>
          <cell r="C109" t="str">
            <v>ANTIOQUIA</v>
          </cell>
          <cell r="D109" t="str">
            <v>MEDELLIN</v>
          </cell>
          <cell r="E109" t="str">
            <v>LEJANA</v>
          </cell>
          <cell r="F109" t="str">
            <v>TERRESTRE</v>
          </cell>
        </row>
        <row r="110">
          <cell r="A110">
            <v>5656</v>
          </cell>
          <cell r="B110" t="str">
            <v>SAN JERONIMO</v>
          </cell>
          <cell r="C110" t="str">
            <v>ANTIOQUIA</v>
          </cell>
          <cell r="D110" t="str">
            <v>MEDELLIN</v>
          </cell>
          <cell r="E110" t="str">
            <v>INTERMEDIA</v>
          </cell>
          <cell r="F110" t="str">
            <v>TERRESTRE</v>
          </cell>
        </row>
        <row r="111">
          <cell r="A111">
            <v>5658</v>
          </cell>
          <cell r="B111" t="str">
            <v>SAN JOSE DE LA MONTAÑA</v>
          </cell>
          <cell r="C111" t="str">
            <v>ANTIOQUIA</v>
          </cell>
          <cell r="D111" t="str">
            <v>MEDELLIN</v>
          </cell>
          <cell r="E111" t="str">
            <v>LEJANA</v>
          </cell>
          <cell r="F111" t="str">
            <v>TERRESTRE</v>
          </cell>
        </row>
        <row r="112">
          <cell r="A112">
            <v>5659</v>
          </cell>
          <cell r="B112" t="str">
            <v>SAN JUAN DE URABA</v>
          </cell>
          <cell r="C112" t="str">
            <v>ANTIOQUIA</v>
          </cell>
          <cell r="D112" t="str">
            <v>MONTERIA</v>
          </cell>
          <cell r="E112" t="str">
            <v>INTERMEDIA</v>
          </cell>
          <cell r="F112" t="str">
            <v>TERRESTRE</v>
          </cell>
        </row>
        <row r="113">
          <cell r="A113">
            <v>5665</v>
          </cell>
          <cell r="B113" t="str">
            <v>SAN PEDRO DE URABA</v>
          </cell>
          <cell r="C113" t="str">
            <v>ANTIOQUIA</v>
          </cell>
          <cell r="D113" t="str">
            <v>APARTADO</v>
          </cell>
          <cell r="E113" t="str">
            <v>LEJANA</v>
          </cell>
          <cell r="F113" t="str">
            <v>TERRESTRE</v>
          </cell>
        </row>
        <row r="114">
          <cell r="A114">
            <v>5667</v>
          </cell>
          <cell r="B114" t="str">
            <v>SAN RAFAEL</v>
          </cell>
          <cell r="C114" t="str">
            <v>ANTIOQUIA</v>
          </cell>
          <cell r="D114" t="str">
            <v>MEDELLIN</v>
          </cell>
          <cell r="E114" t="str">
            <v>LEJANA</v>
          </cell>
          <cell r="F114" t="str">
            <v>TERRESTRE</v>
          </cell>
        </row>
        <row r="115">
          <cell r="A115">
            <v>5670</v>
          </cell>
          <cell r="B115" t="str">
            <v>SAN ROQUE</v>
          </cell>
          <cell r="C115" t="str">
            <v>ANTIOQUIA</v>
          </cell>
          <cell r="D115" t="str">
            <v>MEDELLIN</v>
          </cell>
          <cell r="E115" t="str">
            <v>LEJANA</v>
          </cell>
          <cell r="F115" t="str">
            <v>TERRESTRE</v>
          </cell>
        </row>
        <row r="116">
          <cell r="A116">
            <v>5674</v>
          </cell>
          <cell r="B116" t="str">
            <v>SAN VICENTE</v>
          </cell>
          <cell r="C116" t="str">
            <v>ANTIOQUIA</v>
          </cell>
          <cell r="D116" t="str">
            <v>MEDELLIN</v>
          </cell>
          <cell r="E116" t="str">
            <v>INTERMEDIA</v>
          </cell>
          <cell r="F116" t="str">
            <v>TERRESTRE</v>
          </cell>
        </row>
        <row r="117">
          <cell r="A117">
            <v>5042</v>
          </cell>
          <cell r="B117" t="str">
            <v>SANTA FE DE ANTIOQUIA</v>
          </cell>
          <cell r="C117" t="str">
            <v>ANTIOQUIA</v>
          </cell>
          <cell r="D117" t="str">
            <v>MEDELLIN</v>
          </cell>
          <cell r="E117" t="str">
            <v>INTERMEDIA</v>
          </cell>
          <cell r="F117" t="str">
            <v>TERRESTRE</v>
          </cell>
        </row>
        <row r="118">
          <cell r="A118">
            <v>5686</v>
          </cell>
          <cell r="B118" t="str">
            <v>SANTA ROSA DE OSOS</v>
          </cell>
          <cell r="C118" t="str">
            <v>ANTIOQUIA</v>
          </cell>
          <cell r="D118" t="str">
            <v>MEDELLIN</v>
          </cell>
          <cell r="E118" t="str">
            <v>INTERMEDIA</v>
          </cell>
          <cell r="F118" t="str">
            <v>TERRESTRE</v>
          </cell>
        </row>
        <row r="119">
          <cell r="A119">
            <v>5690</v>
          </cell>
          <cell r="B119" t="str">
            <v>SANTO DOMINGO</v>
          </cell>
          <cell r="C119" t="str">
            <v>ANTIOQUIA</v>
          </cell>
          <cell r="D119" t="str">
            <v>MEDELLIN</v>
          </cell>
          <cell r="E119" t="str">
            <v>INTERMEDIA</v>
          </cell>
          <cell r="F119" t="str">
            <v>TERRESTRE</v>
          </cell>
        </row>
        <row r="120">
          <cell r="A120">
            <v>5736</v>
          </cell>
          <cell r="B120" t="str">
            <v>SEGOVIA</v>
          </cell>
          <cell r="C120" t="str">
            <v>ANTIOQUIA</v>
          </cell>
          <cell r="D120" t="str">
            <v>MEDELLIN</v>
          </cell>
          <cell r="E120" t="str">
            <v>LEJANA</v>
          </cell>
          <cell r="F120" t="str">
            <v>TERRESTRE</v>
          </cell>
        </row>
        <row r="121">
          <cell r="A121">
            <v>5756</v>
          </cell>
          <cell r="B121" t="str">
            <v>SONSON</v>
          </cell>
          <cell r="C121" t="str">
            <v>ANTIOQUIA</v>
          </cell>
          <cell r="D121" t="str">
            <v>MEDELLIN</v>
          </cell>
          <cell r="E121" t="str">
            <v>LEJANA</v>
          </cell>
          <cell r="F121" t="str">
            <v>TERRESTRE</v>
          </cell>
        </row>
        <row r="122">
          <cell r="A122">
            <v>5761</v>
          </cell>
          <cell r="B122" t="str">
            <v>SOPETRAN</v>
          </cell>
          <cell r="C122" t="str">
            <v>ANTIOQUIA</v>
          </cell>
          <cell r="D122" t="str">
            <v>MEDELLIN</v>
          </cell>
          <cell r="E122" t="str">
            <v>INTERMEDIA</v>
          </cell>
          <cell r="F122" t="str">
            <v>TERRESTRE</v>
          </cell>
        </row>
        <row r="123">
          <cell r="A123">
            <v>5789</v>
          </cell>
          <cell r="B123" t="str">
            <v>TAMESIS</v>
          </cell>
          <cell r="C123" t="str">
            <v>ANTIOQUIA</v>
          </cell>
          <cell r="D123" t="str">
            <v>MEDELLIN</v>
          </cell>
          <cell r="E123" t="str">
            <v>LEJANA</v>
          </cell>
          <cell r="F123" t="str">
            <v>TERRESTRE</v>
          </cell>
        </row>
        <row r="124">
          <cell r="A124">
            <v>5790</v>
          </cell>
          <cell r="B124" t="str">
            <v>TARAZA</v>
          </cell>
          <cell r="C124" t="str">
            <v>ANTIOQUIA</v>
          </cell>
          <cell r="D124" t="str">
            <v>MEDELLIN</v>
          </cell>
          <cell r="E124" t="str">
            <v>LEJANA</v>
          </cell>
          <cell r="F124" t="str">
            <v>TERRESTRE</v>
          </cell>
        </row>
        <row r="125">
          <cell r="A125">
            <v>5792</v>
          </cell>
          <cell r="B125" t="str">
            <v>TARSO</v>
          </cell>
          <cell r="C125" t="str">
            <v>ANTIOQUIA</v>
          </cell>
          <cell r="D125" t="str">
            <v>MEDELLIN</v>
          </cell>
          <cell r="E125" t="str">
            <v>LEJANA</v>
          </cell>
          <cell r="F125" t="str">
            <v>TERRESTRE</v>
          </cell>
        </row>
        <row r="126">
          <cell r="A126">
            <v>5809</v>
          </cell>
          <cell r="B126" t="str">
            <v>TITIRIBI</v>
          </cell>
          <cell r="C126" t="str">
            <v>ANTIOQUIA</v>
          </cell>
          <cell r="D126" t="str">
            <v>MEDELLIN</v>
          </cell>
          <cell r="E126" t="str">
            <v>INTERMEDIA</v>
          </cell>
          <cell r="F126" t="str">
            <v>TERRESTRE</v>
          </cell>
        </row>
        <row r="127">
          <cell r="A127">
            <v>5837</v>
          </cell>
          <cell r="B127" t="str">
            <v>TURBO</v>
          </cell>
          <cell r="C127" t="str">
            <v>ANTIOQUIA</v>
          </cell>
          <cell r="D127" t="str">
            <v>APARTADO</v>
          </cell>
          <cell r="E127" t="str">
            <v>INTERMEDIA</v>
          </cell>
          <cell r="F127" t="str">
            <v>TERRESTRE</v>
          </cell>
        </row>
        <row r="128">
          <cell r="A128">
            <v>5842</v>
          </cell>
          <cell r="B128" t="str">
            <v>URAMITA</v>
          </cell>
          <cell r="C128" t="str">
            <v>ANTIOQUIA</v>
          </cell>
          <cell r="D128" t="str">
            <v>MEDELLIN</v>
          </cell>
          <cell r="E128" t="str">
            <v>LEJANA</v>
          </cell>
          <cell r="F128" t="str">
            <v>TERRESTRE</v>
          </cell>
        </row>
        <row r="129">
          <cell r="A129">
            <v>5847</v>
          </cell>
          <cell r="B129" t="str">
            <v>URRAO</v>
          </cell>
          <cell r="C129" t="str">
            <v>ANTIOQUIA</v>
          </cell>
          <cell r="D129" t="str">
            <v>MEDELLIN</v>
          </cell>
          <cell r="E129" t="str">
            <v>LEJANA</v>
          </cell>
          <cell r="F129" t="str">
            <v>TERRESTRE</v>
          </cell>
        </row>
        <row r="130">
          <cell r="A130">
            <v>5854</v>
          </cell>
          <cell r="B130" t="str">
            <v>VALDIVIA</v>
          </cell>
          <cell r="C130" t="str">
            <v>ANTIOQUIA</v>
          </cell>
          <cell r="D130" t="str">
            <v>MEDELLIN</v>
          </cell>
          <cell r="E130" t="str">
            <v>LEJANA</v>
          </cell>
          <cell r="F130" t="str">
            <v>TERRESTRE</v>
          </cell>
        </row>
        <row r="131">
          <cell r="A131">
            <v>5858</v>
          </cell>
          <cell r="B131" t="str">
            <v>VEGACHI</v>
          </cell>
          <cell r="C131" t="str">
            <v>ANTIOQUIA</v>
          </cell>
          <cell r="D131" t="str">
            <v>MEDELLIN</v>
          </cell>
          <cell r="E131" t="str">
            <v>LEJANA</v>
          </cell>
          <cell r="F131" t="str">
            <v>TERRESTRE</v>
          </cell>
        </row>
        <row r="132">
          <cell r="A132">
            <v>5873</v>
          </cell>
          <cell r="B132" t="str">
            <v>VIGIA DEL FUERTE</v>
          </cell>
          <cell r="C132" t="str">
            <v>ANTIOQUIA</v>
          </cell>
          <cell r="D132" t="str">
            <v>APARTADO</v>
          </cell>
          <cell r="E132" t="str">
            <v>LEJANA</v>
          </cell>
          <cell r="F132" t="str">
            <v>AEREO</v>
          </cell>
        </row>
        <row r="133">
          <cell r="A133">
            <v>5885</v>
          </cell>
          <cell r="B133" t="str">
            <v>YALI</v>
          </cell>
          <cell r="C133" t="str">
            <v>ANTIOQUIA</v>
          </cell>
          <cell r="D133" t="str">
            <v>MEDELLIN</v>
          </cell>
          <cell r="E133" t="str">
            <v>INTERMEDIA</v>
          </cell>
          <cell r="F133" t="str">
            <v>TERRESTRE</v>
          </cell>
        </row>
        <row r="134">
          <cell r="A134">
            <v>5887</v>
          </cell>
          <cell r="B134" t="str">
            <v>YARUMAL</v>
          </cell>
          <cell r="C134" t="str">
            <v>ANTIOQUIA</v>
          </cell>
          <cell r="D134" t="str">
            <v>MEDELLIN</v>
          </cell>
          <cell r="E134" t="str">
            <v>LEJANA</v>
          </cell>
          <cell r="F134" t="str">
            <v>TERRESTRE</v>
          </cell>
        </row>
        <row r="135">
          <cell r="A135">
            <v>5890</v>
          </cell>
          <cell r="B135" t="str">
            <v>YOLOMBO</v>
          </cell>
          <cell r="C135" t="str">
            <v>ANTIOQUIA</v>
          </cell>
          <cell r="D135" t="str">
            <v>MEDELLIN</v>
          </cell>
          <cell r="E135" t="str">
            <v>INTERMEDIA</v>
          </cell>
          <cell r="F135" t="str">
            <v>TERRESTRE</v>
          </cell>
        </row>
        <row r="136">
          <cell r="A136">
            <v>5893</v>
          </cell>
          <cell r="B136" t="str">
            <v>YONDO</v>
          </cell>
          <cell r="C136" t="str">
            <v>ANTIOQUIA</v>
          </cell>
          <cell r="D136" t="str">
            <v>BUCARAMANGA</v>
          </cell>
          <cell r="E136" t="str">
            <v>LEJANA</v>
          </cell>
          <cell r="F136" t="str">
            <v>TERRESTRE</v>
          </cell>
        </row>
        <row r="137">
          <cell r="A137">
            <v>5895</v>
          </cell>
          <cell r="B137" t="str">
            <v>ZARAGOZA</v>
          </cell>
          <cell r="C137" t="str">
            <v>ANTIOQUIA</v>
          </cell>
          <cell r="D137" t="str">
            <v>MONTERIA</v>
          </cell>
          <cell r="E137" t="str">
            <v>LEJANA</v>
          </cell>
          <cell r="F137" t="str">
            <v>TERRESTRE</v>
          </cell>
        </row>
        <row r="138">
          <cell r="A138">
            <v>81001</v>
          </cell>
          <cell r="B138" t="str">
            <v>ARAUCA</v>
          </cell>
          <cell r="C138" t="str">
            <v>ARAUCA</v>
          </cell>
          <cell r="D138" t="str">
            <v>BUCARAMANGA</v>
          </cell>
          <cell r="E138" t="str">
            <v>LEJANA</v>
          </cell>
          <cell r="F138" t="str">
            <v>AEREO</v>
          </cell>
        </row>
        <row r="139">
          <cell r="A139">
            <v>81065</v>
          </cell>
          <cell r="B139" t="str">
            <v>ARAUQUITA</v>
          </cell>
          <cell r="C139" t="str">
            <v>ARAUCA</v>
          </cell>
          <cell r="D139" t="str">
            <v>BUCARAMANGA</v>
          </cell>
          <cell r="E139" t="str">
            <v>LEJANA</v>
          </cell>
          <cell r="F139" t="str">
            <v>AEREO</v>
          </cell>
        </row>
        <row r="140">
          <cell r="A140">
            <v>81220</v>
          </cell>
          <cell r="B140" t="str">
            <v>CRAVO NORTE</v>
          </cell>
          <cell r="C140" t="str">
            <v>ARAUCA</v>
          </cell>
          <cell r="D140" t="str">
            <v>BUCARAMANGA</v>
          </cell>
          <cell r="E140" t="str">
            <v>LEJANA</v>
          </cell>
          <cell r="F140" t="str">
            <v>AEREO</v>
          </cell>
        </row>
        <row r="141">
          <cell r="A141">
            <v>81300</v>
          </cell>
          <cell r="B141" t="str">
            <v>FORTUL</v>
          </cell>
          <cell r="C141" t="str">
            <v>ARAUCA</v>
          </cell>
          <cell r="D141" t="str">
            <v>BUCARAMANGA</v>
          </cell>
          <cell r="E141" t="str">
            <v>LEJANA</v>
          </cell>
          <cell r="F141" t="str">
            <v>AEREO</v>
          </cell>
        </row>
        <row r="142">
          <cell r="A142">
            <v>81591</v>
          </cell>
          <cell r="B142" t="str">
            <v>PUERTO RONDON</v>
          </cell>
          <cell r="C142" t="str">
            <v>ARAUCA</v>
          </cell>
          <cell r="D142" t="str">
            <v>BUCARAMANGA</v>
          </cell>
          <cell r="E142" t="str">
            <v>LEJANA</v>
          </cell>
          <cell r="F142" t="str">
            <v>AEREO</v>
          </cell>
        </row>
        <row r="143">
          <cell r="A143">
            <v>81736</v>
          </cell>
          <cell r="B143" t="str">
            <v>SARAVENA</v>
          </cell>
          <cell r="C143" t="str">
            <v>ARAUCA</v>
          </cell>
          <cell r="D143" t="str">
            <v>BUCARAMANGA</v>
          </cell>
          <cell r="E143" t="str">
            <v>LEJANA</v>
          </cell>
          <cell r="F143" t="str">
            <v>AEREO</v>
          </cell>
        </row>
        <row r="144">
          <cell r="A144">
            <v>81794</v>
          </cell>
          <cell r="B144" t="str">
            <v>TAME</v>
          </cell>
          <cell r="C144" t="str">
            <v>ARAUCA</v>
          </cell>
          <cell r="D144" t="str">
            <v>BUCARAMANGA</v>
          </cell>
          <cell r="E144" t="str">
            <v>LEJANA</v>
          </cell>
          <cell r="F144" t="str">
            <v>AEREO</v>
          </cell>
        </row>
        <row r="145">
          <cell r="A145">
            <v>8141</v>
          </cell>
          <cell r="B145" t="str">
            <v>CANDELARIA</v>
          </cell>
          <cell r="C145" t="str">
            <v>ATLANTICO</v>
          </cell>
          <cell r="D145" t="str">
            <v>BARRANQUILLA</v>
          </cell>
          <cell r="E145" t="str">
            <v>INTERMEDIA</v>
          </cell>
          <cell r="F145" t="str">
            <v>TERRESTRE</v>
          </cell>
        </row>
        <row r="146">
          <cell r="A146">
            <v>8573</v>
          </cell>
          <cell r="B146" t="str">
            <v>PUERTO COLOMBIA</v>
          </cell>
          <cell r="C146" t="str">
            <v>ATLANTICO</v>
          </cell>
          <cell r="D146" t="str">
            <v>BARRANQUILLA</v>
          </cell>
          <cell r="E146" t="str">
            <v>INTERMEDIA</v>
          </cell>
          <cell r="F146" t="str">
            <v>TERRESTRE</v>
          </cell>
        </row>
        <row r="147">
          <cell r="A147">
            <v>8638</v>
          </cell>
          <cell r="B147" t="str">
            <v>SABANALARGA</v>
          </cell>
          <cell r="C147" t="str">
            <v>ATLANTICO</v>
          </cell>
          <cell r="D147" t="str">
            <v>BARRANQUILLA</v>
          </cell>
          <cell r="E147" t="str">
            <v>INTERMEDIA</v>
          </cell>
          <cell r="F147" t="str">
            <v>TERRESTRE</v>
          </cell>
        </row>
        <row r="148">
          <cell r="A148">
            <v>8078</v>
          </cell>
          <cell r="B148" t="str">
            <v>BARANOA</v>
          </cell>
          <cell r="C148" t="str">
            <v>ATLANTICO</v>
          </cell>
          <cell r="D148" t="str">
            <v>BARRANQUILLA</v>
          </cell>
          <cell r="E148" t="str">
            <v>INTERMEDIA</v>
          </cell>
          <cell r="F148" t="str">
            <v>TERRESTRE</v>
          </cell>
        </row>
        <row r="149">
          <cell r="A149">
            <v>8001</v>
          </cell>
          <cell r="B149" t="str">
            <v>BARRANQUILLA</v>
          </cell>
          <cell r="C149" t="str">
            <v>ATLANTICO</v>
          </cell>
          <cell r="D149" t="str">
            <v>BARRANQUILLA</v>
          </cell>
          <cell r="E149" t="str">
            <v>PRINCIPAL</v>
          </cell>
          <cell r="F149" t="str">
            <v>TERRESTRE</v>
          </cell>
        </row>
        <row r="150">
          <cell r="A150">
            <v>8137</v>
          </cell>
          <cell r="B150" t="str">
            <v>CAMPO DE LA CRUZ</v>
          </cell>
          <cell r="C150" t="str">
            <v>ATLANTICO</v>
          </cell>
          <cell r="D150" t="str">
            <v>BARRANQUILLA</v>
          </cell>
          <cell r="E150" t="str">
            <v>INTERMEDIA</v>
          </cell>
          <cell r="F150" t="str">
            <v>TERRESTRE</v>
          </cell>
        </row>
        <row r="151">
          <cell r="A151">
            <v>8296</v>
          </cell>
          <cell r="B151" t="str">
            <v>GALAPA</v>
          </cell>
          <cell r="C151" t="str">
            <v>ATLANTICO</v>
          </cell>
          <cell r="D151" t="str">
            <v>BARRANQUILLA</v>
          </cell>
          <cell r="E151" t="str">
            <v>PRINCIPAL</v>
          </cell>
          <cell r="F151" t="str">
            <v>TERRESTRE</v>
          </cell>
        </row>
        <row r="152">
          <cell r="A152">
            <v>8372</v>
          </cell>
          <cell r="B152" t="str">
            <v>JUAN DE ACOSTA</v>
          </cell>
          <cell r="C152" t="str">
            <v>ATLANTICO</v>
          </cell>
          <cell r="D152" t="str">
            <v>BARRANQUILLA</v>
          </cell>
          <cell r="E152" t="str">
            <v>INTERMEDIA</v>
          </cell>
          <cell r="F152" t="str">
            <v>TERRESTRE</v>
          </cell>
        </row>
        <row r="153">
          <cell r="A153">
            <v>8421</v>
          </cell>
          <cell r="B153" t="str">
            <v>LURUACO</v>
          </cell>
          <cell r="C153" t="str">
            <v>ATLANTICO</v>
          </cell>
          <cell r="D153" t="str">
            <v>BARRANQUILLA</v>
          </cell>
          <cell r="E153" t="str">
            <v>INTERMEDIA</v>
          </cell>
          <cell r="F153" t="str">
            <v>TERRESTRE</v>
          </cell>
        </row>
        <row r="154">
          <cell r="A154">
            <v>8433</v>
          </cell>
          <cell r="B154" t="str">
            <v>MALAMBO</v>
          </cell>
          <cell r="C154" t="str">
            <v>ATLANTICO</v>
          </cell>
          <cell r="D154" t="str">
            <v>BARRANQUILLA</v>
          </cell>
          <cell r="E154" t="str">
            <v>INTERMEDIA</v>
          </cell>
          <cell r="F154" t="str">
            <v>TERRESTRE</v>
          </cell>
        </row>
        <row r="155">
          <cell r="A155">
            <v>8436</v>
          </cell>
          <cell r="B155" t="str">
            <v>MANATI</v>
          </cell>
          <cell r="C155" t="str">
            <v>ATLANTICO</v>
          </cell>
          <cell r="D155" t="str">
            <v>BARRANQUILLA</v>
          </cell>
          <cell r="E155" t="str">
            <v>INTERMEDIA</v>
          </cell>
          <cell r="F155" t="str">
            <v>TERRESTRE</v>
          </cell>
        </row>
        <row r="156">
          <cell r="A156">
            <v>8520</v>
          </cell>
          <cell r="B156" t="str">
            <v>PALMAR DE VARELA</v>
          </cell>
          <cell r="C156" t="str">
            <v>ATLANTICO</v>
          </cell>
          <cell r="D156" t="str">
            <v>BARRANQUILLA</v>
          </cell>
          <cell r="E156" t="str">
            <v>INTERMEDIA</v>
          </cell>
          <cell r="F156" t="str">
            <v>TERRESTRE</v>
          </cell>
        </row>
        <row r="157">
          <cell r="A157">
            <v>8549</v>
          </cell>
          <cell r="B157" t="str">
            <v>PIOJO</v>
          </cell>
          <cell r="C157" t="str">
            <v>ATLANTICO</v>
          </cell>
          <cell r="D157" t="str">
            <v>BARRANQUILLA</v>
          </cell>
          <cell r="E157" t="str">
            <v>INTERMEDIA</v>
          </cell>
          <cell r="F157" t="str">
            <v>TERRESTRE</v>
          </cell>
        </row>
        <row r="158">
          <cell r="A158">
            <v>8558</v>
          </cell>
          <cell r="B158" t="str">
            <v>POLONUEVO</v>
          </cell>
          <cell r="C158" t="str">
            <v>ATLANTICO</v>
          </cell>
          <cell r="D158" t="str">
            <v>BARRANQUILLA</v>
          </cell>
          <cell r="E158" t="str">
            <v>INTERMEDIA</v>
          </cell>
          <cell r="F158" t="str">
            <v>TERRESTRE</v>
          </cell>
        </row>
        <row r="159">
          <cell r="A159">
            <v>8560</v>
          </cell>
          <cell r="B159" t="str">
            <v>PONEDERA</v>
          </cell>
          <cell r="C159" t="str">
            <v>ATLANTICO</v>
          </cell>
          <cell r="D159" t="str">
            <v>BARRANQUILLA</v>
          </cell>
          <cell r="E159" t="str">
            <v>INTERMEDIA</v>
          </cell>
          <cell r="F159" t="str">
            <v>TERRESTRE</v>
          </cell>
        </row>
        <row r="160">
          <cell r="A160">
            <v>8606</v>
          </cell>
          <cell r="B160" t="str">
            <v>REPELON</v>
          </cell>
          <cell r="C160" t="str">
            <v>ATLANTICO</v>
          </cell>
          <cell r="D160" t="str">
            <v>BARRANQUILLA</v>
          </cell>
          <cell r="E160" t="str">
            <v>INTERMEDIA</v>
          </cell>
          <cell r="F160" t="str">
            <v>TERRESTRE</v>
          </cell>
        </row>
        <row r="161">
          <cell r="A161">
            <v>8634</v>
          </cell>
          <cell r="B161" t="str">
            <v>SABANAGRANDE</v>
          </cell>
          <cell r="C161" t="str">
            <v>ATLANTICO</v>
          </cell>
          <cell r="D161" t="str">
            <v>BARRANQUILLA</v>
          </cell>
          <cell r="E161" t="str">
            <v>INTERMEDIA</v>
          </cell>
          <cell r="F161" t="str">
            <v>TERRESTRE</v>
          </cell>
        </row>
        <row r="162">
          <cell r="A162">
            <v>8675</v>
          </cell>
          <cell r="B162" t="str">
            <v>SANTA LUCIA</v>
          </cell>
          <cell r="C162" t="str">
            <v>ATLANTICO</v>
          </cell>
          <cell r="D162" t="str">
            <v>BARRANQUILLA</v>
          </cell>
          <cell r="E162" t="str">
            <v>INTERMEDIA</v>
          </cell>
          <cell r="F162" t="str">
            <v>TERRESTRE</v>
          </cell>
        </row>
        <row r="163">
          <cell r="A163">
            <v>8685</v>
          </cell>
          <cell r="B163" t="str">
            <v>SANTO TOMAS</v>
          </cell>
          <cell r="C163" t="str">
            <v>ATLANTICO</v>
          </cell>
          <cell r="D163" t="str">
            <v>BARRANQUILLA</v>
          </cell>
          <cell r="E163" t="str">
            <v>INTERMEDIA</v>
          </cell>
          <cell r="F163" t="str">
            <v>TERRESTRE</v>
          </cell>
        </row>
        <row r="164">
          <cell r="A164">
            <v>8758</v>
          </cell>
          <cell r="B164" t="str">
            <v>SOLEDAD</v>
          </cell>
          <cell r="C164" t="str">
            <v>ATLANTICO</v>
          </cell>
          <cell r="D164" t="str">
            <v>BARRANQUILLA</v>
          </cell>
          <cell r="E164" t="str">
            <v>PRINCIPAL</v>
          </cell>
          <cell r="F164" t="str">
            <v>TERRESTRE</v>
          </cell>
        </row>
        <row r="165">
          <cell r="A165">
            <v>8770</v>
          </cell>
          <cell r="B165" t="str">
            <v>SUAN</v>
          </cell>
          <cell r="C165" t="str">
            <v>ATLANTICO</v>
          </cell>
          <cell r="D165" t="str">
            <v>BARRANQUILLA</v>
          </cell>
          <cell r="E165" t="str">
            <v>INTERMEDIA</v>
          </cell>
          <cell r="F165" t="str">
            <v>TERRESTRE</v>
          </cell>
        </row>
        <row r="166">
          <cell r="A166">
            <v>8832</v>
          </cell>
          <cell r="B166" t="str">
            <v>TUBARA</v>
          </cell>
          <cell r="C166" t="str">
            <v>ATLANTICO</v>
          </cell>
          <cell r="D166" t="str">
            <v>BARRANQUILLA</v>
          </cell>
          <cell r="E166" t="str">
            <v>INTERMEDIA</v>
          </cell>
          <cell r="F166" t="str">
            <v>TERRESTRE</v>
          </cell>
        </row>
        <row r="167">
          <cell r="A167">
            <v>8849</v>
          </cell>
          <cell r="B167" t="str">
            <v>USIACURI</v>
          </cell>
          <cell r="C167" t="str">
            <v>ATLANTICO</v>
          </cell>
          <cell r="D167" t="str">
            <v>BARRANQUILLA</v>
          </cell>
          <cell r="E167" t="str">
            <v>INTERMEDIA</v>
          </cell>
          <cell r="F167" t="str">
            <v>TERRESTRE</v>
          </cell>
        </row>
        <row r="168">
          <cell r="A168">
            <v>13140</v>
          </cell>
          <cell r="B168" t="str">
            <v>CALAMAR</v>
          </cell>
          <cell r="C168" t="str">
            <v>BOLIVAR</v>
          </cell>
          <cell r="D168" t="str">
            <v>CARTAGENA</v>
          </cell>
          <cell r="E168" t="str">
            <v>INTERMEDIA</v>
          </cell>
          <cell r="F168" t="str">
            <v>TERRESTRE</v>
          </cell>
        </row>
        <row r="169">
          <cell r="A169">
            <v>13212</v>
          </cell>
          <cell r="B169" t="str">
            <v>CORDOBA</v>
          </cell>
          <cell r="C169" t="str">
            <v>BOLIVAR</v>
          </cell>
          <cell r="D169" t="str">
            <v>CARTAGENA</v>
          </cell>
          <cell r="E169" t="str">
            <v>LEJANA</v>
          </cell>
          <cell r="F169" t="str">
            <v>TERRESTRE</v>
          </cell>
        </row>
        <row r="170">
          <cell r="A170">
            <v>13268</v>
          </cell>
          <cell r="B170" t="str">
            <v>EL PEÑON</v>
          </cell>
          <cell r="C170" t="str">
            <v>BOLIVAR</v>
          </cell>
          <cell r="D170" t="str">
            <v>VALLEDUPAR</v>
          </cell>
          <cell r="E170" t="str">
            <v>LEJANA</v>
          </cell>
          <cell r="F170" t="str">
            <v>TERRESTRE</v>
          </cell>
        </row>
        <row r="171">
          <cell r="A171">
            <v>13473</v>
          </cell>
          <cell r="B171" t="str">
            <v>MORALES</v>
          </cell>
          <cell r="C171" t="str">
            <v>BOLIVAR</v>
          </cell>
          <cell r="D171" t="str">
            <v>VALLEDUPAR</v>
          </cell>
          <cell r="E171" t="str">
            <v>LEJANA</v>
          </cell>
          <cell r="F171" t="str">
            <v>TERRESTRE</v>
          </cell>
        </row>
        <row r="172">
          <cell r="A172">
            <v>13670</v>
          </cell>
          <cell r="B172" t="str">
            <v>SAN PABLO</v>
          </cell>
          <cell r="C172" t="str">
            <v>BOLIVAR</v>
          </cell>
          <cell r="D172" t="str">
            <v>BUCARAMANGA</v>
          </cell>
          <cell r="E172" t="str">
            <v>LEJANA</v>
          </cell>
          <cell r="F172" t="str">
            <v>TERRESTRE/FLUVIAL</v>
          </cell>
        </row>
        <row r="173">
          <cell r="A173">
            <v>13683</v>
          </cell>
          <cell r="B173" t="str">
            <v>SANTA ROSA</v>
          </cell>
          <cell r="C173" t="str">
            <v>BOLIVAR</v>
          </cell>
          <cell r="D173" t="str">
            <v>CARTAGENA</v>
          </cell>
          <cell r="E173" t="str">
            <v>INTERMEDIA</v>
          </cell>
          <cell r="F173" t="str">
            <v>TERRESTRE</v>
          </cell>
        </row>
        <row r="174">
          <cell r="A174">
            <v>13873</v>
          </cell>
          <cell r="B174" t="str">
            <v>VILLANUEVA</v>
          </cell>
          <cell r="C174" t="str">
            <v>BOLIVAR</v>
          </cell>
          <cell r="D174" t="str">
            <v>CARTAGENA</v>
          </cell>
          <cell r="E174" t="str">
            <v>INTERMEDIA</v>
          </cell>
          <cell r="F174" t="str">
            <v>TERRESTRE</v>
          </cell>
        </row>
        <row r="175">
          <cell r="A175">
            <v>13006</v>
          </cell>
          <cell r="B175" t="str">
            <v>ACHI</v>
          </cell>
          <cell r="C175" t="str">
            <v>BOLIVAR</v>
          </cell>
          <cell r="D175" t="str">
            <v>CARTAGENA</v>
          </cell>
          <cell r="E175" t="str">
            <v>LEJANA</v>
          </cell>
          <cell r="F175" t="str">
            <v>TERRESTRE</v>
          </cell>
        </row>
        <row r="176">
          <cell r="A176">
            <v>13030</v>
          </cell>
          <cell r="B176" t="str">
            <v>ALTOS DEL ROSARIO</v>
          </cell>
          <cell r="C176" t="str">
            <v>BOLIVAR</v>
          </cell>
          <cell r="D176" t="str">
            <v>CARTAGENA</v>
          </cell>
          <cell r="E176" t="str">
            <v>LEJANA</v>
          </cell>
          <cell r="F176" t="str">
            <v>TERRESTRE</v>
          </cell>
        </row>
        <row r="177">
          <cell r="A177">
            <v>13042</v>
          </cell>
          <cell r="B177" t="str">
            <v>ARENAL</v>
          </cell>
          <cell r="C177" t="str">
            <v>BOLIVAR</v>
          </cell>
          <cell r="D177" t="str">
            <v>VALLEDUPAR</v>
          </cell>
          <cell r="E177" t="str">
            <v>LEJANA</v>
          </cell>
          <cell r="F177" t="str">
            <v>TERRESTRE</v>
          </cell>
        </row>
        <row r="178">
          <cell r="A178">
            <v>13052</v>
          </cell>
          <cell r="B178" t="str">
            <v>ARJONA</v>
          </cell>
          <cell r="C178" t="str">
            <v>BOLIVAR</v>
          </cell>
          <cell r="D178" t="str">
            <v>CARTAGENA</v>
          </cell>
          <cell r="E178" t="str">
            <v>INTERMEDIA</v>
          </cell>
          <cell r="F178" t="str">
            <v>TERRESTRE</v>
          </cell>
        </row>
        <row r="179">
          <cell r="A179">
            <v>13062</v>
          </cell>
          <cell r="B179" t="str">
            <v>ARROYOHONDO</v>
          </cell>
          <cell r="C179" t="str">
            <v>BOLIVAR</v>
          </cell>
          <cell r="D179" t="str">
            <v>CARTAGENA</v>
          </cell>
          <cell r="E179" t="str">
            <v>INTERMEDIA</v>
          </cell>
          <cell r="F179" t="str">
            <v>TERRESTRE</v>
          </cell>
        </row>
        <row r="180">
          <cell r="A180">
            <v>13074</v>
          </cell>
          <cell r="B180" t="str">
            <v>BARRANCO DE LOBA</v>
          </cell>
          <cell r="C180" t="str">
            <v>BOLIVAR</v>
          </cell>
          <cell r="D180" t="str">
            <v>VALLEDUPAR</v>
          </cell>
          <cell r="E180" t="str">
            <v>LEJANA</v>
          </cell>
          <cell r="F180" t="str">
            <v>TERRESTRE</v>
          </cell>
        </row>
        <row r="181">
          <cell r="A181">
            <v>13160</v>
          </cell>
          <cell r="B181" t="str">
            <v>CANTAGALLO</v>
          </cell>
          <cell r="C181" t="str">
            <v>BOLIVAR</v>
          </cell>
          <cell r="D181" t="str">
            <v>BUCARAMANGA</v>
          </cell>
          <cell r="E181" t="str">
            <v>LEJANA</v>
          </cell>
          <cell r="F181" t="str">
            <v>TERRESTRE/FLUVIAL</v>
          </cell>
        </row>
        <row r="182">
          <cell r="A182">
            <v>13001</v>
          </cell>
          <cell r="B182" t="str">
            <v>CARTAGENA</v>
          </cell>
          <cell r="C182" t="str">
            <v>BOLIVAR</v>
          </cell>
          <cell r="D182" t="str">
            <v>CARTAGENA</v>
          </cell>
          <cell r="E182" t="str">
            <v>PRINCIPAL</v>
          </cell>
          <cell r="F182" t="str">
            <v>TERRESTRE</v>
          </cell>
        </row>
        <row r="183">
          <cell r="A183">
            <v>13188</v>
          </cell>
          <cell r="B183" t="str">
            <v>CICUCO</v>
          </cell>
          <cell r="C183" t="str">
            <v>BOLIVAR</v>
          </cell>
          <cell r="D183" t="str">
            <v>CARTAGENA</v>
          </cell>
          <cell r="E183" t="str">
            <v>LEJANA</v>
          </cell>
          <cell r="F183" t="str">
            <v>TERRESTRE</v>
          </cell>
        </row>
        <row r="184">
          <cell r="A184">
            <v>13222</v>
          </cell>
          <cell r="B184" t="str">
            <v>CLEMENCIA</v>
          </cell>
          <cell r="C184" t="str">
            <v>BOLIVAR</v>
          </cell>
          <cell r="D184" t="str">
            <v>CARTAGENA</v>
          </cell>
          <cell r="E184" t="str">
            <v>INTERMEDIA</v>
          </cell>
          <cell r="F184" t="str">
            <v>TERRESTRE</v>
          </cell>
        </row>
        <row r="185">
          <cell r="A185">
            <v>13244</v>
          </cell>
          <cell r="B185" t="str">
            <v>EL CARMEN DE BOLIVAR</v>
          </cell>
          <cell r="C185" t="str">
            <v>BOLIVAR</v>
          </cell>
          <cell r="D185" t="str">
            <v>CARTAGENA</v>
          </cell>
          <cell r="E185" t="str">
            <v>LEJANA</v>
          </cell>
          <cell r="F185" t="str">
            <v>TERRESTRE</v>
          </cell>
        </row>
        <row r="186">
          <cell r="A186">
            <v>13248</v>
          </cell>
          <cell r="B186" t="str">
            <v>EL GUAMO</v>
          </cell>
          <cell r="C186" t="str">
            <v>BOLIVAR</v>
          </cell>
          <cell r="D186" t="str">
            <v>CARTAGENA</v>
          </cell>
          <cell r="E186" t="str">
            <v>LEJANA</v>
          </cell>
          <cell r="F186" t="str">
            <v>TERRESTRE</v>
          </cell>
        </row>
        <row r="187">
          <cell r="A187">
            <v>13300</v>
          </cell>
          <cell r="B187" t="str">
            <v>HATILLO DE LOBA</v>
          </cell>
          <cell r="C187" t="str">
            <v>BOLIVAR</v>
          </cell>
          <cell r="D187" t="str">
            <v>VALLEDUPAR</v>
          </cell>
          <cell r="E187" t="str">
            <v>LEJANA</v>
          </cell>
          <cell r="F187" t="str">
            <v>TERRESTRE</v>
          </cell>
        </row>
        <row r="188">
          <cell r="A188">
            <v>13430</v>
          </cell>
          <cell r="B188" t="str">
            <v>MAGANGUE</v>
          </cell>
          <cell r="C188" t="str">
            <v>BOLIVAR</v>
          </cell>
          <cell r="D188" t="str">
            <v>CARTAGENA</v>
          </cell>
          <cell r="E188" t="str">
            <v>LEJANA</v>
          </cell>
          <cell r="F188" t="str">
            <v>TERRESTRE</v>
          </cell>
        </row>
        <row r="189">
          <cell r="A189">
            <v>13433</v>
          </cell>
          <cell r="B189" t="str">
            <v>MAHATES</v>
          </cell>
          <cell r="C189" t="str">
            <v>BOLIVAR</v>
          </cell>
          <cell r="D189" t="str">
            <v>CARTAGENA</v>
          </cell>
          <cell r="E189" t="str">
            <v>INTERMEDIA</v>
          </cell>
          <cell r="F189" t="str">
            <v>TERRESTRE</v>
          </cell>
        </row>
        <row r="190">
          <cell r="A190">
            <v>13440</v>
          </cell>
          <cell r="B190" t="str">
            <v>MARGARITA</v>
          </cell>
          <cell r="C190" t="str">
            <v>BOLIVAR</v>
          </cell>
          <cell r="D190" t="str">
            <v>CARTAGENA</v>
          </cell>
          <cell r="E190" t="str">
            <v>LEJANA</v>
          </cell>
          <cell r="F190" t="str">
            <v>TERRESTRE</v>
          </cell>
        </row>
        <row r="191">
          <cell r="A191">
            <v>13442</v>
          </cell>
          <cell r="B191" t="str">
            <v>MARIA LA BAJA</v>
          </cell>
          <cell r="C191" t="str">
            <v>BOLIVAR</v>
          </cell>
          <cell r="D191" t="str">
            <v>CARTAGENA</v>
          </cell>
          <cell r="E191" t="str">
            <v>INTERMEDIA</v>
          </cell>
          <cell r="F191" t="str">
            <v>TERRESTRE</v>
          </cell>
        </row>
        <row r="192">
          <cell r="A192">
            <v>13468</v>
          </cell>
          <cell r="B192" t="str">
            <v>MOMPOS</v>
          </cell>
          <cell r="C192" t="str">
            <v>BOLIVAR</v>
          </cell>
          <cell r="D192" t="str">
            <v>CARTAGENA</v>
          </cell>
          <cell r="E192" t="str">
            <v>LEJANA</v>
          </cell>
          <cell r="F192" t="str">
            <v>TERRESTRE</v>
          </cell>
        </row>
        <row r="193">
          <cell r="A193">
            <v>13458</v>
          </cell>
          <cell r="B193" t="str">
            <v>MONTECRISTO</v>
          </cell>
          <cell r="C193" t="str">
            <v>BOLIVAR</v>
          </cell>
          <cell r="D193" t="str">
            <v>CARTAGENA</v>
          </cell>
          <cell r="E193" t="str">
            <v>LEJANA</v>
          </cell>
          <cell r="F193" t="str">
            <v>TERRESTRE/FLUVIAL</v>
          </cell>
        </row>
        <row r="194">
          <cell r="A194">
            <v>13490</v>
          </cell>
          <cell r="B194" t="str">
            <v>NOROSI</v>
          </cell>
          <cell r="C194" t="str">
            <v>BOLIVAR</v>
          </cell>
          <cell r="D194" t="str">
            <v>CARTAGENA</v>
          </cell>
          <cell r="E194" t="str">
            <v>LEJANA</v>
          </cell>
          <cell r="F194" t="str">
            <v>TERRESTRE</v>
          </cell>
        </row>
        <row r="195">
          <cell r="A195">
            <v>13549</v>
          </cell>
          <cell r="B195" t="str">
            <v>PINILLOS</v>
          </cell>
          <cell r="C195" t="str">
            <v>BOLIVAR</v>
          </cell>
          <cell r="D195" t="str">
            <v>CARTAGENA</v>
          </cell>
          <cell r="E195" t="str">
            <v>LEJANA</v>
          </cell>
          <cell r="F195" t="str">
            <v>TERRESTRE</v>
          </cell>
        </row>
        <row r="196">
          <cell r="A196">
            <v>13580</v>
          </cell>
          <cell r="B196" t="str">
            <v>REGIDOR</v>
          </cell>
          <cell r="C196" t="str">
            <v>BOLIVAR</v>
          </cell>
          <cell r="D196" t="str">
            <v>CARTAGENA</v>
          </cell>
          <cell r="E196" t="str">
            <v>LEJANA</v>
          </cell>
          <cell r="F196" t="str">
            <v>TERRESTRE</v>
          </cell>
        </row>
        <row r="197">
          <cell r="A197">
            <v>13600</v>
          </cell>
          <cell r="B197" t="str">
            <v>RIO VIEJO</v>
          </cell>
          <cell r="C197" t="str">
            <v>BOLIVAR</v>
          </cell>
          <cell r="D197" t="str">
            <v>VALLEDUPAR</v>
          </cell>
          <cell r="E197" t="str">
            <v>LEJANA</v>
          </cell>
          <cell r="F197" t="str">
            <v>TERRESTRE</v>
          </cell>
        </row>
        <row r="198">
          <cell r="A198">
            <v>13620</v>
          </cell>
          <cell r="B198" t="str">
            <v>SAN CRISTOBAL</v>
          </cell>
          <cell r="C198" t="str">
            <v>BOLIVAR</v>
          </cell>
          <cell r="D198" t="str">
            <v>CARTAGENA</v>
          </cell>
          <cell r="E198" t="str">
            <v>LEJANA</v>
          </cell>
          <cell r="F198" t="str">
            <v>TERRESTRE</v>
          </cell>
        </row>
        <row r="199">
          <cell r="A199">
            <v>13647</v>
          </cell>
          <cell r="B199" t="str">
            <v>SAN ESTANISLAO</v>
          </cell>
          <cell r="C199" t="str">
            <v>BOLIVAR</v>
          </cell>
          <cell r="D199" t="str">
            <v>CARTAGENA</v>
          </cell>
          <cell r="E199" t="str">
            <v>INTERMEDIA</v>
          </cell>
          <cell r="F199" t="str">
            <v>TERRESTRE</v>
          </cell>
        </row>
        <row r="200">
          <cell r="A200">
            <v>13650</v>
          </cell>
          <cell r="B200" t="str">
            <v>SAN FERNANDO</v>
          </cell>
          <cell r="C200" t="str">
            <v>BOLIVAR</v>
          </cell>
          <cell r="D200" t="str">
            <v>CARTAGENA</v>
          </cell>
          <cell r="E200" t="str">
            <v>LEJANA</v>
          </cell>
          <cell r="F200" t="str">
            <v>TERRESTRE</v>
          </cell>
        </row>
        <row r="201">
          <cell r="A201">
            <v>13654</v>
          </cell>
          <cell r="B201" t="str">
            <v>SAN JACINTO</v>
          </cell>
          <cell r="C201" t="str">
            <v>BOLIVAR</v>
          </cell>
          <cell r="D201" t="str">
            <v>CARTAGENA</v>
          </cell>
          <cell r="E201" t="str">
            <v>LEJANA</v>
          </cell>
          <cell r="F201" t="str">
            <v>TERRESTRE</v>
          </cell>
        </row>
        <row r="202">
          <cell r="A202">
            <v>13655</v>
          </cell>
          <cell r="B202" t="str">
            <v>SAN JACINTO DEL CAUCA</v>
          </cell>
          <cell r="C202" t="str">
            <v>BOLIVAR</v>
          </cell>
          <cell r="D202" t="str">
            <v>CARTAGENA</v>
          </cell>
          <cell r="E202" t="str">
            <v>LEJANA</v>
          </cell>
          <cell r="F202" t="str">
            <v>TERRESTRE</v>
          </cell>
        </row>
        <row r="203">
          <cell r="A203">
            <v>13657</v>
          </cell>
          <cell r="B203" t="str">
            <v>SAN JUAN NEPOMUCENO</v>
          </cell>
          <cell r="C203" t="str">
            <v>BOLIVAR</v>
          </cell>
          <cell r="D203" t="str">
            <v>CARTAGENA</v>
          </cell>
          <cell r="E203" t="str">
            <v>INTERMEDIA</v>
          </cell>
          <cell r="F203" t="str">
            <v>TERRESTRE</v>
          </cell>
        </row>
        <row r="204">
          <cell r="A204">
            <v>13667</v>
          </cell>
          <cell r="B204" t="str">
            <v>SAN MARTIN DE LOBA</v>
          </cell>
          <cell r="C204" t="str">
            <v>BOLIVAR</v>
          </cell>
          <cell r="D204" t="str">
            <v>CARTAGENA</v>
          </cell>
          <cell r="E204" t="str">
            <v>LEJANA</v>
          </cell>
          <cell r="F204" t="str">
            <v>TERRESTRE</v>
          </cell>
        </row>
        <row r="205">
          <cell r="A205">
            <v>13673</v>
          </cell>
          <cell r="B205" t="str">
            <v>SANTA CATALINA</v>
          </cell>
          <cell r="C205" t="str">
            <v>BOLIVAR</v>
          </cell>
          <cell r="D205" t="str">
            <v>CARTAGENA</v>
          </cell>
          <cell r="E205" t="str">
            <v>INTERMEDIA</v>
          </cell>
          <cell r="F205" t="str">
            <v>TERRESTRE</v>
          </cell>
        </row>
        <row r="206">
          <cell r="A206">
            <v>13688</v>
          </cell>
          <cell r="B206" t="str">
            <v>SANTA ROSA DEL SUR</v>
          </cell>
          <cell r="C206" t="str">
            <v>BOLIVAR</v>
          </cell>
          <cell r="D206" t="str">
            <v>BUCARAMANGA</v>
          </cell>
          <cell r="E206" t="str">
            <v>LEJANA</v>
          </cell>
          <cell r="F206" t="str">
            <v>TERRESTRE/FLUVIAL</v>
          </cell>
        </row>
        <row r="207">
          <cell r="A207">
            <v>13744</v>
          </cell>
          <cell r="B207" t="str">
            <v>SIMITI</v>
          </cell>
          <cell r="C207" t="str">
            <v>BOLIVAR</v>
          </cell>
          <cell r="D207" t="str">
            <v>BUCARAMANGA</v>
          </cell>
          <cell r="E207" t="str">
            <v>LEJANA</v>
          </cell>
          <cell r="F207" t="str">
            <v>TERRESTRE/FLUVIAL</v>
          </cell>
        </row>
        <row r="208">
          <cell r="A208">
            <v>13760</v>
          </cell>
          <cell r="B208" t="str">
            <v>SOPLAVIENTO</v>
          </cell>
          <cell r="C208" t="str">
            <v>BOLIVAR</v>
          </cell>
          <cell r="D208" t="str">
            <v>CARTAGENA</v>
          </cell>
          <cell r="E208" t="str">
            <v>LEJANA</v>
          </cell>
          <cell r="F208" t="str">
            <v>TERRESTRE</v>
          </cell>
        </row>
        <row r="209">
          <cell r="A209">
            <v>13780</v>
          </cell>
          <cell r="B209" t="str">
            <v>TALAIGUA NUEVO</v>
          </cell>
          <cell r="C209" t="str">
            <v>BOLIVAR</v>
          </cell>
          <cell r="D209" t="str">
            <v>CARTAGENA</v>
          </cell>
          <cell r="E209" t="str">
            <v>LEJANA</v>
          </cell>
          <cell r="F209" t="str">
            <v>TERRESTRE</v>
          </cell>
        </row>
        <row r="210">
          <cell r="A210">
            <v>13810</v>
          </cell>
          <cell r="B210" t="str">
            <v>TIQUISIO</v>
          </cell>
          <cell r="C210" t="str">
            <v>BOLIVAR</v>
          </cell>
          <cell r="D210" t="str">
            <v>CARTAGENA</v>
          </cell>
          <cell r="E210" t="str">
            <v>LEJANA</v>
          </cell>
          <cell r="F210" t="str">
            <v>TERRESTRE</v>
          </cell>
        </row>
        <row r="211">
          <cell r="A211">
            <v>13836</v>
          </cell>
          <cell r="B211" t="str">
            <v>TURBACO</v>
          </cell>
          <cell r="C211" t="str">
            <v>BOLIVAR</v>
          </cell>
          <cell r="D211" t="str">
            <v>CARTAGENA</v>
          </cell>
          <cell r="E211" t="str">
            <v>INTERMEDIA</v>
          </cell>
          <cell r="F211" t="str">
            <v>TERRESTRE</v>
          </cell>
        </row>
        <row r="212">
          <cell r="A212">
            <v>13838</v>
          </cell>
          <cell r="B212" t="str">
            <v>TURBANA</v>
          </cell>
          <cell r="C212" t="str">
            <v>BOLIVAR</v>
          </cell>
          <cell r="D212" t="str">
            <v>CARTAGENA</v>
          </cell>
          <cell r="E212" t="str">
            <v>INTERMEDIA</v>
          </cell>
          <cell r="F212" t="str">
            <v>TERRESTRE</v>
          </cell>
        </row>
        <row r="213">
          <cell r="A213">
            <v>13894</v>
          </cell>
          <cell r="B213" t="str">
            <v>ZAMBRANO</v>
          </cell>
          <cell r="C213" t="str">
            <v>BOLIVAR</v>
          </cell>
          <cell r="D213" t="str">
            <v>CARTAGENA</v>
          </cell>
          <cell r="E213" t="str">
            <v>LEJANA</v>
          </cell>
          <cell r="F213" t="str">
            <v>TERRESTRE</v>
          </cell>
        </row>
        <row r="214">
          <cell r="A214">
            <v>15087</v>
          </cell>
          <cell r="B214" t="str">
            <v>BELEN</v>
          </cell>
          <cell r="C214" t="str">
            <v>BOYACA</v>
          </cell>
          <cell r="D214" t="str">
            <v>TUNJA</v>
          </cell>
          <cell r="E214" t="str">
            <v>INTERMEDIA</v>
          </cell>
          <cell r="F214" t="str">
            <v>TERRESTRE</v>
          </cell>
        </row>
        <row r="215">
          <cell r="A215">
            <v>15106</v>
          </cell>
          <cell r="B215" t="str">
            <v>BRICEÑO</v>
          </cell>
          <cell r="C215" t="str">
            <v>BOYACA</v>
          </cell>
          <cell r="D215" t="str">
            <v>TUNJA</v>
          </cell>
          <cell r="E215" t="str">
            <v>LEJANA</v>
          </cell>
          <cell r="F215" t="str">
            <v>TERRESTRE</v>
          </cell>
        </row>
        <row r="216">
          <cell r="A216">
            <v>15109</v>
          </cell>
          <cell r="B216" t="str">
            <v>BUENAVISTA</v>
          </cell>
          <cell r="C216" t="str">
            <v>BOYACA</v>
          </cell>
          <cell r="D216" t="str">
            <v>TUNJA</v>
          </cell>
          <cell r="E216" t="str">
            <v>LEJANA</v>
          </cell>
          <cell r="F216" t="str">
            <v>TERRESTRE</v>
          </cell>
        </row>
        <row r="217">
          <cell r="A217">
            <v>15131</v>
          </cell>
          <cell r="B217" t="str">
            <v>CALDAS</v>
          </cell>
          <cell r="C217" t="str">
            <v>BOYACA</v>
          </cell>
          <cell r="D217" t="str">
            <v>TUNJA</v>
          </cell>
          <cell r="E217" t="str">
            <v>INTERMEDIA</v>
          </cell>
          <cell r="F217" t="str">
            <v>TERRESTRE</v>
          </cell>
        </row>
        <row r="218">
          <cell r="A218">
            <v>15189</v>
          </cell>
          <cell r="B218" t="str">
            <v>CIENAGA</v>
          </cell>
          <cell r="C218" t="str">
            <v>BOYACA</v>
          </cell>
          <cell r="D218" t="str">
            <v>TUNJA</v>
          </cell>
          <cell r="E218" t="str">
            <v>INTERMEDIA</v>
          </cell>
          <cell r="F218" t="str">
            <v>TERRESTRE</v>
          </cell>
        </row>
        <row r="219">
          <cell r="A219">
            <v>15368</v>
          </cell>
          <cell r="B219" t="str">
            <v>JERICO</v>
          </cell>
          <cell r="C219" t="str">
            <v>BOYACA</v>
          </cell>
          <cell r="D219" t="str">
            <v>TUNJA</v>
          </cell>
          <cell r="E219" t="str">
            <v>LEJANA</v>
          </cell>
          <cell r="F219" t="str">
            <v>TERRESTRE</v>
          </cell>
        </row>
        <row r="220">
          <cell r="A220">
            <v>15401</v>
          </cell>
          <cell r="B220" t="str">
            <v>LA VICTORIA</v>
          </cell>
          <cell r="C220" t="str">
            <v>BOYACA</v>
          </cell>
          <cell r="D220" t="str">
            <v>TUNJA</v>
          </cell>
          <cell r="E220" t="str">
            <v>LEJANA</v>
          </cell>
          <cell r="F220" t="str">
            <v>TERRESTRE</v>
          </cell>
        </row>
        <row r="221">
          <cell r="A221">
            <v>15455</v>
          </cell>
          <cell r="B221" t="str">
            <v>MIRAFLORES</v>
          </cell>
          <cell r="C221" t="str">
            <v>BOYACA</v>
          </cell>
          <cell r="D221" t="str">
            <v>TUNJA</v>
          </cell>
          <cell r="E221" t="str">
            <v>LEJANA</v>
          </cell>
          <cell r="F221" t="str">
            <v>TERRESTRE</v>
          </cell>
        </row>
        <row r="222">
          <cell r="A222">
            <v>15514</v>
          </cell>
          <cell r="B222" t="str">
            <v>PAEZ</v>
          </cell>
          <cell r="C222" t="str">
            <v>BOYACA</v>
          </cell>
          <cell r="D222" t="str">
            <v>TUNJA</v>
          </cell>
          <cell r="E222" t="str">
            <v>LEJANA</v>
          </cell>
          <cell r="F222" t="str">
            <v>TERRESTRE</v>
          </cell>
        </row>
        <row r="223">
          <cell r="A223">
            <v>15690</v>
          </cell>
          <cell r="B223" t="str">
            <v>SANTA MARIA</v>
          </cell>
          <cell r="C223" t="str">
            <v>BOYACA</v>
          </cell>
          <cell r="D223" t="str">
            <v>TUNJA</v>
          </cell>
          <cell r="E223" t="str">
            <v>LEJANA</v>
          </cell>
          <cell r="F223" t="str">
            <v>TERRESTRE</v>
          </cell>
        </row>
        <row r="224">
          <cell r="A224">
            <v>15022</v>
          </cell>
          <cell r="B224" t="str">
            <v>ALMEIDA</v>
          </cell>
          <cell r="C224" t="str">
            <v>BOYACA</v>
          </cell>
          <cell r="D224" t="str">
            <v>TUNJA</v>
          </cell>
          <cell r="E224" t="str">
            <v>LEJANA</v>
          </cell>
          <cell r="F224" t="str">
            <v>TERRESTRE</v>
          </cell>
        </row>
        <row r="225">
          <cell r="A225">
            <v>15047</v>
          </cell>
          <cell r="B225" t="str">
            <v>AQUITANIA</v>
          </cell>
          <cell r="C225" t="str">
            <v>BOYACA</v>
          </cell>
          <cell r="D225" t="str">
            <v>TUNJA</v>
          </cell>
          <cell r="E225" t="str">
            <v>LEJANA</v>
          </cell>
          <cell r="F225" t="str">
            <v>TERRESTRE</v>
          </cell>
        </row>
        <row r="226">
          <cell r="A226">
            <v>15051</v>
          </cell>
          <cell r="B226" t="str">
            <v>ARCABUCO</v>
          </cell>
          <cell r="C226" t="str">
            <v>BOYACA</v>
          </cell>
          <cell r="D226" t="str">
            <v>TUNJA</v>
          </cell>
          <cell r="E226" t="str">
            <v>INTERMEDIA</v>
          </cell>
          <cell r="F226" t="str">
            <v>TERRESTRE</v>
          </cell>
        </row>
        <row r="227">
          <cell r="A227">
            <v>15090</v>
          </cell>
          <cell r="B227" t="str">
            <v>BERBEO</v>
          </cell>
          <cell r="C227" t="str">
            <v>BOYACA</v>
          </cell>
          <cell r="D227" t="str">
            <v>TUNJA</v>
          </cell>
          <cell r="E227" t="str">
            <v>LEJANA</v>
          </cell>
          <cell r="F227" t="str">
            <v>TERRESTRE</v>
          </cell>
        </row>
        <row r="228">
          <cell r="A228">
            <v>15092</v>
          </cell>
          <cell r="B228" t="str">
            <v>BETEITIVA</v>
          </cell>
          <cell r="C228" t="str">
            <v>BOYACA</v>
          </cell>
          <cell r="D228" t="str">
            <v>TUNJA</v>
          </cell>
          <cell r="E228" t="str">
            <v>LEJANA</v>
          </cell>
          <cell r="F228" t="str">
            <v>TERRESTRE</v>
          </cell>
        </row>
        <row r="229">
          <cell r="A229">
            <v>15097</v>
          </cell>
          <cell r="B229" t="str">
            <v>BOAVITA</v>
          </cell>
          <cell r="C229" t="str">
            <v>BOYACA</v>
          </cell>
          <cell r="D229" t="str">
            <v>TUNJA</v>
          </cell>
          <cell r="E229" t="str">
            <v>LEJANA</v>
          </cell>
          <cell r="F229" t="str">
            <v>TERRESTRE</v>
          </cell>
        </row>
        <row r="230">
          <cell r="A230">
            <v>15104</v>
          </cell>
          <cell r="B230" t="str">
            <v>BOYACA</v>
          </cell>
          <cell r="C230" t="str">
            <v>BOYACA</v>
          </cell>
          <cell r="D230" t="str">
            <v>TUNJA</v>
          </cell>
          <cell r="E230" t="str">
            <v>INTERMEDIA</v>
          </cell>
          <cell r="F230" t="str">
            <v>TERRESTRE</v>
          </cell>
        </row>
        <row r="231">
          <cell r="A231">
            <v>15114</v>
          </cell>
          <cell r="B231" t="str">
            <v>BUSBANZA</v>
          </cell>
          <cell r="C231" t="str">
            <v>BOYACA</v>
          </cell>
          <cell r="D231" t="str">
            <v>TUNJA</v>
          </cell>
          <cell r="E231" t="str">
            <v>INTERMEDIA</v>
          </cell>
          <cell r="F231" t="str">
            <v>TERRESTRE</v>
          </cell>
        </row>
        <row r="232">
          <cell r="A232">
            <v>15135</v>
          </cell>
          <cell r="B232" t="str">
            <v>CAMPOHERMOSO</v>
          </cell>
          <cell r="C232" t="str">
            <v>BOYACA</v>
          </cell>
          <cell r="D232" t="str">
            <v>TUNJA</v>
          </cell>
          <cell r="E232" t="str">
            <v>LEJANA</v>
          </cell>
          <cell r="F232" t="str">
            <v>TERRESTRE</v>
          </cell>
        </row>
        <row r="233">
          <cell r="A233">
            <v>15162</v>
          </cell>
          <cell r="B233" t="str">
            <v>CERINZA</v>
          </cell>
          <cell r="C233" t="str">
            <v>BOYACA</v>
          </cell>
          <cell r="D233" t="str">
            <v>TUNJA</v>
          </cell>
          <cell r="E233" t="str">
            <v>INTERMEDIA</v>
          </cell>
          <cell r="F233" t="str">
            <v>TERRESTRE</v>
          </cell>
        </row>
        <row r="234">
          <cell r="A234">
            <v>15172</v>
          </cell>
          <cell r="B234" t="str">
            <v>CHINAVITA</v>
          </cell>
          <cell r="C234" t="str">
            <v>BOYACA</v>
          </cell>
          <cell r="D234" t="str">
            <v>TUNJA</v>
          </cell>
          <cell r="E234" t="str">
            <v>LEJANA</v>
          </cell>
          <cell r="F234" t="str">
            <v>TERRESTRE</v>
          </cell>
        </row>
        <row r="235">
          <cell r="A235">
            <v>15176</v>
          </cell>
          <cell r="B235" t="str">
            <v>CHIQUINQUIRA</v>
          </cell>
          <cell r="C235" t="str">
            <v>BOYACA</v>
          </cell>
          <cell r="D235" t="str">
            <v>TUNJA</v>
          </cell>
          <cell r="E235" t="str">
            <v>LEJANA</v>
          </cell>
          <cell r="F235" t="str">
            <v>TERRESTRE</v>
          </cell>
        </row>
        <row r="236">
          <cell r="A236">
            <v>15232</v>
          </cell>
          <cell r="B236" t="str">
            <v>CHIQUIZA</v>
          </cell>
          <cell r="C236" t="str">
            <v>BOYACA</v>
          </cell>
          <cell r="D236" t="str">
            <v>TUNJA</v>
          </cell>
          <cell r="E236" t="str">
            <v>INTERMEDIA</v>
          </cell>
          <cell r="F236" t="str">
            <v>TERRESTRE</v>
          </cell>
        </row>
        <row r="237">
          <cell r="A237">
            <v>15180</v>
          </cell>
          <cell r="B237" t="str">
            <v>CHISCAS</v>
          </cell>
          <cell r="C237" t="str">
            <v>BOYACA</v>
          </cell>
          <cell r="D237" t="str">
            <v>TUNJA</v>
          </cell>
          <cell r="E237" t="str">
            <v>LEJANA</v>
          </cell>
          <cell r="F237" t="str">
            <v>TERRESTRE</v>
          </cell>
        </row>
        <row r="238">
          <cell r="A238">
            <v>15183</v>
          </cell>
          <cell r="B238" t="str">
            <v>CHITA</v>
          </cell>
          <cell r="C238" t="str">
            <v>BOYACA</v>
          </cell>
          <cell r="D238" t="str">
            <v>TUNJA</v>
          </cell>
          <cell r="E238" t="str">
            <v>LEJANA</v>
          </cell>
          <cell r="F238" t="str">
            <v>TERRESTRE</v>
          </cell>
        </row>
        <row r="239">
          <cell r="A239">
            <v>15185</v>
          </cell>
          <cell r="B239" t="str">
            <v>CHITARAQUE</v>
          </cell>
          <cell r="C239" t="str">
            <v>BOYACA</v>
          </cell>
          <cell r="D239" t="str">
            <v>TUNJA</v>
          </cell>
          <cell r="E239" t="str">
            <v>INTERMEDIA</v>
          </cell>
          <cell r="F239" t="str">
            <v>TERRESTRE</v>
          </cell>
        </row>
        <row r="240">
          <cell r="A240">
            <v>15187</v>
          </cell>
          <cell r="B240" t="str">
            <v>CHIVATA</v>
          </cell>
          <cell r="C240" t="str">
            <v>BOYACA</v>
          </cell>
          <cell r="D240" t="str">
            <v>TUNJA</v>
          </cell>
          <cell r="E240" t="str">
            <v>INTERMEDIA</v>
          </cell>
          <cell r="F240" t="str">
            <v>TERRESTRE</v>
          </cell>
        </row>
        <row r="241">
          <cell r="A241">
            <v>15236</v>
          </cell>
          <cell r="B241" t="str">
            <v>CHIVOR</v>
          </cell>
          <cell r="C241" t="str">
            <v>BOYACA</v>
          </cell>
          <cell r="D241" t="str">
            <v>TUNJA</v>
          </cell>
          <cell r="E241" t="str">
            <v>LEJANA</v>
          </cell>
          <cell r="F241" t="str">
            <v>TERRESTRE</v>
          </cell>
        </row>
        <row r="242">
          <cell r="A242">
            <v>15204</v>
          </cell>
          <cell r="B242" t="str">
            <v>COMBITA</v>
          </cell>
          <cell r="C242" t="str">
            <v>BOYACA</v>
          </cell>
          <cell r="D242" t="str">
            <v>TUNJA</v>
          </cell>
          <cell r="E242" t="str">
            <v>INTERMEDIA</v>
          </cell>
          <cell r="F242" t="str">
            <v>TERRESTRE</v>
          </cell>
        </row>
        <row r="243">
          <cell r="A243">
            <v>15212</v>
          </cell>
          <cell r="B243" t="str">
            <v>COPER</v>
          </cell>
          <cell r="C243" t="str">
            <v>BOYACA</v>
          </cell>
          <cell r="D243" t="str">
            <v>TUNJA</v>
          </cell>
          <cell r="E243" t="str">
            <v>LEJANA</v>
          </cell>
          <cell r="F243" t="str">
            <v>TERRESTRE</v>
          </cell>
        </row>
        <row r="244">
          <cell r="A244">
            <v>15215</v>
          </cell>
          <cell r="B244" t="str">
            <v>CORRALES</v>
          </cell>
          <cell r="C244" t="str">
            <v>BOYACA</v>
          </cell>
          <cell r="D244" t="str">
            <v>TUNJA</v>
          </cell>
          <cell r="E244" t="str">
            <v>INTERMEDIA</v>
          </cell>
          <cell r="F244" t="str">
            <v>TERRESTRE</v>
          </cell>
        </row>
        <row r="245">
          <cell r="A245">
            <v>15218</v>
          </cell>
          <cell r="B245" t="str">
            <v>COVARACHIA</v>
          </cell>
          <cell r="C245" t="str">
            <v>BOYACA</v>
          </cell>
          <cell r="D245" t="str">
            <v>TUNJA</v>
          </cell>
          <cell r="E245" t="str">
            <v>LEJANA</v>
          </cell>
          <cell r="F245" t="str">
            <v>TERRESTRE</v>
          </cell>
        </row>
        <row r="246">
          <cell r="A246">
            <v>15223</v>
          </cell>
          <cell r="B246" t="str">
            <v>CUBARA</v>
          </cell>
          <cell r="C246" t="str">
            <v>BOYACA</v>
          </cell>
          <cell r="D246" t="str">
            <v>BUCARAMANGA</v>
          </cell>
          <cell r="E246" t="str">
            <v>LEJANA</v>
          </cell>
          <cell r="F246" t="str">
            <v>AEREO</v>
          </cell>
        </row>
        <row r="247">
          <cell r="A247">
            <v>15224</v>
          </cell>
          <cell r="B247" t="str">
            <v>CUCAITA</v>
          </cell>
          <cell r="C247" t="str">
            <v>BOYACA</v>
          </cell>
          <cell r="D247" t="str">
            <v>TUNJA</v>
          </cell>
          <cell r="E247" t="str">
            <v>INTERMEDIA</v>
          </cell>
          <cell r="F247" t="str">
            <v>TERRESTRE</v>
          </cell>
        </row>
        <row r="248">
          <cell r="A248">
            <v>15226</v>
          </cell>
          <cell r="B248" t="str">
            <v>CUITIVA</v>
          </cell>
          <cell r="C248" t="str">
            <v>BOYACA</v>
          </cell>
          <cell r="D248" t="str">
            <v>TUNJA</v>
          </cell>
          <cell r="E248" t="str">
            <v>INTERMEDIA</v>
          </cell>
          <cell r="F248" t="str">
            <v>TERRESTRE</v>
          </cell>
        </row>
        <row r="249">
          <cell r="A249">
            <v>15238</v>
          </cell>
          <cell r="B249" t="str">
            <v>DUITAMA</v>
          </cell>
          <cell r="C249" t="str">
            <v>BOYACA</v>
          </cell>
          <cell r="D249" t="str">
            <v>TUNJA</v>
          </cell>
          <cell r="E249" t="str">
            <v>INTERMEDIA</v>
          </cell>
          <cell r="F249" t="str">
            <v>TERRESTRE</v>
          </cell>
        </row>
        <row r="250">
          <cell r="A250">
            <v>15244</v>
          </cell>
          <cell r="B250" t="str">
            <v>EL COCUY</v>
          </cell>
          <cell r="C250" t="str">
            <v>BOYACA</v>
          </cell>
          <cell r="D250" t="str">
            <v>TUNJA</v>
          </cell>
          <cell r="E250" t="str">
            <v>LEJANA</v>
          </cell>
          <cell r="F250" t="str">
            <v>TERRESTRE</v>
          </cell>
        </row>
        <row r="251">
          <cell r="A251">
            <v>15248</v>
          </cell>
          <cell r="B251" t="str">
            <v>EL ESPINO</v>
          </cell>
          <cell r="C251" t="str">
            <v>BOYACA</v>
          </cell>
          <cell r="D251" t="str">
            <v>TUNJA</v>
          </cell>
          <cell r="E251" t="str">
            <v>LEJANA</v>
          </cell>
          <cell r="F251" t="str">
            <v>TERRESTRE</v>
          </cell>
        </row>
        <row r="252">
          <cell r="A252">
            <v>15272</v>
          </cell>
          <cell r="B252" t="str">
            <v>FIRAVITOBA</v>
          </cell>
          <cell r="C252" t="str">
            <v>BOYACA</v>
          </cell>
          <cell r="D252" t="str">
            <v>TUNJA</v>
          </cell>
          <cell r="E252" t="str">
            <v>INTERMEDIA</v>
          </cell>
          <cell r="F252" t="str">
            <v>TERRESTRE</v>
          </cell>
        </row>
        <row r="253">
          <cell r="A253">
            <v>15276</v>
          </cell>
          <cell r="B253" t="str">
            <v>FLORESTA</v>
          </cell>
          <cell r="C253" t="str">
            <v>BOYACA</v>
          </cell>
          <cell r="D253" t="str">
            <v>TUNJA</v>
          </cell>
          <cell r="E253" t="str">
            <v>INTERMEDIA</v>
          </cell>
          <cell r="F253" t="str">
            <v>TERRESTRE</v>
          </cell>
        </row>
        <row r="254">
          <cell r="A254">
            <v>15293</v>
          </cell>
          <cell r="B254" t="str">
            <v>GACHANTIVA</v>
          </cell>
          <cell r="C254" t="str">
            <v>BOYACA</v>
          </cell>
          <cell r="D254" t="str">
            <v>TUNJA</v>
          </cell>
          <cell r="E254" t="str">
            <v>INTERMEDIA</v>
          </cell>
          <cell r="F254" t="str">
            <v>TERRESTRE</v>
          </cell>
        </row>
        <row r="255">
          <cell r="A255">
            <v>15296</v>
          </cell>
          <cell r="B255" t="str">
            <v>GAMEZA</v>
          </cell>
          <cell r="C255" t="str">
            <v>BOYACA</v>
          </cell>
          <cell r="D255" t="str">
            <v>TUNJA</v>
          </cell>
          <cell r="E255" t="str">
            <v>LEJANA</v>
          </cell>
          <cell r="F255" t="str">
            <v>TERRESTRE</v>
          </cell>
        </row>
        <row r="256">
          <cell r="A256">
            <v>15299</v>
          </cell>
          <cell r="B256" t="str">
            <v>GARAGOA</v>
          </cell>
          <cell r="C256" t="str">
            <v>BOYACA</v>
          </cell>
          <cell r="D256" t="str">
            <v>TUNJA</v>
          </cell>
          <cell r="E256" t="str">
            <v>LEJANA</v>
          </cell>
          <cell r="F256" t="str">
            <v>TERRESTRE</v>
          </cell>
        </row>
        <row r="257">
          <cell r="A257">
            <v>15317</v>
          </cell>
          <cell r="B257" t="str">
            <v>GUACAMAYAS</v>
          </cell>
          <cell r="C257" t="str">
            <v>BOYACA</v>
          </cell>
          <cell r="D257" t="str">
            <v>TUNJA</v>
          </cell>
          <cell r="E257" t="str">
            <v>LEJANA</v>
          </cell>
          <cell r="F257" t="str">
            <v>TERRESTRE</v>
          </cell>
        </row>
        <row r="258">
          <cell r="A258">
            <v>15322</v>
          </cell>
          <cell r="B258" t="str">
            <v>GUATEQUE</v>
          </cell>
          <cell r="C258" t="str">
            <v>BOYACA</v>
          </cell>
          <cell r="D258" t="str">
            <v>TUNJA</v>
          </cell>
          <cell r="E258" t="str">
            <v>INTERMEDIA</v>
          </cell>
          <cell r="F258" t="str">
            <v>TERRESTRE</v>
          </cell>
        </row>
        <row r="259">
          <cell r="A259">
            <v>15325</v>
          </cell>
          <cell r="B259" t="str">
            <v>GUAYATA</v>
          </cell>
          <cell r="C259" t="str">
            <v>BOYACA</v>
          </cell>
          <cell r="D259" t="str">
            <v>TUNJA</v>
          </cell>
          <cell r="E259" t="str">
            <v>LEJANA</v>
          </cell>
          <cell r="F259" t="str">
            <v>TERRESTRE</v>
          </cell>
        </row>
        <row r="260">
          <cell r="A260">
            <v>15332</v>
          </cell>
          <cell r="B260" t="str">
            <v>GUICAN</v>
          </cell>
          <cell r="C260" t="str">
            <v>BOYACA</v>
          </cell>
          <cell r="D260" t="str">
            <v>TUNJA</v>
          </cell>
          <cell r="E260" t="str">
            <v>LEJANA</v>
          </cell>
          <cell r="F260" t="str">
            <v>TERRESTRE</v>
          </cell>
        </row>
        <row r="261">
          <cell r="A261">
            <v>15362</v>
          </cell>
          <cell r="B261" t="str">
            <v>IZA</v>
          </cell>
          <cell r="C261" t="str">
            <v>BOYACA</v>
          </cell>
          <cell r="D261" t="str">
            <v>TUNJA</v>
          </cell>
          <cell r="E261" t="str">
            <v>INTERMEDIA</v>
          </cell>
          <cell r="F261" t="str">
            <v>TERRESTRE</v>
          </cell>
        </row>
        <row r="262">
          <cell r="A262">
            <v>15367</v>
          </cell>
          <cell r="B262" t="str">
            <v>JENESANO</v>
          </cell>
          <cell r="C262" t="str">
            <v>BOYACA</v>
          </cell>
          <cell r="D262" t="str">
            <v>TUNJA</v>
          </cell>
          <cell r="E262" t="str">
            <v>INTERMEDIA</v>
          </cell>
          <cell r="F262" t="str">
            <v>TERRESTRE</v>
          </cell>
        </row>
        <row r="263">
          <cell r="A263">
            <v>15380</v>
          </cell>
          <cell r="B263" t="str">
            <v>LA CAPILLA</v>
          </cell>
          <cell r="C263" t="str">
            <v>BOYACA</v>
          </cell>
          <cell r="D263" t="str">
            <v>TUNJA</v>
          </cell>
          <cell r="E263" t="str">
            <v>LEJANA</v>
          </cell>
          <cell r="F263" t="str">
            <v>TERRESTRE</v>
          </cell>
        </row>
        <row r="264">
          <cell r="A264">
            <v>15403</v>
          </cell>
          <cell r="B264" t="str">
            <v>LA UVITA</v>
          </cell>
          <cell r="C264" t="str">
            <v>BOYACA</v>
          </cell>
          <cell r="D264" t="str">
            <v>TUNJA</v>
          </cell>
          <cell r="E264" t="str">
            <v>LEJANA</v>
          </cell>
          <cell r="F264" t="str">
            <v>TERRESTRE</v>
          </cell>
        </row>
        <row r="265">
          <cell r="A265">
            <v>15377</v>
          </cell>
          <cell r="B265" t="str">
            <v>LABRANZAGRANDE</v>
          </cell>
          <cell r="C265" t="str">
            <v>BOYACA</v>
          </cell>
          <cell r="D265" t="str">
            <v>TUNJA</v>
          </cell>
          <cell r="E265" t="str">
            <v>LEJANA</v>
          </cell>
          <cell r="F265" t="str">
            <v>TERRESTRE</v>
          </cell>
        </row>
        <row r="266">
          <cell r="A266">
            <v>15425</v>
          </cell>
          <cell r="B266" t="str">
            <v>MACANAL</v>
          </cell>
          <cell r="C266" t="str">
            <v>BOYACA</v>
          </cell>
          <cell r="D266" t="str">
            <v>TUNJA</v>
          </cell>
          <cell r="E266" t="str">
            <v>LEJANA</v>
          </cell>
          <cell r="F266" t="str">
            <v>TERRESTRE</v>
          </cell>
        </row>
        <row r="267">
          <cell r="A267">
            <v>15442</v>
          </cell>
          <cell r="B267" t="str">
            <v>MARIPI</v>
          </cell>
          <cell r="C267" t="str">
            <v>BOYACA</v>
          </cell>
          <cell r="D267" t="str">
            <v>TUNJA</v>
          </cell>
          <cell r="E267" t="str">
            <v>LEJANA</v>
          </cell>
          <cell r="F267" t="str">
            <v>TERRESTRE</v>
          </cell>
        </row>
        <row r="268">
          <cell r="A268">
            <v>15464</v>
          </cell>
          <cell r="B268" t="str">
            <v>MONGUA</v>
          </cell>
          <cell r="C268" t="str">
            <v>BOYACA</v>
          </cell>
          <cell r="D268" t="str">
            <v>TUNJA</v>
          </cell>
          <cell r="E268" t="str">
            <v>INTERMEDIA</v>
          </cell>
          <cell r="F268" t="str">
            <v>TERRESTRE</v>
          </cell>
        </row>
        <row r="269">
          <cell r="A269">
            <v>15466</v>
          </cell>
          <cell r="B269" t="str">
            <v>MONGUI</v>
          </cell>
          <cell r="C269" t="str">
            <v>BOYACA</v>
          </cell>
          <cell r="D269" t="str">
            <v>TUNJA</v>
          </cell>
          <cell r="E269" t="str">
            <v>LEJANA</v>
          </cell>
          <cell r="F269" t="str">
            <v>TERRESTRE</v>
          </cell>
        </row>
        <row r="270">
          <cell r="A270">
            <v>15469</v>
          </cell>
          <cell r="B270" t="str">
            <v>MONIQUIRA</v>
          </cell>
          <cell r="C270" t="str">
            <v>BOYACA</v>
          </cell>
          <cell r="D270" t="str">
            <v>TUNJA</v>
          </cell>
          <cell r="E270" t="str">
            <v>INTERMEDIA</v>
          </cell>
          <cell r="F270" t="str">
            <v>TERRESTRE</v>
          </cell>
        </row>
        <row r="271">
          <cell r="A271">
            <v>15476</v>
          </cell>
          <cell r="B271" t="str">
            <v>MOTAVITA</v>
          </cell>
          <cell r="C271" t="str">
            <v>BOYACA</v>
          </cell>
          <cell r="D271" t="str">
            <v>TUNJA</v>
          </cell>
          <cell r="E271" t="str">
            <v>PRINCIPAL</v>
          </cell>
          <cell r="F271" t="str">
            <v>TERRESTRE</v>
          </cell>
        </row>
        <row r="272">
          <cell r="A272">
            <v>15480</v>
          </cell>
          <cell r="B272" t="str">
            <v>MUZO</v>
          </cell>
          <cell r="C272" t="str">
            <v>BOYACA</v>
          </cell>
          <cell r="D272" t="str">
            <v>TUNJA</v>
          </cell>
          <cell r="E272" t="str">
            <v>LEJANA</v>
          </cell>
          <cell r="F272" t="str">
            <v>TERRESTRE</v>
          </cell>
        </row>
        <row r="273">
          <cell r="A273">
            <v>15491</v>
          </cell>
          <cell r="B273" t="str">
            <v>NOBSA</v>
          </cell>
          <cell r="C273" t="str">
            <v>BOYACA</v>
          </cell>
          <cell r="D273" t="str">
            <v>TUNJA</v>
          </cell>
          <cell r="E273" t="str">
            <v>INTERMEDIA</v>
          </cell>
          <cell r="F273" t="str">
            <v>TERRESTRE</v>
          </cell>
        </row>
        <row r="274">
          <cell r="A274">
            <v>15494</v>
          </cell>
          <cell r="B274" t="str">
            <v>NUEVO COLON</v>
          </cell>
          <cell r="C274" t="str">
            <v>BOYACA</v>
          </cell>
          <cell r="D274" t="str">
            <v>TUNJA</v>
          </cell>
          <cell r="E274" t="str">
            <v>INTERMEDIA</v>
          </cell>
          <cell r="F274" t="str">
            <v>TERRESTRE</v>
          </cell>
        </row>
        <row r="275">
          <cell r="A275">
            <v>15500</v>
          </cell>
          <cell r="B275" t="str">
            <v>OICATA</v>
          </cell>
          <cell r="C275" t="str">
            <v>BOYACA</v>
          </cell>
          <cell r="D275" t="str">
            <v>TUNJA</v>
          </cell>
          <cell r="E275" t="str">
            <v>INTERMEDIA</v>
          </cell>
          <cell r="F275" t="str">
            <v>TERRESTRE</v>
          </cell>
        </row>
        <row r="276">
          <cell r="A276">
            <v>15507</v>
          </cell>
          <cell r="B276" t="str">
            <v>OTANCHE</v>
          </cell>
          <cell r="C276" t="str">
            <v>BOYACA</v>
          </cell>
          <cell r="D276" t="str">
            <v>TUNJA</v>
          </cell>
          <cell r="E276" t="str">
            <v>LEJANA</v>
          </cell>
          <cell r="F276" t="str">
            <v>TERRESTRE</v>
          </cell>
        </row>
        <row r="277">
          <cell r="A277">
            <v>15511</v>
          </cell>
          <cell r="B277" t="str">
            <v>PACHAVITA</v>
          </cell>
          <cell r="C277" t="str">
            <v>BOYACA</v>
          </cell>
          <cell r="D277" t="str">
            <v>TUNJA</v>
          </cell>
          <cell r="E277" t="str">
            <v>LEJANA</v>
          </cell>
          <cell r="F277" t="str">
            <v>TERRESTRE</v>
          </cell>
        </row>
        <row r="278">
          <cell r="A278">
            <v>15516</v>
          </cell>
          <cell r="B278" t="str">
            <v>PAIPA</v>
          </cell>
          <cell r="C278" t="str">
            <v>BOYACA</v>
          </cell>
          <cell r="D278" t="str">
            <v>TUNJA</v>
          </cell>
          <cell r="E278" t="str">
            <v>INTERMEDIA</v>
          </cell>
          <cell r="F278" t="str">
            <v>TERRESTRE</v>
          </cell>
        </row>
        <row r="279">
          <cell r="A279">
            <v>15518</v>
          </cell>
          <cell r="B279" t="str">
            <v>PAJARITO</v>
          </cell>
          <cell r="C279" t="str">
            <v>BOYACA</v>
          </cell>
          <cell r="D279" t="str">
            <v>YOPAL</v>
          </cell>
          <cell r="E279" t="str">
            <v>LEJANA</v>
          </cell>
          <cell r="F279" t="str">
            <v>TERRESTRE</v>
          </cell>
        </row>
        <row r="280">
          <cell r="A280">
            <v>15522</v>
          </cell>
          <cell r="B280" t="str">
            <v>PANQUEBA</v>
          </cell>
          <cell r="C280" t="str">
            <v>BOYACA</v>
          </cell>
          <cell r="D280" t="str">
            <v>TUNJA</v>
          </cell>
          <cell r="E280" t="str">
            <v>LEJANA</v>
          </cell>
          <cell r="F280" t="str">
            <v>TERRESTRE</v>
          </cell>
        </row>
        <row r="281">
          <cell r="A281">
            <v>15531</v>
          </cell>
          <cell r="B281" t="str">
            <v>PAUNA</v>
          </cell>
          <cell r="C281" t="str">
            <v>BOYACA</v>
          </cell>
          <cell r="D281" t="str">
            <v>TUNJA</v>
          </cell>
          <cell r="E281" t="str">
            <v>LEJANA</v>
          </cell>
          <cell r="F281" t="str">
            <v>TERRESTRE</v>
          </cell>
        </row>
        <row r="282">
          <cell r="A282">
            <v>15533</v>
          </cell>
          <cell r="B282" t="str">
            <v>PAYA</v>
          </cell>
          <cell r="C282" t="str">
            <v>BOYACA</v>
          </cell>
          <cell r="D282" t="str">
            <v>TUNJA</v>
          </cell>
          <cell r="E282" t="str">
            <v>LEJANA</v>
          </cell>
          <cell r="F282" t="str">
            <v>TERRESTRE</v>
          </cell>
        </row>
        <row r="283">
          <cell r="A283">
            <v>15537</v>
          </cell>
          <cell r="B283" t="str">
            <v>PAZ DE RIO</v>
          </cell>
          <cell r="C283" t="str">
            <v>BOYACA</v>
          </cell>
          <cell r="D283" t="str">
            <v>TUNJA</v>
          </cell>
          <cell r="E283" t="str">
            <v>INTERMEDIA</v>
          </cell>
          <cell r="F283" t="str">
            <v>TERRESTRE</v>
          </cell>
        </row>
        <row r="284">
          <cell r="A284">
            <v>15542</v>
          </cell>
          <cell r="B284" t="str">
            <v>PESCA</v>
          </cell>
          <cell r="C284" t="str">
            <v>BOYACA</v>
          </cell>
          <cell r="D284" t="str">
            <v>TUNJA</v>
          </cell>
          <cell r="E284" t="str">
            <v>LEJANA</v>
          </cell>
          <cell r="F284" t="str">
            <v>TERRESTRE</v>
          </cell>
        </row>
        <row r="285">
          <cell r="A285">
            <v>15550</v>
          </cell>
          <cell r="B285" t="str">
            <v>PISBA</v>
          </cell>
          <cell r="C285" t="str">
            <v>BOYACA</v>
          </cell>
          <cell r="D285" t="str">
            <v>TUNJA</v>
          </cell>
          <cell r="E285" t="str">
            <v>LEJANA</v>
          </cell>
          <cell r="F285" t="str">
            <v>TERRESTRE</v>
          </cell>
        </row>
        <row r="286">
          <cell r="A286">
            <v>15572</v>
          </cell>
          <cell r="B286" t="str">
            <v>PUERTO BOYACA</v>
          </cell>
          <cell r="C286" t="str">
            <v>BOYACA</v>
          </cell>
          <cell r="D286" t="str">
            <v>MEDELLIN</v>
          </cell>
          <cell r="E286" t="str">
            <v>LEJANA</v>
          </cell>
          <cell r="F286" t="str">
            <v>TERRESTRE</v>
          </cell>
        </row>
        <row r="287">
          <cell r="A287">
            <v>15580</v>
          </cell>
          <cell r="B287" t="str">
            <v>QUIPAMA</v>
          </cell>
          <cell r="C287" t="str">
            <v>BOYACA</v>
          </cell>
          <cell r="D287" t="str">
            <v>TUNJA</v>
          </cell>
          <cell r="E287" t="str">
            <v>LEJANA</v>
          </cell>
          <cell r="F287" t="str">
            <v>TERRESTRE</v>
          </cell>
        </row>
        <row r="288">
          <cell r="A288">
            <v>15599</v>
          </cell>
          <cell r="B288" t="str">
            <v>RAMIRIQUI</v>
          </cell>
          <cell r="C288" t="str">
            <v>BOYACA</v>
          </cell>
          <cell r="D288" t="str">
            <v>TUNJA</v>
          </cell>
          <cell r="E288" t="str">
            <v>INTERMEDIA</v>
          </cell>
          <cell r="F288" t="str">
            <v>TERRESTRE</v>
          </cell>
        </row>
        <row r="289">
          <cell r="A289">
            <v>15600</v>
          </cell>
          <cell r="B289" t="str">
            <v>RAQUIRA</v>
          </cell>
          <cell r="C289" t="str">
            <v>BOYACA</v>
          </cell>
          <cell r="D289" t="str">
            <v>TUNJA</v>
          </cell>
          <cell r="E289" t="str">
            <v>INTERMEDIA</v>
          </cell>
          <cell r="F289" t="str">
            <v>TERRESTRE</v>
          </cell>
        </row>
        <row r="290">
          <cell r="A290">
            <v>15621</v>
          </cell>
          <cell r="B290" t="str">
            <v>RONDON</v>
          </cell>
          <cell r="C290" t="str">
            <v>BOYACA</v>
          </cell>
          <cell r="D290" t="str">
            <v>TUNJA</v>
          </cell>
          <cell r="E290" t="str">
            <v>LEJANA</v>
          </cell>
          <cell r="F290" t="str">
            <v>TERRESTRE</v>
          </cell>
        </row>
        <row r="291">
          <cell r="A291">
            <v>15632</v>
          </cell>
          <cell r="B291" t="str">
            <v>SABOYA</v>
          </cell>
          <cell r="C291" t="str">
            <v>BOYACA</v>
          </cell>
          <cell r="D291" t="str">
            <v>TUNJA</v>
          </cell>
          <cell r="E291" t="str">
            <v>INTERMEDIA</v>
          </cell>
          <cell r="F291" t="str">
            <v>TERRESTRE</v>
          </cell>
        </row>
        <row r="292">
          <cell r="A292">
            <v>15638</v>
          </cell>
          <cell r="B292" t="str">
            <v>SACHICA</v>
          </cell>
          <cell r="C292" t="str">
            <v>BOYACA</v>
          </cell>
          <cell r="D292" t="str">
            <v>TUNJA</v>
          </cell>
          <cell r="E292" t="str">
            <v>INTERMEDIA</v>
          </cell>
          <cell r="F292" t="str">
            <v>TERRESTRE</v>
          </cell>
        </row>
        <row r="293">
          <cell r="A293">
            <v>15646</v>
          </cell>
          <cell r="B293" t="str">
            <v>SAMACA</v>
          </cell>
          <cell r="C293" t="str">
            <v>BOYACA</v>
          </cell>
          <cell r="D293" t="str">
            <v>TUNJA</v>
          </cell>
          <cell r="E293" t="str">
            <v>INTERMEDIA</v>
          </cell>
          <cell r="F293" t="str">
            <v>TERRESTRE</v>
          </cell>
        </row>
        <row r="294">
          <cell r="A294">
            <v>15660</v>
          </cell>
          <cell r="B294" t="str">
            <v>SAN EDUARDO</v>
          </cell>
          <cell r="C294" t="str">
            <v>BOYACA</v>
          </cell>
          <cell r="D294" t="str">
            <v>TUNJA</v>
          </cell>
          <cell r="E294" t="str">
            <v>LEJANA</v>
          </cell>
          <cell r="F294" t="str">
            <v>TERRESTRE</v>
          </cell>
        </row>
        <row r="295">
          <cell r="A295">
            <v>15664</v>
          </cell>
          <cell r="B295" t="str">
            <v>SAN JOSE DE PARE</v>
          </cell>
          <cell r="C295" t="str">
            <v>BOYACA</v>
          </cell>
          <cell r="D295" t="str">
            <v>TUNJA</v>
          </cell>
          <cell r="E295" t="str">
            <v>INTERMEDIA</v>
          </cell>
          <cell r="F295" t="str">
            <v>TERRESTRE</v>
          </cell>
        </row>
        <row r="296">
          <cell r="A296">
            <v>15667</v>
          </cell>
          <cell r="B296" t="str">
            <v>SAN LUIS DE GACENO</v>
          </cell>
          <cell r="C296" t="str">
            <v>BOYACA</v>
          </cell>
          <cell r="D296" t="str">
            <v>TUNJA</v>
          </cell>
          <cell r="E296" t="str">
            <v>LEJANA</v>
          </cell>
          <cell r="F296" t="str">
            <v>TERRESTRE</v>
          </cell>
        </row>
        <row r="297">
          <cell r="A297">
            <v>15673</v>
          </cell>
          <cell r="B297" t="str">
            <v>SAN MATEO</v>
          </cell>
          <cell r="C297" t="str">
            <v>BOYACA</v>
          </cell>
          <cell r="D297" t="str">
            <v>TUNJA</v>
          </cell>
          <cell r="E297" t="str">
            <v>LEJANA</v>
          </cell>
          <cell r="F297" t="str">
            <v>TERRESTRE</v>
          </cell>
        </row>
        <row r="298">
          <cell r="A298">
            <v>15676</v>
          </cell>
          <cell r="B298" t="str">
            <v>SAN MIGUEL DE SEMA</v>
          </cell>
          <cell r="C298" t="str">
            <v>BOYACA</v>
          </cell>
          <cell r="D298" t="str">
            <v>TUNJA</v>
          </cell>
          <cell r="E298" t="str">
            <v>LEJANA</v>
          </cell>
          <cell r="F298" t="str">
            <v>TERRESTRE</v>
          </cell>
        </row>
        <row r="299">
          <cell r="A299">
            <v>15681</v>
          </cell>
          <cell r="B299" t="str">
            <v>SAN PABLO DE BORBUR</v>
          </cell>
          <cell r="C299" t="str">
            <v>BOYACA</v>
          </cell>
          <cell r="D299" t="str">
            <v>TUNJA</v>
          </cell>
          <cell r="E299" t="str">
            <v>LEJANA</v>
          </cell>
          <cell r="F299" t="str">
            <v>TERRESTRE</v>
          </cell>
        </row>
        <row r="300">
          <cell r="A300">
            <v>15693</v>
          </cell>
          <cell r="B300" t="str">
            <v>SANTA ROSA DE VITERBO</v>
          </cell>
          <cell r="C300" t="str">
            <v>BOYACA</v>
          </cell>
          <cell r="D300" t="str">
            <v>TUNJA</v>
          </cell>
          <cell r="E300" t="str">
            <v>INTERMEDIA</v>
          </cell>
          <cell r="F300" t="str">
            <v>TERRESTRE</v>
          </cell>
        </row>
        <row r="301">
          <cell r="A301">
            <v>15696</v>
          </cell>
          <cell r="B301" t="str">
            <v>SANTA SOFIA</v>
          </cell>
          <cell r="C301" t="str">
            <v>BOYACA</v>
          </cell>
          <cell r="D301" t="str">
            <v>TUNJA</v>
          </cell>
          <cell r="E301" t="str">
            <v>INTERMEDIA</v>
          </cell>
          <cell r="F301" t="str">
            <v>TERRESTRE</v>
          </cell>
        </row>
        <row r="302">
          <cell r="A302">
            <v>15686</v>
          </cell>
          <cell r="B302" t="str">
            <v>SANTANA</v>
          </cell>
          <cell r="C302" t="str">
            <v>BOYACA</v>
          </cell>
          <cell r="D302" t="str">
            <v>TUNJA</v>
          </cell>
          <cell r="E302" t="str">
            <v>LEJANA</v>
          </cell>
          <cell r="F302" t="str">
            <v>TERRESTRE</v>
          </cell>
        </row>
        <row r="303">
          <cell r="A303">
            <v>15720</v>
          </cell>
          <cell r="B303" t="str">
            <v>SATIVANORTE</v>
          </cell>
          <cell r="C303" t="str">
            <v>BOYACA</v>
          </cell>
          <cell r="D303" t="str">
            <v>TUNJA</v>
          </cell>
          <cell r="E303" t="str">
            <v>LEJANA</v>
          </cell>
          <cell r="F303" t="str">
            <v>TERRESTRE</v>
          </cell>
        </row>
        <row r="304">
          <cell r="A304">
            <v>15723</v>
          </cell>
          <cell r="B304" t="str">
            <v>SATIVASUR</v>
          </cell>
          <cell r="C304" t="str">
            <v>BOYACA</v>
          </cell>
          <cell r="D304" t="str">
            <v>TUNJA</v>
          </cell>
          <cell r="E304" t="str">
            <v>LEJANA</v>
          </cell>
          <cell r="F304" t="str">
            <v>TERRESTRE</v>
          </cell>
        </row>
        <row r="305">
          <cell r="A305">
            <v>15740</v>
          </cell>
          <cell r="B305" t="str">
            <v>SIACHOQUE</v>
          </cell>
          <cell r="C305" t="str">
            <v>BOYACA</v>
          </cell>
          <cell r="D305" t="str">
            <v>TUNJA</v>
          </cell>
          <cell r="E305" t="str">
            <v>INTERMEDIA</v>
          </cell>
          <cell r="F305" t="str">
            <v>TERRESTRE</v>
          </cell>
        </row>
        <row r="306">
          <cell r="A306">
            <v>15753</v>
          </cell>
          <cell r="B306" t="str">
            <v>SOATA</v>
          </cell>
          <cell r="C306" t="str">
            <v>BOYACA</v>
          </cell>
          <cell r="D306" t="str">
            <v>TUNJA</v>
          </cell>
          <cell r="E306" t="str">
            <v>LEJANA</v>
          </cell>
          <cell r="F306" t="str">
            <v>TERRESTRE</v>
          </cell>
        </row>
        <row r="307">
          <cell r="A307">
            <v>15757</v>
          </cell>
          <cell r="B307" t="str">
            <v>SOCHA</v>
          </cell>
          <cell r="C307" t="str">
            <v>BOYACA</v>
          </cell>
          <cell r="D307" t="str">
            <v>TUNJA</v>
          </cell>
          <cell r="E307" t="str">
            <v>LEJANA</v>
          </cell>
          <cell r="F307" t="str">
            <v>TERRESTRE</v>
          </cell>
        </row>
        <row r="308">
          <cell r="A308">
            <v>15755</v>
          </cell>
          <cell r="B308" t="str">
            <v>SOCOTA</v>
          </cell>
          <cell r="C308" t="str">
            <v>BOYACA</v>
          </cell>
          <cell r="D308" t="str">
            <v>TUNJA</v>
          </cell>
          <cell r="E308" t="str">
            <v>LEJANA</v>
          </cell>
          <cell r="F308" t="str">
            <v>TERRESTRE</v>
          </cell>
        </row>
        <row r="309">
          <cell r="A309">
            <v>15759</v>
          </cell>
          <cell r="B309" t="str">
            <v>SOGAMOSO</v>
          </cell>
          <cell r="C309" t="str">
            <v>BOYACA</v>
          </cell>
          <cell r="D309" t="str">
            <v>TUNJA</v>
          </cell>
          <cell r="E309" t="str">
            <v>INTERMEDIA</v>
          </cell>
          <cell r="F309" t="str">
            <v>TERRESTRE</v>
          </cell>
        </row>
        <row r="310">
          <cell r="A310">
            <v>15761</v>
          </cell>
          <cell r="B310" t="str">
            <v>SOMONDOCO</v>
          </cell>
          <cell r="C310" t="str">
            <v>BOYACA</v>
          </cell>
          <cell r="D310" t="str">
            <v>TUNJA</v>
          </cell>
          <cell r="E310" t="str">
            <v>LEJANA</v>
          </cell>
          <cell r="F310" t="str">
            <v>TERRESTRE</v>
          </cell>
        </row>
        <row r="311">
          <cell r="A311">
            <v>15762</v>
          </cell>
          <cell r="B311" t="str">
            <v>SORA</v>
          </cell>
          <cell r="C311" t="str">
            <v>BOYACA</v>
          </cell>
          <cell r="D311" t="str">
            <v>TUNJA</v>
          </cell>
          <cell r="E311" t="str">
            <v>INTERMEDIA</v>
          </cell>
          <cell r="F311" t="str">
            <v>TERRESTRE</v>
          </cell>
        </row>
        <row r="312">
          <cell r="A312">
            <v>15764</v>
          </cell>
          <cell r="B312" t="str">
            <v>SORACA</v>
          </cell>
          <cell r="C312" t="str">
            <v>BOYACA</v>
          </cell>
          <cell r="D312" t="str">
            <v>TUNJA</v>
          </cell>
          <cell r="E312" t="str">
            <v>PRINCIPAL</v>
          </cell>
          <cell r="F312" t="str">
            <v>TERRESTRE</v>
          </cell>
        </row>
        <row r="313">
          <cell r="A313">
            <v>15763</v>
          </cell>
          <cell r="B313" t="str">
            <v>SOTAQUIRA</v>
          </cell>
          <cell r="C313" t="str">
            <v>BOYACA</v>
          </cell>
          <cell r="D313" t="str">
            <v>TUNJA</v>
          </cell>
          <cell r="E313" t="str">
            <v>INTERMEDIA</v>
          </cell>
          <cell r="F313" t="str">
            <v>TERRESTRE</v>
          </cell>
        </row>
        <row r="314">
          <cell r="A314">
            <v>15774</v>
          </cell>
          <cell r="B314" t="str">
            <v>SUSACON</v>
          </cell>
          <cell r="C314" t="str">
            <v>BOYACA</v>
          </cell>
          <cell r="D314" t="str">
            <v>TUNJA</v>
          </cell>
          <cell r="E314" t="str">
            <v>LEJANA</v>
          </cell>
          <cell r="F314" t="str">
            <v>TERRESTRE</v>
          </cell>
        </row>
        <row r="315">
          <cell r="A315">
            <v>15776</v>
          </cell>
          <cell r="B315" t="str">
            <v>SUTAMARCHAN</v>
          </cell>
          <cell r="C315" t="str">
            <v>BOYACA</v>
          </cell>
          <cell r="D315" t="str">
            <v>TUNJA</v>
          </cell>
          <cell r="E315" t="str">
            <v>INTERMEDIA</v>
          </cell>
          <cell r="F315" t="str">
            <v>TERRESTRE</v>
          </cell>
        </row>
        <row r="316">
          <cell r="A316">
            <v>15778</v>
          </cell>
          <cell r="B316" t="str">
            <v>SUTATENZA</v>
          </cell>
          <cell r="C316" t="str">
            <v>BOYACA</v>
          </cell>
          <cell r="D316" t="str">
            <v>TUNJA</v>
          </cell>
          <cell r="E316" t="str">
            <v>LEJANA</v>
          </cell>
          <cell r="F316" t="str">
            <v>TERRESTRE</v>
          </cell>
        </row>
        <row r="317">
          <cell r="A317">
            <v>15790</v>
          </cell>
          <cell r="B317" t="str">
            <v>TASCO</v>
          </cell>
          <cell r="C317" t="str">
            <v>BOYACA</v>
          </cell>
          <cell r="D317" t="str">
            <v>TUNJA</v>
          </cell>
          <cell r="E317" t="str">
            <v>LEJANA</v>
          </cell>
          <cell r="F317" t="str">
            <v>TERRESTRE</v>
          </cell>
        </row>
        <row r="318">
          <cell r="A318">
            <v>15798</v>
          </cell>
          <cell r="B318" t="str">
            <v>TENZA</v>
          </cell>
          <cell r="C318" t="str">
            <v>BOYACA</v>
          </cell>
          <cell r="D318" t="str">
            <v>TUNJA</v>
          </cell>
          <cell r="E318" t="str">
            <v>LEJANA</v>
          </cell>
          <cell r="F318" t="str">
            <v>TERRESTRE</v>
          </cell>
        </row>
        <row r="319">
          <cell r="A319">
            <v>15804</v>
          </cell>
          <cell r="B319" t="str">
            <v>TIBANA</v>
          </cell>
          <cell r="C319" t="str">
            <v>BOYACA</v>
          </cell>
          <cell r="D319" t="str">
            <v>TUNJA</v>
          </cell>
          <cell r="E319" t="str">
            <v>INTERMEDIA</v>
          </cell>
          <cell r="F319" t="str">
            <v>TERRESTRE</v>
          </cell>
        </row>
        <row r="320">
          <cell r="A320">
            <v>15806</v>
          </cell>
          <cell r="B320" t="str">
            <v>TIBASOSA</v>
          </cell>
          <cell r="C320" t="str">
            <v>BOYACA</v>
          </cell>
          <cell r="D320" t="str">
            <v>TUNJA</v>
          </cell>
          <cell r="E320" t="str">
            <v>INTERMEDIA</v>
          </cell>
          <cell r="F320" t="str">
            <v>TERRESTRE</v>
          </cell>
        </row>
        <row r="321">
          <cell r="A321">
            <v>15808</v>
          </cell>
          <cell r="B321" t="str">
            <v>TINJACA</v>
          </cell>
          <cell r="C321" t="str">
            <v>BOYACA</v>
          </cell>
          <cell r="D321" t="str">
            <v>TUNJA</v>
          </cell>
          <cell r="E321" t="str">
            <v>INTERMEDIA</v>
          </cell>
          <cell r="F321" t="str">
            <v>TERRESTRE</v>
          </cell>
        </row>
        <row r="322">
          <cell r="A322">
            <v>15810</v>
          </cell>
          <cell r="B322" t="str">
            <v>TIPACOQUE</v>
          </cell>
          <cell r="C322" t="str">
            <v>BOYACA</v>
          </cell>
          <cell r="D322" t="str">
            <v>TUNJA</v>
          </cell>
          <cell r="E322" t="str">
            <v>LEJANA</v>
          </cell>
          <cell r="F322" t="str">
            <v>TERRESTRE</v>
          </cell>
        </row>
        <row r="323">
          <cell r="A323">
            <v>15814</v>
          </cell>
          <cell r="B323" t="str">
            <v>TOCA</v>
          </cell>
          <cell r="C323" t="str">
            <v>BOYACA</v>
          </cell>
          <cell r="D323" t="str">
            <v>TUNJA</v>
          </cell>
          <cell r="E323" t="str">
            <v>INTERMEDIA</v>
          </cell>
          <cell r="F323" t="str">
            <v>TERRESTRE</v>
          </cell>
        </row>
        <row r="324">
          <cell r="A324">
            <v>15816</v>
          </cell>
          <cell r="B324" t="str">
            <v>TOGÜI</v>
          </cell>
          <cell r="C324" t="str">
            <v>BOYACA</v>
          </cell>
          <cell r="D324" t="str">
            <v>TUNJA</v>
          </cell>
          <cell r="E324" t="str">
            <v>INTERMEDIA</v>
          </cell>
          <cell r="F324" t="str">
            <v>TERRESTRE</v>
          </cell>
        </row>
        <row r="325">
          <cell r="A325">
            <v>15820</v>
          </cell>
          <cell r="B325" t="str">
            <v>TOPAGA</v>
          </cell>
          <cell r="C325" t="str">
            <v>BOYACA</v>
          </cell>
          <cell r="D325" t="str">
            <v>TUNJA</v>
          </cell>
          <cell r="E325" t="str">
            <v>LEJANA</v>
          </cell>
          <cell r="F325" t="str">
            <v>TERRESTRE</v>
          </cell>
        </row>
        <row r="326">
          <cell r="A326">
            <v>15822</v>
          </cell>
          <cell r="B326" t="str">
            <v>TOTA</v>
          </cell>
          <cell r="C326" t="str">
            <v>BOYACA</v>
          </cell>
          <cell r="D326" t="str">
            <v>TUNJA</v>
          </cell>
          <cell r="E326" t="str">
            <v>INTERMEDIA</v>
          </cell>
          <cell r="F326" t="str">
            <v>TERRESTRE</v>
          </cell>
        </row>
        <row r="327">
          <cell r="A327">
            <v>15001</v>
          </cell>
          <cell r="B327" t="str">
            <v>TUNJA</v>
          </cell>
          <cell r="C327" t="str">
            <v>BOYACA</v>
          </cell>
          <cell r="D327" t="str">
            <v>TUNJA</v>
          </cell>
          <cell r="E327" t="str">
            <v>PRINCIPAL</v>
          </cell>
          <cell r="F327" t="str">
            <v>TERRESTRE</v>
          </cell>
        </row>
        <row r="328">
          <cell r="A328">
            <v>15832</v>
          </cell>
          <cell r="B328" t="str">
            <v>TUNUNGUA</v>
          </cell>
          <cell r="C328" t="str">
            <v>BOYACA</v>
          </cell>
          <cell r="D328" t="str">
            <v>TUNJA</v>
          </cell>
          <cell r="E328" t="str">
            <v>LEJANA</v>
          </cell>
          <cell r="F328" t="str">
            <v>TERRESTRE</v>
          </cell>
        </row>
        <row r="329">
          <cell r="A329">
            <v>15835</v>
          </cell>
          <cell r="B329" t="str">
            <v>TURMEQUE</v>
          </cell>
          <cell r="C329" t="str">
            <v>BOYACA</v>
          </cell>
          <cell r="D329" t="str">
            <v>TUNJA</v>
          </cell>
          <cell r="E329" t="str">
            <v>INTERMEDIA</v>
          </cell>
          <cell r="F329" t="str">
            <v>TERRESTRE</v>
          </cell>
        </row>
        <row r="330">
          <cell r="A330">
            <v>15837</v>
          </cell>
          <cell r="B330" t="str">
            <v>TUTA</v>
          </cell>
          <cell r="C330" t="str">
            <v>BOYACA</v>
          </cell>
          <cell r="D330" t="str">
            <v>TUNJA</v>
          </cell>
          <cell r="E330" t="str">
            <v>INTERMEDIA</v>
          </cell>
          <cell r="F330" t="str">
            <v>TERRESTRE</v>
          </cell>
        </row>
        <row r="331">
          <cell r="A331">
            <v>15839</v>
          </cell>
          <cell r="B331" t="str">
            <v>TUTAZA</v>
          </cell>
          <cell r="C331" t="str">
            <v>BOYACA</v>
          </cell>
          <cell r="D331" t="str">
            <v>TUNJA</v>
          </cell>
          <cell r="E331" t="str">
            <v>INTERMEDIA</v>
          </cell>
          <cell r="F331" t="str">
            <v>TERRESTRE</v>
          </cell>
        </row>
        <row r="332">
          <cell r="A332">
            <v>15842</v>
          </cell>
          <cell r="B332" t="str">
            <v>UMBITA</v>
          </cell>
          <cell r="C332" t="str">
            <v>BOYACA</v>
          </cell>
          <cell r="D332" t="str">
            <v>TUNJA</v>
          </cell>
          <cell r="E332" t="str">
            <v>INTERMEDIA</v>
          </cell>
          <cell r="F332" t="str">
            <v>TERRESTRE</v>
          </cell>
        </row>
        <row r="333">
          <cell r="A333">
            <v>15861</v>
          </cell>
          <cell r="B333" t="str">
            <v>VENTAQUEMADA</v>
          </cell>
          <cell r="C333" t="str">
            <v>BOYACA</v>
          </cell>
          <cell r="D333" t="str">
            <v>TUNJA</v>
          </cell>
          <cell r="E333" t="str">
            <v>INTERMEDIA</v>
          </cell>
          <cell r="F333" t="str">
            <v>TERRESTRE</v>
          </cell>
        </row>
        <row r="334">
          <cell r="A334">
            <v>15407</v>
          </cell>
          <cell r="B334" t="str">
            <v>VILLA DE LEYVA</v>
          </cell>
          <cell r="C334" t="str">
            <v>BOYACA</v>
          </cell>
          <cell r="D334" t="str">
            <v>TUNJA</v>
          </cell>
          <cell r="E334" t="str">
            <v>INTERMEDIA</v>
          </cell>
          <cell r="F334" t="str">
            <v>TERRESTRE</v>
          </cell>
        </row>
        <row r="335">
          <cell r="A335">
            <v>15879</v>
          </cell>
          <cell r="B335" t="str">
            <v>VIRACACHA</v>
          </cell>
          <cell r="C335" t="str">
            <v>BOYACA</v>
          </cell>
          <cell r="D335" t="str">
            <v>TUNJA</v>
          </cell>
          <cell r="E335" t="str">
            <v>INTERMEDIA</v>
          </cell>
          <cell r="F335" t="str">
            <v>TERRESTRE</v>
          </cell>
        </row>
        <row r="336">
          <cell r="A336">
            <v>15897</v>
          </cell>
          <cell r="B336" t="str">
            <v>ZETAQUIRA</v>
          </cell>
          <cell r="C336" t="str">
            <v>BOYACA</v>
          </cell>
          <cell r="D336" t="str">
            <v>TUNJA</v>
          </cell>
          <cell r="E336" t="str">
            <v>LEJANA</v>
          </cell>
          <cell r="F336" t="str">
            <v>TERRESTRE</v>
          </cell>
        </row>
        <row r="337">
          <cell r="A337">
            <v>17524</v>
          </cell>
          <cell r="B337" t="str">
            <v>PALESTINA</v>
          </cell>
          <cell r="C337" t="str">
            <v>CALDAS</v>
          </cell>
          <cell r="D337" t="str">
            <v>MANIZALES</v>
          </cell>
          <cell r="E337" t="str">
            <v>INTERMEDIA</v>
          </cell>
          <cell r="F337" t="str">
            <v>TERRESTRE</v>
          </cell>
        </row>
        <row r="338">
          <cell r="A338">
            <v>17614</v>
          </cell>
          <cell r="B338" t="str">
            <v>RIOSUCIO</v>
          </cell>
          <cell r="C338" t="str">
            <v>CALDAS</v>
          </cell>
          <cell r="D338" t="str">
            <v>MANIZALES</v>
          </cell>
          <cell r="E338" t="str">
            <v>INTERMEDIA</v>
          </cell>
          <cell r="F338" t="str">
            <v>TERRESTRE</v>
          </cell>
        </row>
        <row r="339">
          <cell r="A339">
            <v>17653</v>
          </cell>
          <cell r="B339" t="str">
            <v>SALAMINA</v>
          </cell>
          <cell r="C339" t="str">
            <v>CALDAS</v>
          </cell>
          <cell r="D339" t="str">
            <v>MANIZALES</v>
          </cell>
          <cell r="E339" t="str">
            <v>INTERMEDIA</v>
          </cell>
          <cell r="F339" t="str">
            <v>TERRESTRE</v>
          </cell>
        </row>
        <row r="340">
          <cell r="A340">
            <v>17013</v>
          </cell>
          <cell r="B340" t="str">
            <v>AGUADAS</v>
          </cell>
          <cell r="C340" t="str">
            <v>CALDAS</v>
          </cell>
          <cell r="D340" t="str">
            <v>MANIZALES</v>
          </cell>
          <cell r="E340" t="str">
            <v>LEJANA</v>
          </cell>
          <cell r="F340" t="str">
            <v>TERRESTRE</v>
          </cell>
        </row>
        <row r="341">
          <cell r="A341">
            <v>17042</v>
          </cell>
          <cell r="B341" t="str">
            <v>ANSERMA</v>
          </cell>
          <cell r="C341" t="str">
            <v>CALDAS</v>
          </cell>
          <cell r="D341" t="str">
            <v>MANIZALES</v>
          </cell>
          <cell r="E341" t="str">
            <v>INTERMEDIA</v>
          </cell>
          <cell r="F341" t="str">
            <v>TERRESTRE</v>
          </cell>
        </row>
        <row r="342">
          <cell r="A342">
            <v>17050</v>
          </cell>
          <cell r="B342" t="str">
            <v>ARANZAZU</v>
          </cell>
          <cell r="C342" t="str">
            <v>CALDAS</v>
          </cell>
          <cell r="D342" t="str">
            <v>MANIZALES</v>
          </cell>
          <cell r="E342" t="str">
            <v>INTERMEDIA</v>
          </cell>
          <cell r="F342" t="str">
            <v>TERRESTRE</v>
          </cell>
        </row>
        <row r="343">
          <cell r="A343">
            <v>17088</v>
          </cell>
          <cell r="B343" t="str">
            <v>BELALCAZAR</v>
          </cell>
          <cell r="C343" t="str">
            <v>CALDAS</v>
          </cell>
          <cell r="D343" t="str">
            <v>MANIZALES</v>
          </cell>
          <cell r="E343" t="str">
            <v>INTERMEDIA</v>
          </cell>
          <cell r="F343" t="str">
            <v>TERRESTRE</v>
          </cell>
        </row>
        <row r="344">
          <cell r="A344">
            <v>17174</v>
          </cell>
          <cell r="B344" t="str">
            <v>CHINCHINA</v>
          </cell>
          <cell r="C344" t="str">
            <v>CALDAS</v>
          </cell>
          <cell r="D344" t="str">
            <v>MANIZALES</v>
          </cell>
          <cell r="E344" t="str">
            <v>INTERMEDIA</v>
          </cell>
          <cell r="F344" t="str">
            <v>TERRESTRE</v>
          </cell>
        </row>
        <row r="345">
          <cell r="A345">
            <v>17272</v>
          </cell>
          <cell r="B345" t="str">
            <v>FILADELFIA</v>
          </cell>
          <cell r="C345" t="str">
            <v>CALDAS</v>
          </cell>
          <cell r="D345" t="str">
            <v>MANIZALES</v>
          </cell>
          <cell r="E345" t="str">
            <v>INTERMEDIA</v>
          </cell>
          <cell r="F345" t="str">
            <v>TERRESTRE</v>
          </cell>
        </row>
        <row r="346">
          <cell r="A346">
            <v>17380</v>
          </cell>
          <cell r="B346" t="str">
            <v>LA DORADA</v>
          </cell>
          <cell r="C346" t="str">
            <v>CALDAS</v>
          </cell>
          <cell r="D346" t="str">
            <v>IBAGUE</v>
          </cell>
          <cell r="E346" t="str">
            <v>LEJANA</v>
          </cell>
          <cell r="F346" t="str">
            <v>TERRESTRE</v>
          </cell>
        </row>
        <row r="347">
          <cell r="A347">
            <v>17388</v>
          </cell>
          <cell r="B347" t="str">
            <v>LA MERCED</v>
          </cell>
          <cell r="C347" t="str">
            <v>CALDAS</v>
          </cell>
          <cell r="D347" t="str">
            <v>MANIZALES</v>
          </cell>
          <cell r="E347" t="str">
            <v>INTERMEDIA</v>
          </cell>
          <cell r="F347" t="str">
            <v>TERRESTRE</v>
          </cell>
        </row>
        <row r="348">
          <cell r="A348">
            <v>17001</v>
          </cell>
          <cell r="B348" t="str">
            <v>MANIZALES</v>
          </cell>
          <cell r="C348" t="str">
            <v>CALDAS</v>
          </cell>
          <cell r="D348" t="str">
            <v>MANIZALES</v>
          </cell>
          <cell r="E348" t="str">
            <v>PRINCIPAL</v>
          </cell>
          <cell r="F348" t="str">
            <v>TERRESTRE</v>
          </cell>
        </row>
        <row r="349">
          <cell r="A349">
            <v>17433</v>
          </cell>
          <cell r="B349" t="str">
            <v>MANZANARES</v>
          </cell>
          <cell r="C349" t="str">
            <v>CALDAS</v>
          </cell>
          <cell r="D349" t="str">
            <v>MANIZALES</v>
          </cell>
          <cell r="E349" t="str">
            <v>LEJANA</v>
          </cell>
          <cell r="F349" t="str">
            <v>TERRESTRE</v>
          </cell>
        </row>
        <row r="350">
          <cell r="A350">
            <v>17442</v>
          </cell>
          <cell r="B350" t="str">
            <v>MARMATO</v>
          </cell>
          <cell r="C350" t="str">
            <v>CALDAS</v>
          </cell>
          <cell r="D350" t="str">
            <v>MANIZALES</v>
          </cell>
          <cell r="E350" t="str">
            <v>INTERMEDIA</v>
          </cell>
          <cell r="F350" t="str">
            <v>TERRESTRE</v>
          </cell>
        </row>
        <row r="351">
          <cell r="A351">
            <v>17444</v>
          </cell>
          <cell r="B351" t="str">
            <v>MARQUETALIA</v>
          </cell>
          <cell r="C351" t="str">
            <v>CALDAS</v>
          </cell>
          <cell r="D351" t="str">
            <v>MANIZALES</v>
          </cell>
          <cell r="E351" t="str">
            <v>LEJANA</v>
          </cell>
          <cell r="F351" t="str">
            <v>TERRESTRE</v>
          </cell>
        </row>
        <row r="352">
          <cell r="A352">
            <v>17446</v>
          </cell>
          <cell r="B352" t="str">
            <v>MARULANDA</v>
          </cell>
          <cell r="C352" t="str">
            <v>CALDAS</v>
          </cell>
          <cell r="D352" t="str">
            <v>MANIZALES</v>
          </cell>
          <cell r="E352" t="str">
            <v>LEJANA</v>
          </cell>
          <cell r="F352" t="str">
            <v>TERRESTRE</v>
          </cell>
        </row>
        <row r="353">
          <cell r="A353">
            <v>17486</v>
          </cell>
          <cell r="B353" t="str">
            <v>NEIRA</v>
          </cell>
          <cell r="C353" t="str">
            <v>CALDAS</v>
          </cell>
          <cell r="D353" t="str">
            <v>MANIZALES</v>
          </cell>
          <cell r="E353" t="str">
            <v>INTERMEDIA</v>
          </cell>
          <cell r="F353" t="str">
            <v>TERRESTRE</v>
          </cell>
        </row>
        <row r="354">
          <cell r="A354">
            <v>17495</v>
          </cell>
          <cell r="B354" t="str">
            <v>NORCASIA</v>
          </cell>
          <cell r="C354" t="str">
            <v>CALDAS</v>
          </cell>
          <cell r="D354" t="str">
            <v>IBAGUE</v>
          </cell>
          <cell r="E354" t="str">
            <v>LEJANA</v>
          </cell>
          <cell r="F354" t="str">
            <v>TERRESTRE</v>
          </cell>
        </row>
        <row r="355">
          <cell r="A355">
            <v>17513</v>
          </cell>
          <cell r="B355" t="str">
            <v>PACORA</v>
          </cell>
          <cell r="C355" t="str">
            <v>CALDAS</v>
          </cell>
          <cell r="D355" t="str">
            <v>MANIZALES</v>
          </cell>
          <cell r="E355" t="str">
            <v>LEJANA</v>
          </cell>
          <cell r="F355" t="str">
            <v>TERRESTRE</v>
          </cell>
        </row>
        <row r="356">
          <cell r="A356">
            <v>17541</v>
          </cell>
          <cell r="B356" t="str">
            <v>PENSILVANIA</v>
          </cell>
          <cell r="C356" t="str">
            <v>CALDAS</v>
          </cell>
          <cell r="D356" t="str">
            <v>MANIZALES</v>
          </cell>
          <cell r="E356" t="str">
            <v>LEJANA</v>
          </cell>
          <cell r="F356" t="str">
            <v>TERRESTRE</v>
          </cell>
        </row>
        <row r="357">
          <cell r="A357">
            <v>17616</v>
          </cell>
          <cell r="B357" t="str">
            <v>RISARALDA</v>
          </cell>
          <cell r="C357" t="str">
            <v>CALDAS</v>
          </cell>
          <cell r="D357" t="str">
            <v>MANIZALES</v>
          </cell>
          <cell r="E357" t="str">
            <v>INTERMEDIA</v>
          </cell>
          <cell r="F357" t="str">
            <v>TERRESTRE</v>
          </cell>
        </row>
        <row r="358">
          <cell r="A358">
            <v>17662</v>
          </cell>
          <cell r="B358" t="str">
            <v>SAMANA</v>
          </cell>
          <cell r="C358" t="str">
            <v>CALDAS</v>
          </cell>
          <cell r="D358" t="str">
            <v>MANIZALES</v>
          </cell>
          <cell r="E358" t="str">
            <v>LEJANA</v>
          </cell>
          <cell r="F358" t="str">
            <v>TERRESTRE</v>
          </cell>
        </row>
        <row r="359">
          <cell r="A359">
            <v>17665</v>
          </cell>
          <cell r="B359" t="str">
            <v>SAN JOSE</v>
          </cell>
          <cell r="C359" t="str">
            <v>CALDAS</v>
          </cell>
          <cell r="D359" t="str">
            <v>MANIZALES</v>
          </cell>
          <cell r="E359" t="str">
            <v>INTERMEDIA</v>
          </cell>
          <cell r="F359" t="str">
            <v>TERRESTRE</v>
          </cell>
        </row>
        <row r="360">
          <cell r="A360">
            <v>17777</v>
          </cell>
          <cell r="B360" t="str">
            <v>SUPIA</v>
          </cell>
          <cell r="C360" t="str">
            <v>CALDAS</v>
          </cell>
          <cell r="D360" t="str">
            <v>MANIZALES</v>
          </cell>
          <cell r="E360" t="str">
            <v>INTERMEDIA</v>
          </cell>
          <cell r="F360" t="str">
            <v>TERRESTRE</v>
          </cell>
        </row>
        <row r="361">
          <cell r="A361">
            <v>17867</v>
          </cell>
          <cell r="B361" t="str">
            <v>VICTORIA</v>
          </cell>
          <cell r="C361" t="str">
            <v>CALDAS</v>
          </cell>
          <cell r="D361" t="str">
            <v>MANIZALES</v>
          </cell>
          <cell r="E361" t="str">
            <v>LEJANA</v>
          </cell>
          <cell r="F361" t="str">
            <v>TERRESTRE</v>
          </cell>
        </row>
        <row r="362">
          <cell r="A362">
            <v>17873</v>
          </cell>
          <cell r="B362" t="str">
            <v>VILLAMARIA</v>
          </cell>
          <cell r="C362" t="str">
            <v>CALDAS</v>
          </cell>
          <cell r="D362" t="str">
            <v>MANIZALES</v>
          </cell>
          <cell r="E362" t="str">
            <v>PRINCIPAL</v>
          </cell>
          <cell r="F362" t="str">
            <v>TERRESTRE</v>
          </cell>
        </row>
        <row r="363">
          <cell r="A363">
            <v>17877</v>
          </cell>
          <cell r="B363" t="str">
            <v>VITERBO</v>
          </cell>
          <cell r="C363" t="str">
            <v>CALDAS</v>
          </cell>
          <cell r="D363" t="str">
            <v>PEREIRA</v>
          </cell>
          <cell r="E363" t="str">
            <v>INTERMEDIA</v>
          </cell>
          <cell r="F363" t="str">
            <v>TERRESTRE</v>
          </cell>
        </row>
        <row r="364">
          <cell r="A364">
            <v>18029</v>
          </cell>
          <cell r="B364" t="str">
            <v>ALBANIA</v>
          </cell>
          <cell r="C364" t="str">
            <v>CAQUETA</v>
          </cell>
          <cell r="D364" t="str">
            <v>NEIVA</v>
          </cell>
          <cell r="E364" t="str">
            <v>LEJANA</v>
          </cell>
          <cell r="F364" t="str">
            <v>TERRESTRE</v>
          </cell>
        </row>
        <row r="365">
          <cell r="A365">
            <v>18001</v>
          </cell>
          <cell r="B365" t="str">
            <v>FLORENCIA</v>
          </cell>
          <cell r="C365" t="str">
            <v>CAQUETA</v>
          </cell>
          <cell r="D365" t="str">
            <v>NEIVA</v>
          </cell>
          <cell r="E365" t="str">
            <v>LEJANA</v>
          </cell>
          <cell r="F365" t="str">
            <v>TERRESTRE</v>
          </cell>
        </row>
        <row r="366">
          <cell r="A366">
            <v>18592</v>
          </cell>
          <cell r="B366" t="str">
            <v>PUERTO RICO</v>
          </cell>
          <cell r="C366" t="str">
            <v>CAQUETA</v>
          </cell>
          <cell r="D366" t="str">
            <v>NEIVA</v>
          </cell>
          <cell r="E366" t="str">
            <v>LEJANA</v>
          </cell>
          <cell r="F366" t="str">
            <v>TERRESTRE</v>
          </cell>
        </row>
        <row r="367">
          <cell r="A367">
            <v>18860</v>
          </cell>
          <cell r="B367" t="str">
            <v>VALPARAISO</v>
          </cell>
          <cell r="C367" t="str">
            <v>CAQUETA</v>
          </cell>
          <cell r="D367" t="str">
            <v>NEIVA</v>
          </cell>
          <cell r="E367" t="str">
            <v>LEJANA</v>
          </cell>
          <cell r="F367" t="str">
            <v>TERRESTRE</v>
          </cell>
        </row>
        <row r="368">
          <cell r="A368">
            <v>18094</v>
          </cell>
          <cell r="B368" t="str">
            <v>BELEN DE LOS ANDAQUIES</v>
          </cell>
          <cell r="C368" t="str">
            <v>CAQUETA</v>
          </cell>
          <cell r="D368" t="str">
            <v>NEIVA</v>
          </cell>
          <cell r="E368" t="str">
            <v>LEJANA</v>
          </cell>
          <cell r="F368" t="str">
            <v>TERRESTRE</v>
          </cell>
        </row>
        <row r="369">
          <cell r="A369">
            <v>18150</v>
          </cell>
          <cell r="B369" t="str">
            <v>CARTAGENA DEL CHAIRA</v>
          </cell>
          <cell r="C369" t="str">
            <v>CAQUETA</v>
          </cell>
          <cell r="D369" t="str">
            <v>NEIVA</v>
          </cell>
          <cell r="E369" t="str">
            <v>LEJANA</v>
          </cell>
          <cell r="F369" t="str">
            <v>TERRESTRE</v>
          </cell>
        </row>
        <row r="370">
          <cell r="A370">
            <v>18205</v>
          </cell>
          <cell r="B370" t="str">
            <v>CURILLO</v>
          </cell>
          <cell r="C370" t="str">
            <v>CAQUETA</v>
          </cell>
          <cell r="D370" t="str">
            <v>NEIVA</v>
          </cell>
          <cell r="E370" t="str">
            <v>LEJANA</v>
          </cell>
          <cell r="F370" t="str">
            <v>TERRESTRE</v>
          </cell>
        </row>
        <row r="371">
          <cell r="A371">
            <v>18247</v>
          </cell>
          <cell r="B371" t="str">
            <v>EL DONCELLO</v>
          </cell>
          <cell r="C371" t="str">
            <v>CAQUETA</v>
          </cell>
          <cell r="D371" t="str">
            <v>NEIVA</v>
          </cell>
          <cell r="E371" t="str">
            <v>LEJANA</v>
          </cell>
          <cell r="F371" t="str">
            <v>TERRESTRE</v>
          </cell>
        </row>
        <row r="372">
          <cell r="A372">
            <v>18256</v>
          </cell>
          <cell r="B372" t="str">
            <v>EL PAUJIL</v>
          </cell>
          <cell r="C372" t="str">
            <v>CAQUETA</v>
          </cell>
          <cell r="D372" t="str">
            <v>NEIVA</v>
          </cell>
          <cell r="E372" t="str">
            <v>LEJANA</v>
          </cell>
          <cell r="F372" t="str">
            <v>TERRESTRE</v>
          </cell>
        </row>
        <row r="373">
          <cell r="A373">
            <v>18410</v>
          </cell>
          <cell r="B373" t="str">
            <v>LA MONTAÑITA</v>
          </cell>
          <cell r="C373" t="str">
            <v>CAQUETA</v>
          </cell>
          <cell r="D373" t="str">
            <v>NEIVA</v>
          </cell>
          <cell r="E373" t="str">
            <v>LEJANA</v>
          </cell>
          <cell r="F373" t="str">
            <v>TERRESTRE</v>
          </cell>
        </row>
        <row r="374">
          <cell r="A374">
            <v>18460</v>
          </cell>
          <cell r="B374" t="str">
            <v>MILAN</v>
          </cell>
          <cell r="C374" t="str">
            <v>CAQUETA</v>
          </cell>
          <cell r="D374" t="str">
            <v>NEIVA</v>
          </cell>
          <cell r="E374" t="str">
            <v>LEJANA</v>
          </cell>
          <cell r="F374" t="str">
            <v>TERRESTRE</v>
          </cell>
        </row>
        <row r="375">
          <cell r="A375">
            <v>18479</v>
          </cell>
          <cell r="B375" t="str">
            <v>MORELIA</v>
          </cell>
          <cell r="C375" t="str">
            <v>CAQUETA</v>
          </cell>
          <cell r="D375" t="str">
            <v>NEIVA</v>
          </cell>
          <cell r="E375" t="str">
            <v>LEJANA</v>
          </cell>
          <cell r="F375" t="str">
            <v>TERRESTRE</v>
          </cell>
        </row>
        <row r="376">
          <cell r="A376">
            <v>18610</v>
          </cell>
          <cell r="B376" t="str">
            <v>SAN JOSE DEL FRAGUA</v>
          </cell>
          <cell r="C376" t="str">
            <v>CAQUETA</v>
          </cell>
          <cell r="D376" t="str">
            <v>NEIVA</v>
          </cell>
          <cell r="E376" t="str">
            <v>LEJANA</v>
          </cell>
          <cell r="F376" t="str">
            <v>TERRESTRE</v>
          </cell>
        </row>
        <row r="377">
          <cell r="A377">
            <v>18753</v>
          </cell>
          <cell r="B377" t="str">
            <v>SAN VICENTE DEL CAGUAN</v>
          </cell>
          <cell r="C377" t="str">
            <v>CAQUETA</v>
          </cell>
          <cell r="D377" t="str">
            <v>NEIVA</v>
          </cell>
          <cell r="E377" t="str">
            <v>LEJANA</v>
          </cell>
          <cell r="F377" t="str">
            <v>TERRESTRE / AEREO</v>
          </cell>
        </row>
        <row r="378">
          <cell r="A378">
            <v>18756</v>
          </cell>
          <cell r="B378" t="str">
            <v>SOLANO</v>
          </cell>
          <cell r="C378" t="str">
            <v>CAQUETA</v>
          </cell>
          <cell r="D378" t="str">
            <v>NEIVA</v>
          </cell>
          <cell r="E378" t="str">
            <v>LEJANA</v>
          </cell>
          <cell r="F378" t="str">
            <v>TERRESTRE/FLUVIAL</v>
          </cell>
        </row>
        <row r="379">
          <cell r="A379">
            <v>18785</v>
          </cell>
          <cell r="B379" t="str">
            <v>SOLITA</v>
          </cell>
          <cell r="C379" t="str">
            <v>CAQUETA</v>
          </cell>
          <cell r="D379" t="str">
            <v>NEIVA</v>
          </cell>
          <cell r="E379" t="str">
            <v>LEJANA</v>
          </cell>
          <cell r="F379" t="str">
            <v>TERRESTRE</v>
          </cell>
        </row>
        <row r="380">
          <cell r="A380">
            <v>85300</v>
          </cell>
          <cell r="B380" t="str">
            <v>SABANALARGA</v>
          </cell>
          <cell r="C380" t="str">
            <v>CASANARE</v>
          </cell>
          <cell r="D380" t="str">
            <v>YOPAL</v>
          </cell>
          <cell r="E380" t="str">
            <v>LEJANA</v>
          </cell>
          <cell r="F380" t="str">
            <v>TERRESTRE</v>
          </cell>
        </row>
        <row r="381">
          <cell r="A381">
            <v>85440</v>
          </cell>
          <cell r="B381" t="str">
            <v>VILLANUEVA</v>
          </cell>
          <cell r="C381" t="str">
            <v>CASANARE</v>
          </cell>
          <cell r="D381" t="str">
            <v>VILLAVICENCIO</v>
          </cell>
          <cell r="E381" t="str">
            <v>LEJANA</v>
          </cell>
          <cell r="F381" t="str">
            <v>TERRESTRE</v>
          </cell>
        </row>
        <row r="382">
          <cell r="A382">
            <v>85010</v>
          </cell>
          <cell r="B382" t="str">
            <v>AGUAZUL</v>
          </cell>
          <cell r="C382" t="str">
            <v>CASANARE</v>
          </cell>
          <cell r="D382" t="str">
            <v>YOPAL</v>
          </cell>
          <cell r="E382" t="str">
            <v>INTERMEDIA</v>
          </cell>
          <cell r="F382" t="str">
            <v>TERRESTRE</v>
          </cell>
        </row>
        <row r="383">
          <cell r="A383">
            <v>85015</v>
          </cell>
          <cell r="B383" t="str">
            <v>CHAMEZA</v>
          </cell>
          <cell r="C383" t="str">
            <v>CASANARE</v>
          </cell>
          <cell r="D383" t="str">
            <v>YOPAL</v>
          </cell>
          <cell r="E383" t="str">
            <v>LEJANA</v>
          </cell>
          <cell r="F383" t="str">
            <v>TERRESTRE</v>
          </cell>
        </row>
        <row r="384">
          <cell r="A384">
            <v>85125</v>
          </cell>
          <cell r="B384" t="str">
            <v>HATO COROZAL</v>
          </cell>
          <cell r="C384" t="str">
            <v>CASANARE</v>
          </cell>
          <cell r="D384" t="str">
            <v>YOPAL</v>
          </cell>
          <cell r="E384" t="str">
            <v>LEJANA</v>
          </cell>
          <cell r="F384" t="str">
            <v>TERRESTRE</v>
          </cell>
        </row>
        <row r="385">
          <cell r="A385">
            <v>85136</v>
          </cell>
          <cell r="B385" t="str">
            <v>LA SALINA</v>
          </cell>
          <cell r="C385" t="str">
            <v>CASANARE</v>
          </cell>
          <cell r="D385" t="str">
            <v>YOPAL</v>
          </cell>
          <cell r="E385" t="str">
            <v>LEJANA</v>
          </cell>
          <cell r="F385" t="str">
            <v>TERRESTRE</v>
          </cell>
        </row>
        <row r="386">
          <cell r="A386">
            <v>85139</v>
          </cell>
          <cell r="B386" t="str">
            <v>MANI</v>
          </cell>
          <cell r="C386" t="str">
            <v>CASANARE</v>
          </cell>
          <cell r="D386" t="str">
            <v>YOPAL</v>
          </cell>
          <cell r="E386" t="str">
            <v>INTERMEDIA</v>
          </cell>
          <cell r="F386" t="str">
            <v>TERRESTRE</v>
          </cell>
        </row>
        <row r="387">
          <cell r="A387">
            <v>85162</v>
          </cell>
          <cell r="B387" t="str">
            <v>MONTERREY</v>
          </cell>
          <cell r="C387" t="str">
            <v>CASANARE</v>
          </cell>
          <cell r="D387" t="str">
            <v>YOPAL</v>
          </cell>
          <cell r="E387" t="str">
            <v>INTERMEDIA</v>
          </cell>
          <cell r="F387" t="str">
            <v>TERRESTRE</v>
          </cell>
        </row>
        <row r="388">
          <cell r="A388">
            <v>85225</v>
          </cell>
          <cell r="B388" t="str">
            <v>NUNCHIA</v>
          </cell>
          <cell r="C388" t="str">
            <v>CASANARE</v>
          </cell>
          <cell r="D388" t="str">
            <v>YOPAL</v>
          </cell>
          <cell r="E388" t="str">
            <v>INTERMEDIA</v>
          </cell>
          <cell r="F388" t="str">
            <v>TERRESTRE</v>
          </cell>
        </row>
        <row r="389">
          <cell r="A389">
            <v>85230</v>
          </cell>
          <cell r="B389" t="str">
            <v>OROCUE</v>
          </cell>
          <cell r="C389" t="str">
            <v>CASANARE</v>
          </cell>
          <cell r="D389" t="str">
            <v>YOPAL</v>
          </cell>
          <cell r="E389" t="str">
            <v>LEJANA</v>
          </cell>
          <cell r="F389" t="str">
            <v>TERRESTRE/FLUVIAL</v>
          </cell>
        </row>
        <row r="390">
          <cell r="A390">
            <v>85250</v>
          </cell>
          <cell r="B390" t="str">
            <v>PAZ DE ARIPORO</v>
          </cell>
          <cell r="C390" t="str">
            <v>CASANARE</v>
          </cell>
          <cell r="D390" t="str">
            <v>YOPAL</v>
          </cell>
          <cell r="E390" t="str">
            <v>INTERMEDIA</v>
          </cell>
          <cell r="F390" t="str">
            <v>TERRESTRE</v>
          </cell>
        </row>
        <row r="391">
          <cell r="A391">
            <v>85263</v>
          </cell>
          <cell r="B391" t="str">
            <v>PORE</v>
          </cell>
          <cell r="C391" t="str">
            <v>CASANARE</v>
          </cell>
          <cell r="D391" t="str">
            <v>YOPAL</v>
          </cell>
          <cell r="E391" t="str">
            <v>INTERMEDIA</v>
          </cell>
          <cell r="F391" t="str">
            <v>TERRESTRE</v>
          </cell>
        </row>
        <row r="392">
          <cell r="A392">
            <v>85279</v>
          </cell>
          <cell r="B392" t="str">
            <v>RECETOR</v>
          </cell>
          <cell r="C392" t="str">
            <v>CASANARE</v>
          </cell>
          <cell r="D392" t="str">
            <v>YOPAL</v>
          </cell>
          <cell r="E392" t="str">
            <v>LEJANA</v>
          </cell>
          <cell r="F392" t="str">
            <v>TERRESTRE</v>
          </cell>
        </row>
        <row r="393">
          <cell r="A393">
            <v>85315</v>
          </cell>
          <cell r="B393" t="str">
            <v>SACAMA</v>
          </cell>
          <cell r="C393" t="str">
            <v>CASANARE</v>
          </cell>
          <cell r="D393" t="str">
            <v>YOPAL</v>
          </cell>
          <cell r="E393" t="str">
            <v>LEJANA</v>
          </cell>
          <cell r="F393" t="str">
            <v>TERRESTRE</v>
          </cell>
        </row>
        <row r="394">
          <cell r="A394">
            <v>85325</v>
          </cell>
          <cell r="B394" t="str">
            <v>SAN LUIS DE PALENQUE</v>
          </cell>
          <cell r="C394" t="str">
            <v>CASANARE</v>
          </cell>
          <cell r="D394" t="str">
            <v>YOPAL</v>
          </cell>
          <cell r="E394" t="str">
            <v>INTERMEDIA</v>
          </cell>
          <cell r="F394" t="str">
            <v>TERRESTRE</v>
          </cell>
        </row>
        <row r="395">
          <cell r="A395">
            <v>85400</v>
          </cell>
          <cell r="B395" t="str">
            <v>TAMARA</v>
          </cell>
          <cell r="C395" t="str">
            <v>CASANARE</v>
          </cell>
          <cell r="D395" t="str">
            <v>YOPAL</v>
          </cell>
          <cell r="E395" t="str">
            <v>LEJANA</v>
          </cell>
          <cell r="F395" t="str">
            <v>TERRESTRE</v>
          </cell>
        </row>
        <row r="396">
          <cell r="A396">
            <v>85410</v>
          </cell>
          <cell r="B396" t="str">
            <v>TAURAMENA</v>
          </cell>
          <cell r="C396" t="str">
            <v>CASANARE</v>
          </cell>
          <cell r="D396" t="str">
            <v>YOPAL</v>
          </cell>
          <cell r="E396" t="str">
            <v>INTERMEDIA</v>
          </cell>
          <cell r="F396" t="str">
            <v>TERRESTRE</v>
          </cell>
        </row>
        <row r="397">
          <cell r="A397">
            <v>85430</v>
          </cell>
          <cell r="B397" t="str">
            <v>TRINIDAD</v>
          </cell>
          <cell r="C397" t="str">
            <v>CASANARE</v>
          </cell>
          <cell r="D397" t="str">
            <v>YOPAL</v>
          </cell>
          <cell r="E397" t="str">
            <v>INTERMEDIA</v>
          </cell>
          <cell r="F397" t="str">
            <v>TERRESTRE</v>
          </cell>
        </row>
        <row r="398">
          <cell r="A398">
            <v>85001</v>
          </cell>
          <cell r="B398" t="str">
            <v>YOPAL</v>
          </cell>
          <cell r="C398" t="str">
            <v>CASANARE</v>
          </cell>
          <cell r="D398" t="str">
            <v>YOPAL</v>
          </cell>
          <cell r="E398" t="str">
            <v>PRINCIPAL</v>
          </cell>
          <cell r="F398" t="str">
            <v>TERRESTRE</v>
          </cell>
        </row>
        <row r="399">
          <cell r="A399">
            <v>19050</v>
          </cell>
          <cell r="B399" t="str">
            <v>ARGELIA</v>
          </cell>
          <cell r="C399" t="str">
            <v>CAUCA</v>
          </cell>
          <cell r="D399" t="str">
            <v>CALI</v>
          </cell>
          <cell r="E399" t="str">
            <v>LEJANA</v>
          </cell>
          <cell r="F399" t="str">
            <v>TERRESTRE</v>
          </cell>
        </row>
        <row r="400">
          <cell r="A400">
            <v>19075</v>
          </cell>
          <cell r="B400" t="str">
            <v>BALBOA</v>
          </cell>
          <cell r="C400" t="str">
            <v>CAUCA</v>
          </cell>
          <cell r="D400" t="str">
            <v>CALI</v>
          </cell>
          <cell r="E400" t="str">
            <v>LEJANA</v>
          </cell>
          <cell r="F400" t="str">
            <v>TERRESTRE</v>
          </cell>
        </row>
        <row r="401">
          <cell r="A401">
            <v>19100</v>
          </cell>
          <cell r="B401" t="str">
            <v>BOLIVAR</v>
          </cell>
          <cell r="C401" t="str">
            <v>CAUCA</v>
          </cell>
          <cell r="D401" t="str">
            <v>CALI</v>
          </cell>
          <cell r="E401" t="str">
            <v>LEJANA</v>
          </cell>
          <cell r="F401" t="str">
            <v>TERRESTRE</v>
          </cell>
        </row>
        <row r="402">
          <cell r="A402">
            <v>19256</v>
          </cell>
          <cell r="B402" t="str">
            <v>EL TAMBO</v>
          </cell>
          <cell r="C402" t="str">
            <v>CAUCA</v>
          </cell>
          <cell r="D402" t="str">
            <v>CALI</v>
          </cell>
          <cell r="E402" t="str">
            <v>LEJANA</v>
          </cell>
          <cell r="F402" t="str">
            <v>TERRESTRE</v>
          </cell>
        </row>
        <row r="403">
          <cell r="A403">
            <v>19290</v>
          </cell>
          <cell r="B403" t="str">
            <v>FLORENCIA</v>
          </cell>
          <cell r="C403" t="str">
            <v>CAUCA</v>
          </cell>
          <cell r="D403" t="str">
            <v>CALI</v>
          </cell>
          <cell r="E403" t="str">
            <v>LEJANA</v>
          </cell>
          <cell r="F403" t="str">
            <v>TERRESTRE</v>
          </cell>
        </row>
        <row r="404">
          <cell r="A404">
            <v>19397</v>
          </cell>
          <cell r="B404" t="str">
            <v>LA VEGA</v>
          </cell>
          <cell r="C404" t="str">
            <v>CAUCA</v>
          </cell>
          <cell r="D404" t="str">
            <v>CALI</v>
          </cell>
          <cell r="E404" t="str">
            <v>LEJANA</v>
          </cell>
          <cell r="F404" t="str">
            <v>TERRESTRE</v>
          </cell>
        </row>
        <row r="405">
          <cell r="A405">
            <v>19473</v>
          </cell>
          <cell r="B405" t="str">
            <v>MORALES</v>
          </cell>
          <cell r="C405" t="str">
            <v>CAUCA</v>
          </cell>
          <cell r="D405" t="str">
            <v>CALI</v>
          </cell>
          <cell r="E405" t="str">
            <v>LEJANA</v>
          </cell>
          <cell r="F405" t="str">
            <v>TERRESTRE</v>
          </cell>
        </row>
        <row r="406">
          <cell r="A406">
            <v>19517</v>
          </cell>
          <cell r="B406" t="str">
            <v>PAEZ</v>
          </cell>
          <cell r="C406" t="str">
            <v>CAUCA</v>
          </cell>
          <cell r="D406" t="str">
            <v>CALI</v>
          </cell>
          <cell r="E406" t="str">
            <v>LEJANA</v>
          </cell>
          <cell r="F406" t="str">
            <v>TERRESTRE</v>
          </cell>
        </row>
        <row r="407">
          <cell r="A407">
            <v>19701</v>
          </cell>
          <cell r="B407" t="str">
            <v>SANTA ROSA</v>
          </cell>
          <cell r="C407" t="str">
            <v>CAUCA</v>
          </cell>
          <cell r="D407" t="str">
            <v>CALI</v>
          </cell>
          <cell r="E407" t="str">
            <v>LEJANA</v>
          </cell>
          <cell r="F407" t="str">
            <v>TERRESTRE</v>
          </cell>
        </row>
        <row r="408">
          <cell r="A408">
            <v>19780</v>
          </cell>
          <cell r="B408" t="str">
            <v>SUAREZ</v>
          </cell>
          <cell r="C408" t="str">
            <v>CAUCA</v>
          </cell>
          <cell r="D408" t="str">
            <v>CALI</v>
          </cell>
          <cell r="E408" t="str">
            <v>LEJANA</v>
          </cell>
          <cell r="F408" t="str">
            <v>TERRESTRE</v>
          </cell>
        </row>
        <row r="409">
          <cell r="A409">
            <v>19785</v>
          </cell>
          <cell r="B409" t="str">
            <v>SUCRE</v>
          </cell>
          <cell r="C409" t="str">
            <v>CAUCA</v>
          </cell>
          <cell r="D409" t="str">
            <v>CALI</v>
          </cell>
          <cell r="E409" t="str">
            <v>LEJANA</v>
          </cell>
          <cell r="F409" t="str">
            <v>TERRESTRE</v>
          </cell>
        </row>
        <row r="410">
          <cell r="A410">
            <v>19022</v>
          </cell>
          <cell r="B410" t="str">
            <v>ALMAGUER</v>
          </cell>
          <cell r="C410" t="str">
            <v>CAUCA</v>
          </cell>
          <cell r="D410" t="str">
            <v>CALI</v>
          </cell>
          <cell r="E410" t="str">
            <v>LEJANA</v>
          </cell>
          <cell r="F410" t="str">
            <v>TERRESTRE</v>
          </cell>
        </row>
        <row r="411">
          <cell r="A411">
            <v>19110</v>
          </cell>
          <cell r="B411" t="str">
            <v>BUENOS AIRES</v>
          </cell>
          <cell r="C411" t="str">
            <v>CAUCA</v>
          </cell>
          <cell r="D411" t="str">
            <v>CALI</v>
          </cell>
          <cell r="E411" t="str">
            <v>INTERMEDIA</v>
          </cell>
          <cell r="F411" t="str">
            <v>TERRESTRE</v>
          </cell>
        </row>
        <row r="412">
          <cell r="A412">
            <v>19130</v>
          </cell>
          <cell r="B412" t="str">
            <v>CAJIBIO</v>
          </cell>
          <cell r="C412" t="str">
            <v>CAUCA</v>
          </cell>
          <cell r="D412" t="str">
            <v>CALI</v>
          </cell>
          <cell r="E412" t="str">
            <v>LEJANA</v>
          </cell>
          <cell r="F412" t="str">
            <v>TERRESTRE</v>
          </cell>
        </row>
        <row r="413">
          <cell r="A413">
            <v>19137</v>
          </cell>
          <cell r="B413" t="str">
            <v>CALDONO</v>
          </cell>
          <cell r="C413" t="str">
            <v>CAUCA</v>
          </cell>
          <cell r="D413" t="str">
            <v>CALI</v>
          </cell>
          <cell r="E413" t="str">
            <v>LEJANA</v>
          </cell>
          <cell r="F413" t="str">
            <v>TERRESTRE</v>
          </cell>
        </row>
        <row r="414">
          <cell r="A414">
            <v>19142</v>
          </cell>
          <cell r="B414" t="str">
            <v>CALOTO</v>
          </cell>
          <cell r="C414" t="str">
            <v>CAUCA</v>
          </cell>
          <cell r="D414" t="str">
            <v>CALI</v>
          </cell>
          <cell r="E414" t="str">
            <v>INTERMEDIA</v>
          </cell>
          <cell r="F414" t="str">
            <v>TERRESTRE</v>
          </cell>
        </row>
        <row r="415">
          <cell r="A415">
            <v>19212</v>
          </cell>
          <cell r="B415" t="str">
            <v>CORINTO</v>
          </cell>
          <cell r="C415" t="str">
            <v>CAUCA</v>
          </cell>
          <cell r="D415" t="str">
            <v>CALI</v>
          </cell>
          <cell r="E415" t="str">
            <v>LEJANA</v>
          </cell>
          <cell r="F415" t="str">
            <v>TERRESTRE</v>
          </cell>
        </row>
        <row r="416">
          <cell r="A416">
            <v>19300</v>
          </cell>
          <cell r="B416" t="str">
            <v>GUACHENE</v>
          </cell>
          <cell r="C416" t="str">
            <v>CAUCA</v>
          </cell>
          <cell r="D416" t="str">
            <v>CALI</v>
          </cell>
          <cell r="E416" t="str">
            <v>INTERMEDIA</v>
          </cell>
          <cell r="F416" t="str">
            <v>TERRESTRE</v>
          </cell>
        </row>
        <row r="417">
          <cell r="A417">
            <v>19318</v>
          </cell>
          <cell r="B417" t="str">
            <v>GUAPI</v>
          </cell>
          <cell r="C417" t="str">
            <v>CAUCA</v>
          </cell>
          <cell r="D417" t="str">
            <v>CALI</v>
          </cell>
          <cell r="E417" t="str">
            <v>LEJANA</v>
          </cell>
          <cell r="F417" t="str">
            <v>AEREO</v>
          </cell>
        </row>
        <row r="418">
          <cell r="A418">
            <v>19355</v>
          </cell>
          <cell r="B418" t="str">
            <v>INZA</v>
          </cell>
          <cell r="C418" t="str">
            <v>CAUCA</v>
          </cell>
          <cell r="D418" t="str">
            <v>CALI</v>
          </cell>
          <cell r="E418" t="str">
            <v>LEJANA</v>
          </cell>
          <cell r="F418" t="str">
            <v>TERRESTRE</v>
          </cell>
        </row>
        <row r="419">
          <cell r="A419">
            <v>19364</v>
          </cell>
          <cell r="B419" t="str">
            <v>JAMBALO</v>
          </cell>
          <cell r="C419" t="str">
            <v>CAUCA</v>
          </cell>
          <cell r="D419" t="str">
            <v>CALI</v>
          </cell>
          <cell r="E419" t="str">
            <v>LEJANA</v>
          </cell>
          <cell r="F419" t="str">
            <v>TERRESTRE</v>
          </cell>
        </row>
        <row r="420">
          <cell r="A420">
            <v>19392</v>
          </cell>
          <cell r="B420" t="str">
            <v>LA SIERRA</v>
          </cell>
          <cell r="C420" t="str">
            <v>CAUCA</v>
          </cell>
          <cell r="D420" t="str">
            <v>CALI</v>
          </cell>
          <cell r="E420" t="str">
            <v>LEJANA</v>
          </cell>
          <cell r="F420" t="str">
            <v>TERRESTRE</v>
          </cell>
        </row>
        <row r="421">
          <cell r="A421">
            <v>19418</v>
          </cell>
          <cell r="B421" t="str">
            <v>LOPEZ</v>
          </cell>
          <cell r="C421" t="str">
            <v>CAUCA</v>
          </cell>
          <cell r="D421" t="str">
            <v>CALI</v>
          </cell>
          <cell r="E421" t="str">
            <v>LEJANA</v>
          </cell>
          <cell r="F421" t="str">
            <v>TERRESTRE</v>
          </cell>
        </row>
        <row r="422">
          <cell r="A422">
            <v>19450</v>
          </cell>
          <cell r="B422" t="str">
            <v>MERCADERES</v>
          </cell>
          <cell r="C422" t="str">
            <v>CAUCA</v>
          </cell>
          <cell r="D422" t="str">
            <v>CALI</v>
          </cell>
          <cell r="E422" t="str">
            <v>LEJANA</v>
          </cell>
          <cell r="F422" t="str">
            <v>TERRESTRE</v>
          </cell>
        </row>
        <row r="423">
          <cell r="A423">
            <v>19455</v>
          </cell>
          <cell r="B423" t="str">
            <v>MIRANDA</v>
          </cell>
          <cell r="C423" t="str">
            <v>CAUCA</v>
          </cell>
          <cell r="D423" t="str">
            <v>CALI</v>
          </cell>
          <cell r="E423" t="str">
            <v>LEJANA</v>
          </cell>
          <cell r="F423" t="str">
            <v>TERRESTRE</v>
          </cell>
        </row>
        <row r="424">
          <cell r="A424">
            <v>19513</v>
          </cell>
          <cell r="B424" t="str">
            <v>PADILLA</v>
          </cell>
          <cell r="C424" t="str">
            <v>CAUCA</v>
          </cell>
          <cell r="D424" t="str">
            <v>CALI</v>
          </cell>
          <cell r="E424" t="str">
            <v>INTERMEDIA</v>
          </cell>
          <cell r="F424" t="str">
            <v>TERRESTRE</v>
          </cell>
        </row>
        <row r="425">
          <cell r="A425">
            <v>19532</v>
          </cell>
          <cell r="B425" t="str">
            <v>PATIA</v>
          </cell>
          <cell r="C425" t="str">
            <v>CAUCA</v>
          </cell>
          <cell r="D425" t="str">
            <v>CALI</v>
          </cell>
          <cell r="E425" t="str">
            <v>LEJANA</v>
          </cell>
          <cell r="F425" t="str">
            <v>TERRESTRE</v>
          </cell>
        </row>
        <row r="426">
          <cell r="A426">
            <v>19533</v>
          </cell>
          <cell r="B426" t="str">
            <v>PIAMONTE</v>
          </cell>
          <cell r="C426" t="str">
            <v>CAUCA</v>
          </cell>
          <cell r="D426" t="str">
            <v>PASTO</v>
          </cell>
          <cell r="E426" t="str">
            <v>LEJANA</v>
          </cell>
          <cell r="F426" t="str">
            <v>TERRESTRE/FLUVIAL</v>
          </cell>
        </row>
        <row r="427">
          <cell r="A427">
            <v>19548</v>
          </cell>
          <cell r="B427" t="str">
            <v>PIENDAMO</v>
          </cell>
          <cell r="C427" t="str">
            <v>CAUCA</v>
          </cell>
          <cell r="D427" t="str">
            <v>CALI</v>
          </cell>
          <cell r="E427" t="str">
            <v>LEJANA</v>
          </cell>
          <cell r="F427" t="str">
            <v>TERRESTRE</v>
          </cell>
        </row>
        <row r="428">
          <cell r="A428">
            <v>19001</v>
          </cell>
          <cell r="B428" t="str">
            <v>POPAYAN</v>
          </cell>
          <cell r="C428" t="str">
            <v>CAUCA</v>
          </cell>
          <cell r="D428" t="str">
            <v>CALI</v>
          </cell>
          <cell r="E428" t="str">
            <v>LEJANA</v>
          </cell>
          <cell r="F428" t="str">
            <v>TERRESTRE</v>
          </cell>
        </row>
        <row r="429">
          <cell r="A429">
            <v>19573</v>
          </cell>
          <cell r="B429" t="str">
            <v>PUERTO TEJADA</v>
          </cell>
          <cell r="C429" t="str">
            <v>CAUCA</v>
          </cell>
          <cell r="D429" t="str">
            <v>CALI</v>
          </cell>
          <cell r="E429" t="str">
            <v>INTERMEDIA</v>
          </cell>
          <cell r="F429" t="str">
            <v>TERRESTRE</v>
          </cell>
        </row>
        <row r="430">
          <cell r="A430">
            <v>19585</v>
          </cell>
          <cell r="B430" t="str">
            <v>PURACE</v>
          </cell>
          <cell r="C430" t="str">
            <v>CAUCA</v>
          </cell>
          <cell r="D430" t="str">
            <v>CALI</v>
          </cell>
          <cell r="E430" t="str">
            <v>LEJANA</v>
          </cell>
          <cell r="F430" t="str">
            <v>TERRESTRE</v>
          </cell>
        </row>
        <row r="431">
          <cell r="A431">
            <v>19622</v>
          </cell>
          <cell r="B431" t="str">
            <v>ROSAS</v>
          </cell>
          <cell r="C431" t="str">
            <v>CAUCA</v>
          </cell>
          <cell r="D431" t="str">
            <v>CALI</v>
          </cell>
          <cell r="E431" t="str">
            <v>LEJANA</v>
          </cell>
          <cell r="F431" t="str">
            <v>TERRESTRE</v>
          </cell>
        </row>
        <row r="432">
          <cell r="A432">
            <v>19693</v>
          </cell>
          <cell r="B432" t="str">
            <v>SAN SEBASTIAN</v>
          </cell>
          <cell r="C432" t="str">
            <v>CAUCA</v>
          </cell>
          <cell r="D432" t="str">
            <v>CALI</v>
          </cell>
          <cell r="E432" t="str">
            <v>LEJANA</v>
          </cell>
          <cell r="F432" t="str">
            <v>TERRESTRE</v>
          </cell>
        </row>
        <row r="433">
          <cell r="A433">
            <v>19698</v>
          </cell>
          <cell r="B433" t="str">
            <v>SANTANDER DE QUILICHAO</v>
          </cell>
          <cell r="C433" t="str">
            <v>CAUCA</v>
          </cell>
          <cell r="D433" t="str">
            <v>CALI</v>
          </cell>
          <cell r="E433" t="str">
            <v>INTERMEDIA</v>
          </cell>
          <cell r="F433" t="str">
            <v>TERRESTRE</v>
          </cell>
        </row>
        <row r="434">
          <cell r="A434">
            <v>19743</v>
          </cell>
          <cell r="B434" t="str">
            <v>SILVIA</v>
          </cell>
          <cell r="C434" t="str">
            <v>CAUCA</v>
          </cell>
          <cell r="D434" t="str">
            <v>CALI</v>
          </cell>
          <cell r="E434" t="str">
            <v>LEJANA</v>
          </cell>
          <cell r="F434" t="str">
            <v>TERRESTRE</v>
          </cell>
        </row>
        <row r="435">
          <cell r="A435">
            <v>19760</v>
          </cell>
          <cell r="B435" t="str">
            <v>SOTARA</v>
          </cell>
          <cell r="C435" t="str">
            <v>CAUCA</v>
          </cell>
          <cell r="D435" t="str">
            <v>CALI</v>
          </cell>
          <cell r="E435" t="str">
            <v>LEJANA</v>
          </cell>
          <cell r="F435" t="str">
            <v>TERRESTRE</v>
          </cell>
        </row>
        <row r="436">
          <cell r="A436">
            <v>19807</v>
          </cell>
          <cell r="B436" t="str">
            <v>TIMBIO</v>
          </cell>
          <cell r="C436" t="str">
            <v>CAUCA</v>
          </cell>
          <cell r="D436" t="str">
            <v>CALI</v>
          </cell>
          <cell r="E436" t="str">
            <v>LEJANA</v>
          </cell>
          <cell r="F436" t="str">
            <v>TERRESTRE</v>
          </cell>
        </row>
        <row r="437">
          <cell r="A437">
            <v>19809</v>
          </cell>
          <cell r="B437" t="str">
            <v>TIMBIQUI</v>
          </cell>
          <cell r="C437" t="str">
            <v>CAUCA</v>
          </cell>
          <cell r="D437" t="str">
            <v>CALI</v>
          </cell>
          <cell r="E437" t="str">
            <v>LEJANA</v>
          </cell>
          <cell r="F437" t="str">
            <v>AEREO</v>
          </cell>
        </row>
        <row r="438">
          <cell r="A438">
            <v>19821</v>
          </cell>
          <cell r="B438" t="str">
            <v>TORIBIO</v>
          </cell>
          <cell r="C438" t="str">
            <v>CAUCA</v>
          </cell>
          <cell r="D438" t="str">
            <v>CALI</v>
          </cell>
          <cell r="E438" t="str">
            <v>LEJANA</v>
          </cell>
          <cell r="F438" t="str">
            <v>TERRESTRE</v>
          </cell>
        </row>
        <row r="439">
          <cell r="A439">
            <v>19824</v>
          </cell>
          <cell r="B439" t="str">
            <v>TOTORO</v>
          </cell>
          <cell r="C439" t="str">
            <v>CAUCA</v>
          </cell>
          <cell r="D439" t="str">
            <v>CALI</v>
          </cell>
          <cell r="E439" t="str">
            <v>LEJANA</v>
          </cell>
          <cell r="F439" t="str">
            <v>TERRESTRE</v>
          </cell>
        </row>
        <row r="440">
          <cell r="A440">
            <v>19845</v>
          </cell>
          <cell r="B440" t="str">
            <v>VILLA RICA</v>
          </cell>
          <cell r="C440" t="str">
            <v>CAUCA</v>
          </cell>
          <cell r="D440" t="str">
            <v>CALI</v>
          </cell>
          <cell r="E440" t="str">
            <v>LEJANA</v>
          </cell>
          <cell r="F440" t="str">
            <v>TERRESTRE</v>
          </cell>
        </row>
        <row r="441">
          <cell r="A441">
            <v>20621</v>
          </cell>
          <cell r="B441" t="str">
            <v>LA PAZ</v>
          </cell>
          <cell r="C441" t="str">
            <v>CESAR</v>
          </cell>
          <cell r="D441" t="str">
            <v>VALLEDUPAR</v>
          </cell>
          <cell r="E441" t="str">
            <v>INTERMEDIA</v>
          </cell>
          <cell r="F441" t="str">
            <v>TERRESTRE</v>
          </cell>
        </row>
        <row r="442">
          <cell r="A442">
            <v>20443</v>
          </cell>
          <cell r="B442" t="str">
            <v>MANAURE</v>
          </cell>
          <cell r="C442" t="str">
            <v>CESAR</v>
          </cell>
          <cell r="D442" t="str">
            <v>VALLEDUPAR</v>
          </cell>
          <cell r="E442" t="str">
            <v>INTERMEDIA</v>
          </cell>
          <cell r="F442" t="str">
            <v>TERRESTRE</v>
          </cell>
        </row>
        <row r="443">
          <cell r="A443">
            <v>20770</v>
          </cell>
          <cell r="B443" t="str">
            <v>SAN MARTIN</v>
          </cell>
          <cell r="C443" t="str">
            <v>CESAR</v>
          </cell>
          <cell r="D443" t="str">
            <v>BUCARAMANGA</v>
          </cell>
          <cell r="E443" t="str">
            <v>LEJANA</v>
          </cell>
          <cell r="F443" t="str">
            <v>TERRESTRE</v>
          </cell>
        </row>
        <row r="444">
          <cell r="A444">
            <v>20011</v>
          </cell>
          <cell r="B444" t="str">
            <v>AGUACHICA</v>
          </cell>
          <cell r="C444" t="str">
            <v>CESAR</v>
          </cell>
          <cell r="D444" t="str">
            <v>VALLEDUPAR</v>
          </cell>
          <cell r="E444" t="str">
            <v>LEJANA</v>
          </cell>
          <cell r="F444" t="str">
            <v>TERRESTRE</v>
          </cell>
        </row>
        <row r="445">
          <cell r="A445">
            <v>20013</v>
          </cell>
          <cell r="B445" t="str">
            <v>AGUSTIN CODAZZI</v>
          </cell>
          <cell r="C445" t="str">
            <v>CESAR</v>
          </cell>
          <cell r="D445" t="str">
            <v>VALLEDUPAR</v>
          </cell>
          <cell r="E445" t="str">
            <v>INTERMEDIA</v>
          </cell>
          <cell r="F445" t="str">
            <v>TERRESTRE</v>
          </cell>
        </row>
        <row r="446">
          <cell r="A446">
            <v>20032</v>
          </cell>
          <cell r="B446" t="str">
            <v>ASTREA</v>
          </cell>
          <cell r="C446" t="str">
            <v>CESAR</v>
          </cell>
          <cell r="D446" t="str">
            <v>VALLEDUPAR</v>
          </cell>
          <cell r="E446" t="str">
            <v>LEJANA</v>
          </cell>
          <cell r="F446" t="str">
            <v>TERRESTRE</v>
          </cell>
        </row>
        <row r="447">
          <cell r="A447">
            <v>20045</v>
          </cell>
          <cell r="B447" t="str">
            <v>BECERRIL</v>
          </cell>
          <cell r="C447" t="str">
            <v>CESAR</v>
          </cell>
          <cell r="D447" t="str">
            <v>VALLEDUPAR</v>
          </cell>
          <cell r="E447" t="str">
            <v>INTERMEDIA</v>
          </cell>
          <cell r="F447" t="str">
            <v>TERRESTRE</v>
          </cell>
        </row>
        <row r="448">
          <cell r="A448">
            <v>20060</v>
          </cell>
          <cell r="B448" t="str">
            <v>BOSCONIA</v>
          </cell>
          <cell r="C448" t="str">
            <v>CESAR</v>
          </cell>
          <cell r="D448" t="str">
            <v>VALLEDUPAR</v>
          </cell>
          <cell r="E448" t="str">
            <v>INTERMEDIA</v>
          </cell>
          <cell r="F448" t="str">
            <v>TERRESTRE</v>
          </cell>
        </row>
        <row r="449">
          <cell r="A449">
            <v>20175</v>
          </cell>
          <cell r="B449" t="str">
            <v>CHIMICHAGUA</v>
          </cell>
          <cell r="C449" t="str">
            <v>CESAR</v>
          </cell>
          <cell r="D449" t="str">
            <v>VALLEDUPAR</v>
          </cell>
          <cell r="E449" t="str">
            <v>LEJANA</v>
          </cell>
          <cell r="F449" t="str">
            <v>TERRESTRE</v>
          </cell>
        </row>
        <row r="450">
          <cell r="A450">
            <v>20178</v>
          </cell>
          <cell r="B450" t="str">
            <v>CHIRIGUANA</v>
          </cell>
          <cell r="C450" t="str">
            <v>CESAR</v>
          </cell>
          <cell r="D450" t="str">
            <v>VALLEDUPAR</v>
          </cell>
          <cell r="E450" t="str">
            <v>LEJANA</v>
          </cell>
          <cell r="F450" t="str">
            <v>TERRESTRE</v>
          </cell>
        </row>
        <row r="451">
          <cell r="A451">
            <v>20228</v>
          </cell>
          <cell r="B451" t="str">
            <v>CURUMANI</v>
          </cell>
          <cell r="C451" t="str">
            <v>CESAR</v>
          </cell>
          <cell r="D451" t="str">
            <v>VALLEDUPAR</v>
          </cell>
          <cell r="E451" t="str">
            <v>LEJANA</v>
          </cell>
          <cell r="F451" t="str">
            <v>TERRESTRE</v>
          </cell>
        </row>
        <row r="452">
          <cell r="A452">
            <v>20238</v>
          </cell>
          <cell r="B452" t="str">
            <v>EL COPEY</v>
          </cell>
          <cell r="C452" t="str">
            <v>CESAR</v>
          </cell>
          <cell r="D452" t="str">
            <v>VALLEDUPAR</v>
          </cell>
          <cell r="E452" t="str">
            <v>INTERMEDIA</v>
          </cell>
          <cell r="F452" t="str">
            <v>TERRESTRE</v>
          </cell>
        </row>
        <row r="453">
          <cell r="A453">
            <v>20250</v>
          </cell>
          <cell r="B453" t="str">
            <v>EL PASO</v>
          </cell>
          <cell r="C453" t="str">
            <v>CESAR</v>
          </cell>
          <cell r="D453" t="str">
            <v>VALLEDUPAR</v>
          </cell>
          <cell r="E453" t="str">
            <v>LEJANA</v>
          </cell>
          <cell r="F453" t="str">
            <v>TERRESTRE</v>
          </cell>
        </row>
        <row r="454">
          <cell r="A454">
            <v>20295</v>
          </cell>
          <cell r="B454" t="str">
            <v>GAMARRA</v>
          </cell>
          <cell r="C454" t="str">
            <v>CESAR</v>
          </cell>
          <cell r="D454" t="str">
            <v>VALLEDUPAR</v>
          </cell>
          <cell r="E454" t="str">
            <v>LEJANA</v>
          </cell>
          <cell r="F454" t="str">
            <v>TERRESTRE</v>
          </cell>
        </row>
        <row r="455">
          <cell r="A455">
            <v>20310</v>
          </cell>
          <cell r="B455" t="str">
            <v>GONZALEZ</v>
          </cell>
          <cell r="C455" t="str">
            <v>CESAR</v>
          </cell>
          <cell r="D455" t="str">
            <v>VALLEDUPAR</v>
          </cell>
          <cell r="E455" t="str">
            <v>LEJANA</v>
          </cell>
          <cell r="F455" t="str">
            <v>TERRESTRE</v>
          </cell>
        </row>
        <row r="456">
          <cell r="A456">
            <v>20383</v>
          </cell>
          <cell r="B456" t="str">
            <v>LA GLORIA</v>
          </cell>
          <cell r="C456" t="str">
            <v>CESAR</v>
          </cell>
          <cell r="D456" t="str">
            <v>VALLEDUPAR</v>
          </cell>
          <cell r="E456" t="str">
            <v>LEJANA</v>
          </cell>
          <cell r="F456" t="str">
            <v>TERRESTRE</v>
          </cell>
        </row>
        <row r="457">
          <cell r="A457">
            <v>20400</v>
          </cell>
          <cell r="B457" t="str">
            <v>LA JAGUA DE IBIRICO</v>
          </cell>
          <cell r="C457" t="str">
            <v>CESAR</v>
          </cell>
          <cell r="D457" t="str">
            <v>VALLEDUPAR</v>
          </cell>
          <cell r="E457" t="str">
            <v>LEJANA</v>
          </cell>
          <cell r="F457" t="str">
            <v>TERRESTRE</v>
          </cell>
        </row>
        <row r="458">
          <cell r="A458">
            <v>20517</v>
          </cell>
          <cell r="B458" t="str">
            <v>PAILITAS</v>
          </cell>
          <cell r="C458" t="str">
            <v>CESAR</v>
          </cell>
          <cell r="D458" t="str">
            <v>VALLEDUPAR</v>
          </cell>
          <cell r="E458" t="str">
            <v>LEJANA</v>
          </cell>
          <cell r="F458" t="str">
            <v>TERRESTRE</v>
          </cell>
        </row>
        <row r="459">
          <cell r="A459">
            <v>20550</v>
          </cell>
          <cell r="B459" t="str">
            <v>PELAYA</v>
          </cell>
          <cell r="C459" t="str">
            <v>CESAR</v>
          </cell>
          <cell r="D459" t="str">
            <v>VALLEDUPAR</v>
          </cell>
          <cell r="E459" t="str">
            <v>LEJANA</v>
          </cell>
          <cell r="F459" t="str">
            <v>TERRESTRE</v>
          </cell>
        </row>
        <row r="460">
          <cell r="A460">
            <v>20570</v>
          </cell>
          <cell r="B460" t="str">
            <v>PUEBLO BELLO</v>
          </cell>
          <cell r="C460" t="str">
            <v>CESAR</v>
          </cell>
          <cell r="D460" t="str">
            <v>VALLEDUPAR</v>
          </cell>
          <cell r="E460" t="str">
            <v>LEJANA</v>
          </cell>
          <cell r="F460" t="str">
            <v>TERRESTRE</v>
          </cell>
        </row>
        <row r="461">
          <cell r="A461">
            <v>20614</v>
          </cell>
          <cell r="B461" t="str">
            <v>RIO DE ORO</v>
          </cell>
          <cell r="C461" t="str">
            <v>CESAR</v>
          </cell>
          <cell r="D461" t="str">
            <v>VALLEDUPAR</v>
          </cell>
          <cell r="E461" t="str">
            <v>LEJANA</v>
          </cell>
          <cell r="F461" t="str">
            <v>TERRESTRE</v>
          </cell>
        </row>
        <row r="462">
          <cell r="A462">
            <v>20710</v>
          </cell>
          <cell r="B462" t="str">
            <v>SAN ALBERTO</v>
          </cell>
          <cell r="C462" t="str">
            <v>CESAR</v>
          </cell>
          <cell r="D462" t="str">
            <v>BUCARAMANGA</v>
          </cell>
          <cell r="E462" t="str">
            <v>LEJANA</v>
          </cell>
          <cell r="F462" t="str">
            <v>TERRESTRE</v>
          </cell>
        </row>
        <row r="463">
          <cell r="A463">
            <v>20750</v>
          </cell>
          <cell r="B463" t="str">
            <v>SAN DIEGO</v>
          </cell>
          <cell r="C463" t="str">
            <v>CESAR</v>
          </cell>
          <cell r="D463" t="str">
            <v>VALLEDUPAR</v>
          </cell>
          <cell r="E463" t="str">
            <v>INTERMEDIA</v>
          </cell>
          <cell r="F463" t="str">
            <v>TERRESTRE</v>
          </cell>
        </row>
        <row r="464">
          <cell r="A464">
            <v>20787</v>
          </cell>
          <cell r="B464" t="str">
            <v>TAMALAMEQUE</v>
          </cell>
          <cell r="C464" t="str">
            <v>CESAR</v>
          </cell>
          <cell r="D464" t="str">
            <v>VALLEDUPAR</v>
          </cell>
          <cell r="E464" t="str">
            <v>LEJANA</v>
          </cell>
          <cell r="F464" t="str">
            <v>TERRESTRE</v>
          </cell>
        </row>
        <row r="465">
          <cell r="A465">
            <v>20001</v>
          </cell>
          <cell r="B465" t="str">
            <v>VALLEDUPAR</v>
          </cell>
          <cell r="C465" t="str">
            <v>CESAR</v>
          </cell>
          <cell r="D465" t="str">
            <v>VALLEDUPAR</v>
          </cell>
          <cell r="E465" t="str">
            <v>PRINCIPAL</v>
          </cell>
          <cell r="F465" t="str">
            <v>TERRESTRE</v>
          </cell>
        </row>
        <row r="466">
          <cell r="A466">
            <v>27615</v>
          </cell>
          <cell r="B466" t="str">
            <v>RIOSUCIO</v>
          </cell>
          <cell r="C466" t="str">
            <v>CHOCO</v>
          </cell>
          <cell r="D466" t="str">
            <v>APARTADO</v>
          </cell>
          <cell r="E466" t="str">
            <v>LEJANA</v>
          </cell>
          <cell r="F466" t="str">
            <v>TERRESTRE/FLUVIAL</v>
          </cell>
        </row>
        <row r="467">
          <cell r="A467">
            <v>27006</v>
          </cell>
          <cell r="B467" t="str">
            <v>ACANDI</v>
          </cell>
          <cell r="C467" t="str">
            <v>CHOCO</v>
          </cell>
          <cell r="D467" t="str">
            <v>APARTADO</v>
          </cell>
          <cell r="E467" t="str">
            <v>LEJANA</v>
          </cell>
          <cell r="F467" t="str">
            <v>AEREO</v>
          </cell>
        </row>
        <row r="468">
          <cell r="A468">
            <v>27025</v>
          </cell>
          <cell r="B468" t="str">
            <v>ALTO BAUDO</v>
          </cell>
          <cell r="C468" t="str">
            <v>CHOCO</v>
          </cell>
          <cell r="D468" t="str">
            <v>MEDELLIN</v>
          </cell>
          <cell r="E468" t="str">
            <v>LEJANA</v>
          </cell>
          <cell r="F468" t="str">
            <v>AEREO</v>
          </cell>
        </row>
        <row r="469">
          <cell r="A469">
            <v>27050</v>
          </cell>
          <cell r="B469" t="str">
            <v>ATRATO</v>
          </cell>
          <cell r="C469" t="str">
            <v>CHOCO</v>
          </cell>
          <cell r="D469" t="str">
            <v>APARTADO</v>
          </cell>
          <cell r="E469" t="str">
            <v>LEJANA</v>
          </cell>
          <cell r="F469" t="str">
            <v>TERRESTRE / AEREO</v>
          </cell>
        </row>
        <row r="470">
          <cell r="A470">
            <v>27073</v>
          </cell>
          <cell r="B470" t="str">
            <v>BAGADO</v>
          </cell>
          <cell r="C470" t="str">
            <v>CHOCO</v>
          </cell>
          <cell r="D470" t="str">
            <v>MEDELLIN</v>
          </cell>
          <cell r="E470" t="str">
            <v>LEJANA</v>
          </cell>
          <cell r="F470" t="str">
            <v>AEREO</v>
          </cell>
        </row>
        <row r="471">
          <cell r="A471">
            <v>27075</v>
          </cell>
          <cell r="B471" t="str">
            <v>BAHIA SOLANO</v>
          </cell>
          <cell r="C471" t="str">
            <v>CHOCO</v>
          </cell>
          <cell r="D471" t="str">
            <v>MEDELLIN</v>
          </cell>
          <cell r="E471" t="str">
            <v>LEJANA</v>
          </cell>
          <cell r="F471" t="str">
            <v>AEREO</v>
          </cell>
        </row>
        <row r="472">
          <cell r="A472">
            <v>27077</v>
          </cell>
          <cell r="B472" t="str">
            <v>BAJO BAUDO</v>
          </cell>
          <cell r="C472" t="str">
            <v>CHOCO</v>
          </cell>
          <cell r="D472" t="str">
            <v>APARTADO</v>
          </cell>
          <cell r="E472" t="str">
            <v>LEJANA</v>
          </cell>
          <cell r="F472" t="str">
            <v>AEREO</v>
          </cell>
        </row>
        <row r="473">
          <cell r="A473">
            <v>27086</v>
          </cell>
          <cell r="B473" t="str">
            <v>BELEN DE BAJIRA</v>
          </cell>
          <cell r="C473" t="str">
            <v>CHOCO</v>
          </cell>
          <cell r="D473" t="str">
            <v>APARTADO</v>
          </cell>
          <cell r="E473" t="str">
            <v>LEJANA</v>
          </cell>
          <cell r="F473" t="str">
            <v>TERRESTRE</v>
          </cell>
        </row>
        <row r="474">
          <cell r="A474">
            <v>27099</v>
          </cell>
          <cell r="B474" t="str">
            <v>BOJAYA</v>
          </cell>
          <cell r="C474" t="str">
            <v>CHOCO</v>
          </cell>
          <cell r="D474" t="str">
            <v>MEDELLIN</v>
          </cell>
          <cell r="E474" t="str">
            <v>LEJANA</v>
          </cell>
          <cell r="F474" t="str">
            <v>AEREO</v>
          </cell>
        </row>
        <row r="475">
          <cell r="A475">
            <v>27150</v>
          </cell>
          <cell r="B475" t="str">
            <v>CARMEN DEL DARIEN</v>
          </cell>
          <cell r="C475" t="str">
            <v>CHOCO</v>
          </cell>
          <cell r="D475" t="str">
            <v>APARTADO</v>
          </cell>
          <cell r="E475" t="str">
            <v>LEJANA</v>
          </cell>
          <cell r="F475" t="str">
            <v>TERRESTRE</v>
          </cell>
        </row>
        <row r="476">
          <cell r="A476">
            <v>27160</v>
          </cell>
          <cell r="B476" t="str">
            <v>CERTEGUI</v>
          </cell>
          <cell r="C476" t="str">
            <v>CHOCO</v>
          </cell>
          <cell r="D476" t="str">
            <v>APARTADO</v>
          </cell>
          <cell r="E476" t="str">
            <v>LEJANA</v>
          </cell>
          <cell r="F476" t="str">
            <v>TERRESTRE</v>
          </cell>
        </row>
        <row r="477">
          <cell r="A477">
            <v>27205</v>
          </cell>
          <cell r="B477" t="str">
            <v>CONDOTO</v>
          </cell>
          <cell r="C477" t="str">
            <v>CHOCO</v>
          </cell>
          <cell r="D477" t="str">
            <v>MEDELLIN</v>
          </cell>
          <cell r="E477" t="str">
            <v>LEJANA</v>
          </cell>
          <cell r="F477" t="str">
            <v>AEREO</v>
          </cell>
        </row>
        <row r="478">
          <cell r="A478">
            <v>27135</v>
          </cell>
          <cell r="B478" t="str">
            <v>EL CANTON DEL SAN PABLO</v>
          </cell>
          <cell r="C478" t="str">
            <v>CHOCO</v>
          </cell>
          <cell r="D478" t="str">
            <v>APARTADO</v>
          </cell>
          <cell r="E478" t="str">
            <v>LEJANA</v>
          </cell>
          <cell r="F478" t="str">
            <v>TERRESTRE</v>
          </cell>
        </row>
        <row r="479">
          <cell r="A479">
            <v>27245</v>
          </cell>
          <cell r="B479" t="str">
            <v>EL CARMEN DE ATRATO</v>
          </cell>
          <cell r="C479" t="str">
            <v>CHOCO</v>
          </cell>
          <cell r="D479" t="str">
            <v>MEDELLIN</v>
          </cell>
          <cell r="E479" t="str">
            <v>LEJANA</v>
          </cell>
          <cell r="F479" t="str">
            <v>TERRESTRE</v>
          </cell>
        </row>
        <row r="480">
          <cell r="A480">
            <v>27250</v>
          </cell>
          <cell r="B480" t="str">
            <v>EL LITORAL DEL SAN JUAN</v>
          </cell>
          <cell r="C480" t="str">
            <v>CHOCO</v>
          </cell>
          <cell r="D480" t="str">
            <v>CALI</v>
          </cell>
          <cell r="E480" t="str">
            <v>LEJANA</v>
          </cell>
          <cell r="F480" t="str">
            <v>TERRESTRE / FLUVIAL</v>
          </cell>
        </row>
        <row r="481">
          <cell r="A481">
            <v>27361</v>
          </cell>
          <cell r="B481" t="str">
            <v>ISTMINA</v>
          </cell>
          <cell r="C481" t="str">
            <v>CHOCO</v>
          </cell>
          <cell r="D481" t="str">
            <v>MEDELLIN</v>
          </cell>
          <cell r="E481" t="str">
            <v>LEJANA</v>
          </cell>
          <cell r="F481" t="str">
            <v>AEREO</v>
          </cell>
        </row>
        <row r="482">
          <cell r="A482">
            <v>27372</v>
          </cell>
          <cell r="B482" t="str">
            <v>JURADO</v>
          </cell>
          <cell r="C482" t="str">
            <v>CHOCO</v>
          </cell>
          <cell r="D482" t="str">
            <v>APARTADO</v>
          </cell>
          <cell r="E482" t="str">
            <v>LEJANA</v>
          </cell>
          <cell r="F482" t="str">
            <v>FLUVIAL</v>
          </cell>
        </row>
        <row r="483">
          <cell r="A483">
            <v>27413</v>
          </cell>
          <cell r="B483" t="str">
            <v>LLORO</v>
          </cell>
          <cell r="C483" t="str">
            <v>CHOCO</v>
          </cell>
          <cell r="D483" t="str">
            <v>APARTADO</v>
          </cell>
          <cell r="E483" t="str">
            <v>LEJANA</v>
          </cell>
          <cell r="F483" t="str">
            <v>TERRESTRE</v>
          </cell>
        </row>
        <row r="484">
          <cell r="A484">
            <v>27425</v>
          </cell>
          <cell r="B484" t="str">
            <v>MEDIO ATRATO</v>
          </cell>
          <cell r="C484" t="str">
            <v>CHOCO</v>
          </cell>
          <cell r="D484" t="str">
            <v>APARTADO</v>
          </cell>
          <cell r="E484" t="str">
            <v>LEJANA</v>
          </cell>
          <cell r="F484" t="str">
            <v>TERRESTRE</v>
          </cell>
        </row>
        <row r="485">
          <cell r="A485">
            <v>27430</v>
          </cell>
          <cell r="B485" t="str">
            <v>MEDIO BAUDO</v>
          </cell>
          <cell r="C485" t="str">
            <v>CHOCO</v>
          </cell>
          <cell r="D485" t="str">
            <v>APARTADO</v>
          </cell>
          <cell r="E485" t="str">
            <v>LEJANA</v>
          </cell>
          <cell r="F485" t="str">
            <v>TERRESTRE</v>
          </cell>
        </row>
        <row r="486">
          <cell r="A486">
            <v>27450</v>
          </cell>
          <cell r="B486" t="str">
            <v>MEDIO SAN JUAN</v>
          </cell>
          <cell r="C486" t="str">
            <v>CHOCO</v>
          </cell>
          <cell r="D486" t="str">
            <v>APARTADO</v>
          </cell>
          <cell r="E486" t="str">
            <v>LEJANA</v>
          </cell>
          <cell r="F486" t="str">
            <v>TERRESTRE</v>
          </cell>
        </row>
        <row r="487">
          <cell r="A487">
            <v>27491</v>
          </cell>
          <cell r="B487" t="str">
            <v>NOVITA</v>
          </cell>
          <cell r="C487" t="str">
            <v>CHOCO</v>
          </cell>
          <cell r="D487" t="str">
            <v>MEDELLIN</v>
          </cell>
          <cell r="E487" t="str">
            <v>LEJANA</v>
          </cell>
          <cell r="F487" t="str">
            <v>AEREO</v>
          </cell>
        </row>
        <row r="488">
          <cell r="A488">
            <v>27495</v>
          </cell>
          <cell r="B488" t="str">
            <v>NUQUI</v>
          </cell>
          <cell r="C488" t="str">
            <v>CHOCO</v>
          </cell>
          <cell r="D488" t="str">
            <v>MEDELLIN</v>
          </cell>
          <cell r="E488" t="str">
            <v>LEJANA</v>
          </cell>
          <cell r="F488" t="str">
            <v>AEREO</v>
          </cell>
        </row>
        <row r="489">
          <cell r="A489">
            <v>27001</v>
          </cell>
          <cell r="B489" t="str">
            <v>QUIBDO</v>
          </cell>
          <cell r="C489" t="str">
            <v>CHOCO</v>
          </cell>
          <cell r="D489" t="str">
            <v>MEDELLIN</v>
          </cell>
          <cell r="E489" t="str">
            <v>LEJANA</v>
          </cell>
          <cell r="F489" t="str">
            <v>AEREO</v>
          </cell>
        </row>
        <row r="490">
          <cell r="A490">
            <v>27580</v>
          </cell>
          <cell r="B490" t="str">
            <v>RIO IRO</v>
          </cell>
          <cell r="C490" t="str">
            <v>CHOCO</v>
          </cell>
          <cell r="D490" t="str">
            <v>APARTADO</v>
          </cell>
          <cell r="E490" t="str">
            <v>LEJANA</v>
          </cell>
          <cell r="F490" t="str">
            <v>TERRESTRE</v>
          </cell>
        </row>
        <row r="491">
          <cell r="A491">
            <v>27600</v>
          </cell>
          <cell r="B491" t="str">
            <v>RIO QUITO</v>
          </cell>
          <cell r="C491" t="str">
            <v>CHOCO</v>
          </cell>
          <cell r="D491" t="str">
            <v>MEDELLIN</v>
          </cell>
          <cell r="E491" t="str">
            <v>LEJANA</v>
          </cell>
          <cell r="F491" t="str">
            <v>AEREO</v>
          </cell>
        </row>
        <row r="492">
          <cell r="A492">
            <v>27660</v>
          </cell>
          <cell r="B492" t="str">
            <v>SAN JOSE DEL PALMAR</v>
          </cell>
          <cell r="C492" t="str">
            <v>CHOCO</v>
          </cell>
          <cell r="D492" t="str">
            <v>PEREIRA</v>
          </cell>
          <cell r="E492" t="str">
            <v>LEJANA</v>
          </cell>
          <cell r="F492" t="str">
            <v>TERRESTRE</v>
          </cell>
        </row>
        <row r="493">
          <cell r="A493">
            <v>27745</v>
          </cell>
          <cell r="B493" t="str">
            <v>SIPI</v>
          </cell>
          <cell r="C493" t="str">
            <v>CHOCO</v>
          </cell>
          <cell r="D493" t="str">
            <v>MEDELLIN</v>
          </cell>
          <cell r="E493" t="str">
            <v>LEJANA</v>
          </cell>
          <cell r="F493" t="str">
            <v>AEREO</v>
          </cell>
        </row>
        <row r="494">
          <cell r="A494">
            <v>27787</v>
          </cell>
          <cell r="B494" t="str">
            <v>TADO</v>
          </cell>
          <cell r="C494" t="str">
            <v>CHOCO</v>
          </cell>
          <cell r="D494" t="str">
            <v>MEDELLIN</v>
          </cell>
          <cell r="E494" t="str">
            <v>LEJANA</v>
          </cell>
          <cell r="F494" t="str">
            <v>AEREO</v>
          </cell>
        </row>
        <row r="495">
          <cell r="A495">
            <v>27800</v>
          </cell>
          <cell r="B495" t="str">
            <v>UNGUIA</v>
          </cell>
          <cell r="C495" t="str">
            <v>CHOCO</v>
          </cell>
          <cell r="D495" t="str">
            <v>APARTADO</v>
          </cell>
          <cell r="E495" t="str">
            <v>LEJANA</v>
          </cell>
          <cell r="F495" t="str">
            <v>FLUVIAL</v>
          </cell>
        </row>
        <row r="496">
          <cell r="A496">
            <v>27810</v>
          </cell>
          <cell r="B496" t="str">
            <v>UNION PANAMERICANA</v>
          </cell>
          <cell r="C496" t="str">
            <v>CHOCO</v>
          </cell>
          <cell r="D496" t="str">
            <v>APARTADO</v>
          </cell>
          <cell r="E496" t="str">
            <v>LEJANA</v>
          </cell>
          <cell r="F496" t="str">
            <v>TERRESTRE</v>
          </cell>
        </row>
        <row r="497">
          <cell r="A497">
            <v>23079</v>
          </cell>
          <cell r="B497" t="str">
            <v>BUENAVISTA</v>
          </cell>
          <cell r="C497" t="str">
            <v>CORDOBA</v>
          </cell>
          <cell r="D497" t="str">
            <v>MONTERIA</v>
          </cell>
          <cell r="E497" t="str">
            <v>INTERMEDIA</v>
          </cell>
          <cell r="F497" t="str">
            <v>TERRESTRE</v>
          </cell>
        </row>
        <row r="498">
          <cell r="A498">
            <v>23168</v>
          </cell>
          <cell r="B498" t="str">
            <v>CHIMA</v>
          </cell>
          <cell r="C498" t="str">
            <v>CORDOBA</v>
          </cell>
          <cell r="D498" t="str">
            <v>MONTERIA</v>
          </cell>
          <cell r="E498" t="str">
            <v>LEJANA</v>
          </cell>
          <cell r="F498" t="str">
            <v>TERRESTRE</v>
          </cell>
        </row>
        <row r="499">
          <cell r="A499">
            <v>23678</v>
          </cell>
          <cell r="B499" t="str">
            <v>SAN CARLOS</v>
          </cell>
          <cell r="C499" t="str">
            <v>CORDOBA</v>
          </cell>
          <cell r="D499" t="str">
            <v>MONTERIA</v>
          </cell>
          <cell r="E499" t="str">
            <v>INTERMEDIA</v>
          </cell>
          <cell r="F499" t="str">
            <v>TERRESTRE</v>
          </cell>
        </row>
        <row r="500">
          <cell r="A500">
            <v>23068</v>
          </cell>
          <cell r="B500" t="str">
            <v>AYAPEL</v>
          </cell>
          <cell r="C500" t="str">
            <v>CORDOBA</v>
          </cell>
          <cell r="D500" t="str">
            <v>MONTERIA</v>
          </cell>
          <cell r="E500" t="str">
            <v>LEJANA</v>
          </cell>
          <cell r="F500" t="str">
            <v>TERRESTRE</v>
          </cell>
        </row>
        <row r="501">
          <cell r="A501">
            <v>23090</v>
          </cell>
          <cell r="B501" t="str">
            <v>CANALETE</v>
          </cell>
          <cell r="C501" t="str">
            <v>CORDOBA</v>
          </cell>
          <cell r="D501" t="str">
            <v>MONTERIA</v>
          </cell>
          <cell r="E501" t="str">
            <v>INTERMEDIA</v>
          </cell>
          <cell r="F501" t="str">
            <v>TERRESTRE</v>
          </cell>
        </row>
        <row r="502">
          <cell r="A502">
            <v>23162</v>
          </cell>
          <cell r="B502" t="str">
            <v>CERETE</v>
          </cell>
          <cell r="C502" t="str">
            <v>CORDOBA</v>
          </cell>
          <cell r="D502" t="str">
            <v>MONTERIA</v>
          </cell>
          <cell r="E502" t="str">
            <v>PRINCIPAL</v>
          </cell>
          <cell r="F502" t="str">
            <v>TERRESTRE</v>
          </cell>
        </row>
        <row r="503">
          <cell r="A503">
            <v>23182</v>
          </cell>
          <cell r="B503" t="str">
            <v>CHINU</v>
          </cell>
          <cell r="C503" t="str">
            <v>CORDOBA</v>
          </cell>
          <cell r="D503" t="str">
            <v>MONTERIA</v>
          </cell>
          <cell r="E503" t="str">
            <v>INTERMEDIA</v>
          </cell>
          <cell r="F503" t="str">
            <v>TERRESTRE</v>
          </cell>
        </row>
        <row r="504">
          <cell r="A504">
            <v>23189</v>
          </cell>
          <cell r="B504" t="str">
            <v>CIENAGA DE ORO</v>
          </cell>
          <cell r="C504" t="str">
            <v>CORDOBA</v>
          </cell>
          <cell r="D504" t="str">
            <v>MONTERIA</v>
          </cell>
          <cell r="E504" t="str">
            <v>INTERMEDIA</v>
          </cell>
          <cell r="F504" t="str">
            <v>TERRESTRE</v>
          </cell>
        </row>
        <row r="505">
          <cell r="A505">
            <v>23300</v>
          </cell>
          <cell r="B505" t="str">
            <v>COTORRA</v>
          </cell>
          <cell r="C505" t="str">
            <v>CORDOBA</v>
          </cell>
          <cell r="D505" t="str">
            <v>MONTERIA</v>
          </cell>
          <cell r="E505" t="str">
            <v>INTERMEDIA</v>
          </cell>
          <cell r="F505" t="str">
            <v>TERRESTRE</v>
          </cell>
        </row>
        <row r="506">
          <cell r="A506">
            <v>23350</v>
          </cell>
          <cell r="B506" t="str">
            <v>LA APARTADA</v>
          </cell>
          <cell r="C506" t="str">
            <v>CORDOBA</v>
          </cell>
          <cell r="D506" t="str">
            <v>MONTERIA</v>
          </cell>
          <cell r="E506" t="str">
            <v>INTERMEDIA</v>
          </cell>
          <cell r="F506" t="str">
            <v>TERRESTRE</v>
          </cell>
        </row>
        <row r="507">
          <cell r="A507">
            <v>23417</v>
          </cell>
          <cell r="B507" t="str">
            <v>LORICA</v>
          </cell>
          <cell r="C507" t="str">
            <v>CORDOBA</v>
          </cell>
          <cell r="D507" t="str">
            <v>MONTERIA</v>
          </cell>
          <cell r="E507" t="str">
            <v>INTERMEDIA</v>
          </cell>
          <cell r="F507" t="str">
            <v>TERRESTRE</v>
          </cell>
        </row>
        <row r="508">
          <cell r="A508">
            <v>23419</v>
          </cell>
          <cell r="B508" t="str">
            <v>LOS CORDOBAS</v>
          </cell>
          <cell r="C508" t="str">
            <v>CORDOBA</v>
          </cell>
          <cell r="D508" t="str">
            <v>MONTERIA</v>
          </cell>
          <cell r="E508" t="str">
            <v>INTERMEDIA</v>
          </cell>
          <cell r="F508" t="str">
            <v>TERRESTRE</v>
          </cell>
        </row>
        <row r="509">
          <cell r="A509">
            <v>23464</v>
          </cell>
          <cell r="B509" t="str">
            <v>MOMIL</v>
          </cell>
          <cell r="C509" t="str">
            <v>CORDOBA</v>
          </cell>
          <cell r="D509" t="str">
            <v>MONTERIA</v>
          </cell>
          <cell r="E509" t="str">
            <v>INTERMEDIA</v>
          </cell>
          <cell r="F509" t="str">
            <v>TERRESTRE</v>
          </cell>
        </row>
        <row r="510">
          <cell r="A510">
            <v>23466</v>
          </cell>
          <cell r="B510" t="str">
            <v>MONTELIBANO</v>
          </cell>
          <cell r="C510" t="str">
            <v>CORDOBA</v>
          </cell>
          <cell r="D510" t="str">
            <v>MONTERIA</v>
          </cell>
          <cell r="E510" t="str">
            <v>LEJANA</v>
          </cell>
          <cell r="F510" t="str">
            <v>TERRESTRE</v>
          </cell>
        </row>
        <row r="511">
          <cell r="A511">
            <v>23001</v>
          </cell>
          <cell r="B511" t="str">
            <v>MONTERIA</v>
          </cell>
          <cell r="C511" t="str">
            <v>CORDOBA</v>
          </cell>
          <cell r="D511" t="str">
            <v>MONTERIA</v>
          </cell>
          <cell r="E511" t="str">
            <v>PRINCIPAL</v>
          </cell>
          <cell r="F511" t="str">
            <v>TERRESTRE</v>
          </cell>
        </row>
        <row r="512">
          <cell r="A512">
            <v>23500</v>
          </cell>
          <cell r="B512" t="str">
            <v>MOÑITOS</v>
          </cell>
          <cell r="C512" t="str">
            <v>CORDOBA</v>
          </cell>
          <cell r="D512" t="str">
            <v>MONTERIA</v>
          </cell>
          <cell r="E512" t="str">
            <v>LEJANA</v>
          </cell>
          <cell r="F512" t="str">
            <v>TERRESTRE</v>
          </cell>
        </row>
        <row r="513">
          <cell r="A513">
            <v>23555</v>
          </cell>
          <cell r="B513" t="str">
            <v>PLANETA RICA</v>
          </cell>
          <cell r="C513" t="str">
            <v>CORDOBA</v>
          </cell>
          <cell r="D513" t="str">
            <v>MONTERIA</v>
          </cell>
          <cell r="E513" t="str">
            <v>INTERMEDIA</v>
          </cell>
          <cell r="F513" t="str">
            <v>TERRESTRE</v>
          </cell>
        </row>
        <row r="514">
          <cell r="A514">
            <v>23570</v>
          </cell>
          <cell r="B514" t="str">
            <v>PUEBLO NUEVO</v>
          </cell>
          <cell r="C514" t="str">
            <v>CORDOBA</v>
          </cell>
          <cell r="D514" t="str">
            <v>MONTERIA</v>
          </cell>
          <cell r="E514" t="str">
            <v>INTERMEDIA</v>
          </cell>
          <cell r="F514" t="str">
            <v>TERRESTRE</v>
          </cell>
        </row>
        <row r="515">
          <cell r="A515">
            <v>23574</v>
          </cell>
          <cell r="B515" t="str">
            <v>PUERTO ESCONDIDO</v>
          </cell>
          <cell r="C515" t="str">
            <v>CORDOBA</v>
          </cell>
          <cell r="D515" t="str">
            <v>MONTERIA</v>
          </cell>
          <cell r="E515" t="str">
            <v>LEJANA</v>
          </cell>
          <cell r="F515" t="str">
            <v>TERRESTRE</v>
          </cell>
        </row>
        <row r="516">
          <cell r="A516">
            <v>23580</v>
          </cell>
          <cell r="B516" t="str">
            <v>PUERTO LIBERTADOR</v>
          </cell>
          <cell r="C516" t="str">
            <v>CORDOBA</v>
          </cell>
          <cell r="D516" t="str">
            <v>MONTERIA</v>
          </cell>
          <cell r="E516" t="str">
            <v>LEJANA</v>
          </cell>
          <cell r="F516" t="str">
            <v>TERRESTRE</v>
          </cell>
        </row>
        <row r="517">
          <cell r="A517">
            <v>23586</v>
          </cell>
          <cell r="B517" t="str">
            <v>PURISIMA</v>
          </cell>
          <cell r="C517" t="str">
            <v>CORDOBA</v>
          </cell>
          <cell r="D517" t="str">
            <v>MONTERIA</v>
          </cell>
          <cell r="E517" t="str">
            <v>INTERMEDIA</v>
          </cell>
          <cell r="F517" t="str">
            <v>TERRESTRE</v>
          </cell>
        </row>
        <row r="518">
          <cell r="A518">
            <v>23660</v>
          </cell>
          <cell r="B518" t="str">
            <v>SAHAGUN</v>
          </cell>
          <cell r="C518" t="str">
            <v>CORDOBA</v>
          </cell>
          <cell r="D518" t="str">
            <v>MONTERIA</v>
          </cell>
          <cell r="E518" t="str">
            <v>INTERMEDIA</v>
          </cell>
          <cell r="F518" t="str">
            <v>TERRESTRE</v>
          </cell>
        </row>
        <row r="519">
          <cell r="A519">
            <v>23670</v>
          </cell>
          <cell r="B519" t="str">
            <v>SAN ANDRES SOTAVENTO</v>
          </cell>
          <cell r="C519" t="str">
            <v>CORDOBA</v>
          </cell>
          <cell r="D519" t="str">
            <v>MONTERIA</v>
          </cell>
          <cell r="E519" t="str">
            <v>INTERMEDIA</v>
          </cell>
          <cell r="F519" t="str">
            <v>TERRESTRE</v>
          </cell>
        </row>
        <row r="520">
          <cell r="A520">
            <v>23672</v>
          </cell>
          <cell r="B520" t="str">
            <v>SAN ANTERO</v>
          </cell>
          <cell r="C520" t="str">
            <v>CORDOBA</v>
          </cell>
          <cell r="D520" t="str">
            <v>MONTERIA</v>
          </cell>
          <cell r="E520" t="str">
            <v>INTERMEDIA</v>
          </cell>
          <cell r="F520" t="str">
            <v>TERRESTRE</v>
          </cell>
        </row>
        <row r="521">
          <cell r="A521">
            <v>23675</v>
          </cell>
          <cell r="B521" t="str">
            <v>SAN BERNARDO DEL VIENTO</v>
          </cell>
          <cell r="C521" t="str">
            <v>CORDOBA</v>
          </cell>
          <cell r="D521" t="str">
            <v>MONTERIA</v>
          </cell>
          <cell r="E521" t="str">
            <v>INTERMEDIA</v>
          </cell>
          <cell r="F521" t="str">
            <v>TERRESTRE</v>
          </cell>
        </row>
        <row r="522">
          <cell r="A522">
            <v>23686</v>
          </cell>
          <cell r="B522" t="str">
            <v>SAN PELAYO</v>
          </cell>
          <cell r="C522" t="str">
            <v>CORDOBA</v>
          </cell>
          <cell r="D522" t="str">
            <v>MONTERIA</v>
          </cell>
          <cell r="E522" t="str">
            <v>INTERMEDIA</v>
          </cell>
          <cell r="F522" t="str">
            <v>TERRESTRE</v>
          </cell>
        </row>
        <row r="523">
          <cell r="A523">
            <v>23807</v>
          </cell>
          <cell r="B523" t="str">
            <v>TIERRALTA</v>
          </cell>
          <cell r="C523" t="str">
            <v>CORDOBA</v>
          </cell>
          <cell r="D523" t="str">
            <v>MONTERIA</v>
          </cell>
          <cell r="E523" t="str">
            <v>LEJANA</v>
          </cell>
          <cell r="F523" t="str">
            <v>TERRESTRE</v>
          </cell>
        </row>
        <row r="524">
          <cell r="A524">
            <v>23855</v>
          </cell>
          <cell r="B524" t="str">
            <v>VALENCIA</v>
          </cell>
          <cell r="C524" t="str">
            <v>CORDOBA</v>
          </cell>
          <cell r="D524" t="str">
            <v>MONTERIA</v>
          </cell>
          <cell r="E524" t="str">
            <v>LEJANA</v>
          </cell>
          <cell r="F524" t="str">
            <v>TERRESTRE</v>
          </cell>
        </row>
        <row r="525">
          <cell r="A525">
            <v>25019</v>
          </cell>
          <cell r="B525" t="str">
            <v>ALBAN</v>
          </cell>
          <cell r="C525" t="str">
            <v>CUNDINAMARCA</v>
          </cell>
          <cell r="D525" t="str">
            <v>BOGOTA</v>
          </cell>
          <cell r="E525" t="str">
            <v>INTERMEDIA</v>
          </cell>
          <cell r="F525" t="str">
            <v>TERRESTRE</v>
          </cell>
        </row>
        <row r="526">
          <cell r="A526">
            <v>25120</v>
          </cell>
          <cell r="B526" t="str">
            <v>CABRERA</v>
          </cell>
          <cell r="C526" t="str">
            <v>CUNDINAMARCA</v>
          </cell>
          <cell r="D526" t="str">
            <v>BOGOTA</v>
          </cell>
          <cell r="E526" t="str">
            <v>LEJANA</v>
          </cell>
          <cell r="F526" t="str">
            <v>TERRESTRE</v>
          </cell>
        </row>
        <row r="527">
          <cell r="A527">
            <v>25258</v>
          </cell>
          <cell r="B527" t="str">
            <v>EL PEÑON</v>
          </cell>
          <cell r="C527" t="str">
            <v>CUNDINAMARCA</v>
          </cell>
          <cell r="D527" t="str">
            <v>BOGOTA</v>
          </cell>
          <cell r="E527" t="str">
            <v>LEJANA</v>
          </cell>
          <cell r="F527" t="str">
            <v>TERRESTRE</v>
          </cell>
        </row>
        <row r="528">
          <cell r="A528">
            <v>25312</v>
          </cell>
          <cell r="B528" t="str">
            <v>GRANADA</v>
          </cell>
          <cell r="C528" t="str">
            <v>CUNDINAMARCA</v>
          </cell>
          <cell r="D528" t="str">
            <v>BOGOTA</v>
          </cell>
          <cell r="E528" t="str">
            <v>INTERMEDIA</v>
          </cell>
          <cell r="F528" t="str">
            <v>TERRESTRE</v>
          </cell>
        </row>
        <row r="529">
          <cell r="A529">
            <v>25402</v>
          </cell>
          <cell r="B529" t="str">
            <v>LA VEGA</v>
          </cell>
          <cell r="C529" t="str">
            <v>CUNDINAMARCA</v>
          </cell>
          <cell r="D529" t="str">
            <v>BOGOTA</v>
          </cell>
          <cell r="E529" t="str">
            <v>INTERMEDIA</v>
          </cell>
          <cell r="F529" t="str">
            <v>TERRESTRE</v>
          </cell>
        </row>
        <row r="530">
          <cell r="A530">
            <v>25473</v>
          </cell>
          <cell r="B530" t="str">
            <v>MOSQUERA</v>
          </cell>
          <cell r="C530" t="str">
            <v>CUNDINAMARCA</v>
          </cell>
          <cell r="D530" t="str">
            <v>BOGOTA</v>
          </cell>
          <cell r="E530" t="str">
            <v>PRINCIPAL</v>
          </cell>
          <cell r="F530" t="str">
            <v>TERRESTRE</v>
          </cell>
        </row>
        <row r="531">
          <cell r="A531">
            <v>25483</v>
          </cell>
          <cell r="B531" t="str">
            <v>NARIÑO</v>
          </cell>
          <cell r="C531" t="str">
            <v>CUNDINAMARCA</v>
          </cell>
          <cell r="D531" t="str">
            <v>BOGOTA</v>
          </cell>
          <cell r="E531" t="str">
            <v>LEJANA</v>
          </cell>
          <cell r="F531" t="str">
            <v>TERRESTRE</v>
          </cell>
        </row>
        <row r="532">
          <cell r="A532">
            <v>25612</v>
          </cell>
          <cell r="B532" t="str">
            <v>RICAURTE</v>
          </cell>
          <cell r="C532" t="str">
            <v>CUNDINAMARCA</v>
          </cell>
          <cell r="D532" t="str">
            <v>BOGOTA</v>
          </cell>
          <cell r="E532" t="str">
            <v>LEJANA</v>
          </cell>
          <cell r="F532" t="str">
            <v>TERRESTRE</v>
          </cell>
        </row>
        <row r="533">
          <cell r="A533">
            <v>25649</v>
          </cell>
          <cell r="B533" t="str">
            <v>SAN BERNARDO</v>
          </cell>
          <cell r="C533" t="str">
            <v>CUNDINAMARCA</v>
          </cell>
          <cell r="D533" t="str">
            <v>BOGOTA</v>
          </cell>
          <cell r="E533" t="str">
            <v>LEJANA</v>
          </cell>
          <cell r="F533" t="str">
            <v>TERRESTRE</v>
          </cell>
        </row>
        <row r="534">
          <cell r="A534">
            <v>25653</v>
          </cell>
          <cell r="B534" t="str">
            <v>SAN CAYETANO</v>
          </cell>
          <cell r="C534" t="str">
            <v>CUNDINAMARCA</v>
          </cell>
          <cell r="D534" t="str">
            <v>BOGOTA</v>
          </cell>
          <cell r="E534" t="str">
            <v>LEJANA</v>
          </cell>
          <cell r="F534" t="str">
            <v>TERRESTRE</v>
          </cell>
        </row>
        <row r="535">
          <cell r="A535">
            <v>25658</v>
          </cell>
          <cell r="B535" t="str">
            <v>SAN FRANCISCO</v>
          </cell>
          <cell r="C535" t="str">
            <v>CUNDINAMARCA</v>
          </cell>
          <cell r="D535" t="str">
            <v>BOGOTA</v>
          </cell>
          <cell r="E535" t="str">
            <v>INTERMEDIA</v>
          </cell>
          <cell r="F535" t="str">
            <v>TERRESTRE</v>
          </cell>
        </row>
        <row r="536">
          <cell r="A536">
            <v>25506</v>
          </cell>
          <cell r="B536" t="str">
            <v>VENECIA</v>
          </cell>
          <cell r="C536" t="str">
            <v>CUNDINAMARCA</v>
          </cell>
          <cell r="D536" t="str">
            <v>BOGOTA</v>
          </cell>
          <cell r="E536" t="str">
            <v>LEJANA</v>
          </cell>
          <cell r="F536" t="str">
            <v>TERRESTRE</v>
          </cell>
        </row>
        <row r="537">
          <cell r="A537">
            <v>25001</v>
          </cell>
          <cell r="B537" t="str">
            <v>AGUA DE DIOS</v>
          </cell>
          <cell r="C537" t="str">
            <v>CUNDINAMARCA</v>
          </cell>
          <cell r="D537" t="str">
            <v>BOGOTA</v>
          </cell>
          <cell r="E537" t="str">
            <v>LEJANA</v>
          </cell>
          <cell r="F537" t="str">
            <v>TERRESTRE</v>
          </cell>
        </row>
        <row r="538">
          <cell r="A538">
            <v>25035</v>
          </cell>
          <cell r="B538" t="str">
            <v>ANAPOIMA</v>
          </cell>
          <cell r="C538" t="str">
            <v>CUNDINAMARCA</v>
          </cell>
          <cell r="D538" t="str">
            <v>BOGOTA</v>
          </cell>
          <cell r="E538" t="str">
            <v>INTERMEDIA</v>
          </cell>
          <cell r="F538" t="str">
            <v>TERRESTRE</v>
          </cell>
        </row>
        <row r="539">
          <cell r="A539">
            <v>25040</v>
          </cell>
          <cell r="B539" t="str">
            <v>ANOLAIMA</v>
          </cell>
          <cell r="C539" t="str">
            <v>CUNDINAMARCA</v>
          </cell>
          <cell r="D539" t="str">
            <v>BOGOTA</v>
          </cell>
          <cell r="E539" t="str">
            <v>INTERMEDIA</v>
          </cell>
          <cell r="F539" t="str">
            <v>TERRESTRE</v>
          </cell>
        </row>
        <row r="540">
          <cell r="A540">
            <v>25599</v>
          </cell>
          <cell r="B540" t="str">
            <v>APULO</v>
          </cell>
          <cell r="C540" t="str">
            <v>CUNDINAMARCA</v>
          </cell>
          <cell r="D540" t="str">
            <v>BOGOTA</v>
          </cell>
          <cell r="E540" t="str">
            <v>LEJANA</v>
          </cell>
          <cell r="F540" t="str">
            <v>TERRESTRE</v>
          </cell>
        </row>
        <row r="541">
          <cell r="A541">
            <v>25053</v>
          </cell>
          <cell r="B541" t="str">
            <v>ARBELAEZ</v>
          </cell>
          <cell r="C541" t="str">
            <v>CUNDINAMARCA</v>
          </cell>
          <cell r="D541" t="str">
            <v>BOGOTA</v>
          </cell>
          <cell r="E541" t="str">
            <v>INTERMEDIA</v>
          </cell>
          <cell r="F541" t="str">
            <v>TERRESTRE</v>
          </cell>
        </row>
        <row r="542">
          <cell r="A542">
            <v>25086</v>
          </cell>
          <cell r="B542" t="str">
            <v>BELTRAN</v>
          </cell>
          <cell r="C542" t="str">
            <v>CUNDINAMARCA</v>
          </cell>
          <cell r="D542" t="str">
            <v>BOGOTA</v>
          </cell>
          <cell r="E542" t="str">
            <v>LEJANA</v>
          </cell>
          <cell r="F542" t="str">
            <v>TERRESTRE</v>
          </cell>
        </row>
        <row r="543">
          <cell r="A543">
            <v>25095</v>
          </cell>
          <cell r="B543" t="str">
            <v>BITUIMA</v>
          </cell>
          <cell r="C543" t="str">
            <v>CUNDINAMARCA</v>
          </cell>
          <cell r="D543" t="str">
            <v>BOGOTA</v>
          </cell>
          <cell r="E543" t="str">
            <v>LEJANA</v>
          </cell>
          <cell r="F543" t="str">
            <v>TERRESTRE</v>
          </cell>
        </row>
        <row r="544">
          <cell r="A544">
            <v>11001</v>
          </cell>
          <cell r="B544" t="str">
            <v>BOGOTA</v>
          </cell>
          <cell r="C544" t="str">
            <v>CUNDINAMARCA</v>
          </cell>
          <cell r="D544" t="str">
            <v>BOGOTA</v>
          </cell>
          <cell r="E544" t="str">
            <v>PRINCIPAL</v>
          </cell>
          <cell r="F544" t="str">
            <v>TERRESTRE</v>
          </cell>
        </row>
        <row r="545">
          <cell r="A545">
            <v>25099</v>
          </cell>
          <cell r="B545" t="str">
            <v>BOJACA</v>
          </cell>
          <cell r="C545" t="str">
            <v>CUNDINAMARCA</v>
          </cell>
          <cell r="D545" t="str">
            <v>BOGOTA</v>
          </cell>
          <cell r="E545" t="str">
            <v>INTERMEDIA</v>
          </cell>
          <cell r="F545" t="str">
            <v>TERRESTRE</v>
          </cell>
        </row>
        <row r="546">
          <cell r="A546">
            <v>25123</v>
          </cell>
          <cell r="B546" t="str">
            <v>CACHIPAY</v>
          </cell>
          <cell r="C546" t="str">
            <v>CUNDINAMARCA</v>
          </cell>
          <cell r="D546" t="str">
            <v>BOGOTA</v>
          </cell>
          <cell r="E546" t="str">
            <v>INTERMEDIA</v>
          </cell>
          <cell r="F546" t="str">
            <v>TERRESTRE</v>
          </cell>
        </row>
        <row r="547">
          <cell r="A547">
            <v>25126</v>
          </cell>
          <cell r="B547" t="str">
            <v>CAJICA</v>
          </cell>
          <cell r="C547" t="str">
            <v>CUNDINAMARCA</v>
          </cell>
          <cell r="D547" t="str">
            <v>BOGOTA</v>
          </cell>
          <cell r="E547" t="str">
            <v>INTERMEDIA</v>
          </cell>
          <cell r="F547" t="str">
            <v>TERRESTRE</v>
          </cell>
        </row>
        <row r="548">
          <cell r="A548">
            <v>25148</v>
          </cell>
          <cell r="B548" t="str">
            <v>CAPARRAPI</v>
          </cell>
          <cell r="C548" t="str">
            <v>CUNDINAMARCA</v>
          </cell>
          <cell r="D548" t="str">
            <v>BOGOTA</v>
          </cell>
          <cell r="E548" t="str">
            <v>LEJANA</v>
          </cell>
          <cell r="F548" t="str">
            <v>TERRESTRE</v>
          </cell>
        </row>
        <row r="549">
          <cell r="A549">
            <v>25151</v>
          </cell>
          <cell r="B549" t="str">
            <v>CAQUEZA</v>
          </cell>
          <cell r="C549" t="str">
            <v>CUNDINAMARCA</v>
          </cell>
          <cell r="D549" t="str">
            <v>BOGOTA</v>
          </cell>
          <cell r="E549" t="str">
            <v>INTERMEDIA</v>
          </cell>
          <cell r="F549" t="str">
            <v>TERRESTRE</v>
          </cell>
        </row>
        <row r="550">
          <cell r="A550">
            <v>25154</v>
          </cell>
          <cell r="B550" t="str">
            <v>CARMEN DE CARUPA</v>
          </cell>
          <cell r="C550" t="str">
            <v>CUNDINAMARCA</v>
          </cell>
          <cell r="D550" t="str">
            <v>BOGOTA</v>
          </cell>
          <cell r="E550" t="str">
            <v>LEJANA</v>
          </cell>
          <cell r="F550" t="str">
            <v>TERRESTRE</v>
          </cell>
        </row>
        <row r="551">
          <cell r="A551">
            <v>25168</v>
          </cell>
          <cell r="B551" t="str">
            <v>CHAGUANI</v>
          </cell>
          <cell r="C551" t="str">
            <v>CUNDINAMARCA</v>
          </cell>
          <cell r="D551" t="str">
            <v>BOGOTA</v>
          </cell>
          <cell r="E551" t="str">
            <v>LEJANA</v>
          </cell>
          <cell r="F551" t="str">
            <v>TERRESTRE</v>
          </cell>
        </row>
        <row r="552">
          <cell r="A552">
            <v>25175</v>
          </cell>
          <cell r="B552" t="str">
            <v>CHIA</v>
          </cell>
          <cell r="C552" t="str">
            <v>CUNDINAMARCA</v>
          </cell>
          <cell r="D552" t="str">
            <v>BOGOTA</v>
          </cell>
          <cell r="E552" t="str">
            <v>INTERMEDIA</v>
          </cell>
          <cell r="F552" t="str">
            <v>TERRESTRE</v>
          </cell>
        </row>
        <row r="553">
          <cell r="A553">
            <v>25178</v>
          </cell>
          <cell r="B553" t="str">
            <v>CHIPAQUE</v>
          </cell>
          <cell r="C553" t="str">
            <v>CUNDINAMARCA</v>
          </cell>
          <cell r="D553" t="str">
            <v>BOGOTA</v>
          </cell>
          <cell r="E553" t="str">
            <v>INTERMEDIA</v>
          </cell>
          <cell r="F553" t="str">
            <v>TERRESTRE</v>
          </cell>
        </row>
        <row r="554">
          <cell r="A554">
            <v>25181</v>
          </cell>
          <cell r="B554" t="str">
            <v>CHOACHI</v>
          </cell>
          <cell r="C554" t="str">
            <v>CUNDINAMARCA</v>
          </cell>
          <cell r="D554" t="str">
            <v>BOGOTA</v>
          </cell>
          <cell r="E554" t="str">
            <v>INTERMEDIA</v>
          </cell>
          <cell r="F554" t="str">
            <v>TERRESTRE</v>
          </cell>
        </row>
        <row r="555">
          <cell r="A555">
            <v>25183</v>
          </cell>
          <cell r="B555" t="str">
            <v>CHOCONTA</v>
          </cell>
          <cell r="C555" t="str">
            <v>CUNDINAMARCA</v>
          </cell>
          <cell r="D555" t="str">
            <v>TUNJA</v>
          </cell>
          <cell r="E555" t="str">
            <v>INTERMEDIA</v>
          </cell>
          <cell r="F555" t="str">
            <v>TERRESTRE</v>
          </cell>
        </row>
        <row r="556">
          <cell r="A556">
            <v>25200</v>
          </cell>
          <cell r="B556" t="str">
            <v>COGUA</v>
          </cell>
          <cell r="C556" t="str">
            <v>CUNDINAMARCA</v>
          </cell>
          <cell r="D556" t="str">
            <v>BOGOTA</v>
          </cell>
          <cell r="E556" t="str">
            <v>INTERMEDIA</v>
          </cell>
          <cell r="F556" t="str">
            <v>TERRESTRE</v>
          </cell>
        </row>
        <row r="557">
          <cell r="A557">
            <v>25214</v>
          </cell>
          <cell r="B557" t="str">
            <v>COTA</v>
          </cell>
          <cell r="C557" t="str">
            <v>CUNDINAMARCA</v>
          </cell>
          <cell r="D557" t="str">
            <v>BOGOTA</v>
          </cell>
          <cell r="E557" t="str">
            <v>INTERMEDIA</v>
          </cell>
          <cell r="F557" t="str">
            <v>TERRESTRE</v>
          </cell>
        </row>
        <row r="558">
          <cell r="A558">
            <v>25224</v>
          </cell>
          <cell r="B558" t="str">
            <v>CUCUNUBA</v>
          </cell>
          <cell r="C558" t="str">
            <v>CUNDINAMARCA</v>
          </cell>
          <cell r="D558" t="str">
            <v>BOGOTA</v>
          </cell>
          <cell r="E558" t="str">
            <v>LEJANA</v>
          </cell>
          <cell r="F558" t="str">
            <v>TERRESTRE</v>
          </cell>
        </row>
        <row r="559">
          <cell r="A559">
            <v>25245</v>
          </cell>
          <cell r="B559" t="str">
            <v>EL COLEGIO</v>
          </cell>
          <cell r="C559" t="str">
            <v>CUNDINAMARCA</v>
          </cell>
          <cell r="D559" t="str">
            <v>BOGOTA</v>
          </cell>
          <cell r="E559" t="str">
            <v>INTERMEDIA</v>
          </cell>
          <cell r="F559" t="str">
            <v>TERRESTRE</v>
          </cell>
        </row>
        <row r="560">
          <cell r="A560">
            <v>25260</v>
          </cell>
          <cell r="B560" t="str">
            <v>EL ROSAL</v>
          </cell>
          <cell r="C560" t="str">
            <v>CUNDINAMARCA</v>
          </cell>
          <cell r="D560" t="str">
            <v>BOGOTA</v>
          </cell>
          <cell r="E560" t="str">
            <v>INTERMEDIA</v>
          </cell>
          <cell r="F560" t="str">
            <v>TERRESTRE</v>
          </cell>
        </row>
        <row r="561">
          <cell r="A561">
            <v>25269</v>
          </cell>
          <cell r="B561" t="str">
            <v>FACATATIVA</v>
          </cell>
          <cell r="C561" t="str">
            <v>CUNDINAMARCA</v>
          </cell>
          <cell r="D561" t="str">
            <v>BOGOTA</v>
          </cell>
          <cell r="E561" t="str">
            <v>INTERMEDIA</v>
          </cell>
          <cell r="F561" t="str">
            <v>TERRESTRE</v>
          </cell>
        </row>
        <row r="562">
          <cell r="A562">
            <v>25279</v>
          </cell>
          <cell r="B562" t="str">
            <v>FOMEQUE</v>
          </cell>
          <cell r="C562" t="str">
            <v>CUNDINAMARCA</v>
          </cell>
          <cell r="D562" t="str">
            <v>BOGOTA</v>
          </cell>
          <cell r="E562" t="str">
            <v>INTERMEDIA</v>
          </cell>
          <cell r="F562" t="str">
            <v>TERRESTRE</v>
          </cell>
        </row>
        <row r="563">
          <cell r="A563">
            <v>25281</v>
          </cell>
          <cell r="B563" t="str">
            <v>FOSCA</v>
          </cell>
          <cell r="C563" t="str">
            <v>CUNDINAMARCA</v>
          </cell>
          <cell r="D563" t="str">
            <v>BOGOTA</v>
          </cell>
          <cell r="E563" t="str">
            <v>INTERMEDIA</v>
          </cell>
          <cell r="F563" t="str">
            <v>TERRESTRE</v>
          </cell>
        </row>
        <row r="564">
          <cell r="A564">
            <v>25286</v>
          </cell>
          <cell r="B564" t="str">
            <v>FUNZA</v>
          </cell>
          <cell r="C564" t="str">
            <v>CUNDINAMARCA</v>
          </cell>
          <cell r="D564" t="str">
            <v>BOGOTA</v>
          </cell>
          <cell r="E564" t="str">
            <v>INTERMEDIA</v>
          </cell>
          <cell r="F564" t="str">
            <v>TERRESTRE</v>
          </cell>
        </row>
        <row r="565">
          <cell r="A565">
            <v>25288</v>
          </cell>
          <cell r="B565" t="str">
            <v>FUQUENE</v>
          </cell>
          <cell r="C565" t="str">
            <v>CUNDINAMARCA</v>
          </cell>
          <cell r="D565" t="str">
            <v>BOGOTA</v>
          </cell>
          <cell r="E565" t="str">
            <v>LEJANA</v>
          </cell>
          <cell r="F565" t="str">
            <v>TERRESTRE</v>
          </cell>
        </row>
        <row r="566">
          <cell r="A566">
            <v>25290</v>
          </cell>
          <cell r="B566" t="str">
            <v>FUSAGASUGA</v>
          </cell>
          <cell r="C566" t="str">
            <v>CUNDINAMARCA</v>
          </cell>
          <cell r="D566" t="str">
            <v>BOGOTA</v>
          </cell>
          <cell r="E566" t="str">
            <v>INTERMEDIA</v>
          </cell>
          <cell r="F566" t="str">
            <v>TERRESTRE</v>
          </cell>
        </row>
        <row r="567">
          <cell r="A567">
            <v>25293</v>
          </cell>
          <cell r="B567" t="str">
            <v>GACHALA</v>
          </cell>
          <cell r="C567" t="str">
            <v>CUNDINAMARCA</v>
          </cell>
          <cell r="D567" t="str">
            <v>BOGOTA</v>
          </cell>
          <cell r="E567" t="str">
            <v>LEJANA</v>
          </cell>
          <cell r="F567" t="str">
            <v>TERRESTRE</v>
          </cell>
        </row>
        <row r="568">
          <cell r="A568">
            <v>25295</v>
          </cell>
          <cell r="B568" t="str">
            <v>GACHANCIPA</v>
          </cell>
          <cell r="C568" t="str">
            <v>CUNDINAMARCA</v>
          </cell>
          <cell r="D568" t="str">
            <v>BOGOTA</v>
          </cell>
          <cell r="E568" t="str">
            <v>INTERMEDIA</v>
          </cell>
          <cell r="F568" t="str">
            <v>TERRESTRE</v>
          </cell>
        </row>
        <row r="569">
          <cell r="A569">
            <v>25297</v>
          </cell>
          <cell r="B569" t="str">
            <v>GACHETA</v>
          </cell>
          <cell r="C569" t="str">
            <v>CUNDINAMARCA</v>
          </cell>
          <cell r="D569" t="str">
            <v>BOGOTA</v>
          </cell>
          <cell r="E569" t="str">
            <v>LEJANA</v>
          </cell>
          <cell r="F569" t="str">
            <v>TERRESTRE</v>
          </cell>
        </row>
        <row r="570">
          <cell r="A570">
            <v>25299</v>
          </cell>
          <cell r="B570" t="str">
            <v>GAMA</v>
          </cell>
          <cell r="C570" t="str">
            <v>CUNDINAMARCA</v>
          </cell>
          <cell r="D570" t="str">
            <v>BOGOTA</v>
          </cell>
          <cell r="E570" t="str">
            <v>LEJANA</v>
          </cell>
          <cell r="F570" t="str">
            <v>TERRESTRE</v>
          </cell>
        </row>
        <row r="571">
          <cell r="A571">
            <v>25307</v>
          </cell>
          <cell r="B571" t="str">
            <v>GIRARDOT</v>
          </cell>
          <cell r="C571" t="str">
            <v>CUNDINAMARCA</v>
          </cell>
          <cell r="D571" t="str">
            <v>BOGOTA</v>
          </cell>
          <cell r="E571" t="str">
            <v>LEJANA</v>
          </cell>
          <cell r="F571" t="str">
            <v>TERRESTRE</v>
          </cell>
        </row>
        <row r="572">
          <cell r="A572">
            <v>25317</v>
          </cell>
          <cell r="B572" t="str">
            <v>GUACHETA</v>
          </cell>
          <cell r="C572" t="str">
            <v>CUNDINAMARCA</v>
          </cell>
          <cell r="D572" t="str">
            <v>BOGOTA</v>
          </cell>
          <cell r="E572" t="str">
            <v>LEJANA</v>
          </cell>
          <cell r="F572" t="str">
            <v>TERRESTRE</v>
          </cell>
        </row>
        <row r="573">
          <cell r="A573">
            <v>25320</v>
          </cell>
          <cell r="B573" t="str">
            <v>GUADUAS</v>
          </cell>
          <cell r="C573" t="str">
            <v>CUNDINAMARCA</v>
          </cell>
          <cell r="D573" t="str">
            <v>BOGOTA</v>
          </cell>
          <cell r="E573" t="str">
            <v>LEJANA</v>
          </cell>
          <cell r="F573" t="str">
            <v>TERRESTRE</v>
          </cell>
        </row>
        <row r="574">
          <cell r="A574">
            <v>25322</v>
          </cell>
          <cell r="B574" t="str">
            <v>GUASCA</v>
          </cell>
          <cell r="C574" t="str">
            <v>CUNDINAMARCA</v>
          </cell>
          <cell r="D574" t="str">
            <v>BOGOTA</v>
          </cell>
          <cell r="E574" t="str">
            <v>INTERMEDIA</v>
          </cell>
          <cell r="F574" t="str">
            <v>TERRESTRE</v>
          </cell>
        </row>
        <row r="575">
          <cell r="A575">
            <v>25324</v>
          </cell>
          <cell r="B575" t="str">
            <v>GUATAQUI</v>
          </cell>
          <cell r="C575" t="str">
            <v>CUNDINAMARCA</v>
          </cell>
          <cell r="D575" t="str">
            <v>IBAGUE</v>
          </cell>
          <cell r="E575" t="str">
            <v>LEJANA</v>
          </cell>
          <cell r="F575" t="str">
            <v>TERRESTRE</v>
          </cell>
        </row>
        <row r="576">
          <cell r="A576">
            <v>25326</v>
          </cell>
          <cell r="B576" t="str">
            <v>GUATAVITA</v>
          </cell>
          <cell r="C576" t="str">
            <v>CUNDINAMARCA</v>
          </cell>
          <cell r="D576" t="str">
            <v>BOGOTA</v>
          </cell>
          <cell r="E576" t="str">
            <v>INTERMEDIA</v>
          </cell>
          <cell r="F576" t="str">
            <v>TERRESTRE</v>
          </cell>
        </row>
        <row r="577">
          <cell r="A577">
            <v>25328</v>
          </cell>
          <cell r="B577" t="str">
            <v>GUAYABAL DE SIQUIMA</v>
          </cell>
          <cell r="C577" t="str">
            <v>CUNDINAMARCA</v>
          </cell>
          <cell r="D577" t="str">
            <v>BOGOTA</v>
          </cell>
          <cell r="E577" t="str">
            <v>LEJANA</v>
          </cell>
          <cell r="F577" t="str">
            <v>TERRESTRE</v>
          </cell>
        </row>
        <row r="578">
          <cell r="A578">
            <v>25335</v>
          </cell>
          <cell r="B578" t="str">
            <v>GUAYABETAL</v>
          </cell>
          <cell r="C578" t="str">
            <v>CUNDINAMARCA</v>
          </cell>
          <cell r="D578" t="str">
            <v>VILLAVICENCIO</v>
          </cell>
          <cell r="E578" t="str">
            <v>INTERMEDIA</v>
          </cell>
          <cell r="F578" t="str">
            <v>TERRESTRE</v>
          </cell>
        </row>
        <row r="579">
          <cell r="A579">
            <v>25339</v>
          </cell>
          <cell r="B579" t="str">
            <v>GUTIERREZ</v>
          </cell>
          <cell r="C579" t="str">
            <v>CUNDINAMARCA</v>
          </cell>
          <cell r="D579" t="str">
            <v>BOGOTA</v>
          </cell>
          <cell r="E579" t="str">
            <v>LEJANA</v>
          </cell>
          <cell r="F579" t="str">
            <v>TERRESTRE</v>
          </cell>
        </row>
        <row r="580">
          <cell r="A580">
            <v>25368</v>
          </cell>
          <cell r="B580" t="str">
            <v>JERUSALEN</v>
          </cell>
          <cell r="C580" t="str">
            <v>CUNDINAMARCA</v>
          </cell>
          <cell r="D580" t="str">
            <v>BOGOTA</v>
          </cell>
          <cell r="E580" t="str">
            <v>LEJANA</v>
          </cell>
          <cell r="F580" t="str">
            <v>TERRESTRE</v>
          </cell>
        </row>
        <row r="581">
          <cell r="A581">
            <v>25372</v>
          </cell>
          <cell r="B581" t="str">
            <v>JUNIN</v>
          </cell>
          <cell r="C581" t="str">
            <v>CUNDINAMARCA</v>
          </cell>
          <cell r="D581" t="str">
            <v>BOGOTA</v>
          </cell>
          <cell r="E581" t="str">
            <v>LEJANA</v>
          </cell>
          <cell r="F581" t="str">
            <v>TERRESTRE</v>
          </cell>
        </row>
        <row r="582">
          <cell r="A582">
            <v>25377</v>
          </cell>
          <cell r="B582" t="str">
            <v>LA CALERA</v>
          </cell>
          <cell r="C582" t="str">
            <v>CUNDINAMARCA</v>
          </cell>
          <cell r="D582" t="str">
            <v>BOGOTA</v>
          </cell>
          <cell r="E582" t="str">
            <v>INTERMEDIA</v>
          </cell>
          <cell r="F582" t="str">
            <v>TERRESTRE</v>
          </cell>
        </row>
        <row r="583">
          <cell r="A583">
            <v>25386</v>
          </cell>
          <cell r="B583" t="str">
            <v>LA MESA</v>
          </cell>
          <cell r="C583" t="str">
            <v>CUNDINAMARCA</v>
          </cell>
          <cell r="D583" t="str">
            <v>BOGOTA</v>
          </cell>
          <cell r="E583" t="str">
            <v>INTERMEDIA</v>
          </cell>
          <cell r="F583" t="str">
            <v>TERRESTRE</v>
          </cell>
        </row>
        <row r="584">
          <cell r="A584">
            <v>25394</v>
          </cell>
          <cell r="B584" t="str">
            <v>LA PALMA</v>
          </cell>
          <cell r="C584" t="str">
            <v>CUNDINAMARCA</v>
          </cell>
          <cell r="D584" t="str">
            <v>BOGOTA</v>
          </cell>
          <cell r="E584" t="str">
            <v>LEJANA</v>
          </cell>
          <cell r="F584" t="str">
            <v>TERRESTRE</v>
          </cell>
        </row>
        <row r="585">
          <cell r="A585">
            <v>25398</v>
          </cell>
          <cell r="B585" t="str">
            <v>LA PEÑA</v>
          </cell>
          <cell r="C585" t="str">
            <v>CUNDINAMARCA</v>
          </cell>
          <cell r="D585" t="str">
            <v>BOGOTA</v>
          </cell>
          <cell r="E585" t="str">
            <v>LEJANA</v>
          </cell>
          <cell r="F585" t="str">
            <v>TERRESTRE</v>
          </cell>
        </row>
        <row r="586">
          <cell r="A586">
            <v>25407</v>
          </cell>
          <cell r="B586" t="str">
            <v>LENGUAZAQUE</v>
          </cell>
          <cell r="C586" t="str">
            <v>CUNDINAMARCA</v>
          </cell>
          <cell r="D586" t="str">
            <v>BOGOTA</v>
          </cell>
          <cell r="E586" t="str">
            <v>LEJANA</v>
          </cell>
          <cell r="F586" t="str">
            <v>TERRESTRE</v>
          </cell>
        </row>
        <row r="587">
          <cell r="A587">
            <v>25426</v>
          </cell>
          <cell r="B587" t="str">
            <v>MACHETA</v>
          </cell>
          <cell r="C587" t="str">
            <v>CUNDINAMARCA</v>
          </cell>
          <cell r="D587" t="str">
            <v>BOGOTA</v>
          </cell>
          <cell r="E587" t="str">
            <v>LEJANA</v>
          </cell>
          <cell r="F587" t="str">
            <v>TERRESTRE</v>
          </cell>
        </row>
        <row r="588">
          <cell r="A588">
            <v>25430</v>
          </cell>
          <cell r="B588" t="str">
            <v>MADRID</v>
          </cell>
          <cell r="C588" t="str">
            <v>CUNDINAMARCA</v>
          </cell>
          <cell r="D588" t="str">
            <v>BOGOTA</v>
          </cell>
          <cell r="E588" t="str">
            <v>INTERMEDIA</v>
          </cell>
          <cell r="F588" t="str">
            <v>TERRESTRE</v>
          </cell>
        </row>
        <row r="589">
          <cell r="A589">
            <v>25436</v>
          </cell>
          <cell r="B589" t="str">
            <v>MANTA</v>
          </cell>
          <cell r="C589" t="str">
            <v>CUNDINAMARCA</v>
          </cell>
          <cell r="D589" t="str">
            <v>BOGOTA</v>
          </cell>
          <cell r="E589" t="str">
            <v>LEJANA</v>
          </cell>
          <cell r="F589" t="str">
            <v>TERRESTRE</v>
          </cell>
        </row>
        <row r="590">
          <cell r="A590">
            <v>25438</v>
          </cell>
          <cell r="B590" t="str">
            <v>MEDINA</v>
          </cell>
          <cell r="C590" t="str">
            <v>CUNDINAMARCA</v>
          </cell>
          <cell r="D590" t="str">
            <v>VILLAVICENCIO</v>
          </cell>
          <cell r="E590" t="str">
            <v>LEJANA</v>
          </cell>
          <cell r="F590" t="str">
            <v>TERRESTRE</v>
          </cell>
        </row>
        <row r="591">
          <cell r="A591">
            <v>25486</v>
          </cell>
          <cell r="B591" t="str">
            <v>NEMOCON</v>
          </cell>
          <cell r="C591" t="str">
            <v>CUNDINAMARCA</v>
          </cell>
          <cell r="D591" t="str">
            <v>BOGOTA</v>
          </cell>
          <cell r="E591" t="str">
            <v>INTERMEDIA</v>
          </cell>
          <cell r="F591" t="str">
            <v>TERRESTRE</v>
          </cell>
        </row>
        <row r="592">
          <cell r="A592">
            <v>25488</v>
          </cell>
          <cell r="B592" t="str">
            <v>NILO</v>
          </cell>
          <cell r="C592" t="str">
            <v>CUNDINAMARCA</v>
          </cell>
          <cell r="D592" t="str">
            <v>BOGOTA</v>
          </cell>
          <cell r="E592" t="str">
            <v>LEJANA</v>
          </cell>
          <cell r="F592" t="str">
            <v>TERRESTRE</v>
          </cell>
        </row>
        <row r="593">
          <cell r="A593">
            <v>25489</v>
          </cell>
          <cell r="B593" t="str">
            <v>NIMAIMA</v>
          </cell>
          <cell r="C593" t="str">
            <v>CUNDINAMARCA</v>
          </cell>
          <cell r="D593" t="str">
            <v>BOGOTA</v>
          </cell>
          <cell r="E593" t="str">
            <v>LEJANA</v>
          </cell>
          <cell r="F593" t="str">
            <v>TERRESTRE</v>
          </cell>
        </row>
        <row r="594">
          <cell r="A594">
            <v>25491</v>
          </cell>
          <cell r="B594" t="str">
            <v>NOCAIMA</v>
          </cell>
          <cell r="C594" t="str">
            <v>CUNDINAMARCA</v>
          </cell>
          <cell r="D594" t="str">
            <v>BOGOTA</v>
          </cell>
          <cell r="E594" t="str">
            <v>LEJANA</v>
          </cell>
          <cell r="F594" t="str">
            <v>TERRESTRE</v>
          </cell>
        </row>
        <row r="595">
          <cell r="A595">
            <v>25513</v>
          </cell>
          <cell r="B595" t="str">
            <v>PACHO</v>
          </cell>
          <cell r="C595" t="str">
            <v>CUNDINAMARCA</v>
          </cell>
          <cell r="D595" t="str">
            <v>BOGOTA</v>
          </cell>
          <cell r="E595" t="str">
            <v>LEJANA</v>
          </cell>
          <cell r="F595" t="str">
            <v>TERRESTRE</v>
          </cell>
        </row>
        <row r="596">
          <cell r="A596">
            <v>25518</v>
          </cell>
          <cell r="B596" t="str">
            <v>PAIME</v>
          </cell>
          <cell r="C596" t="str">
            <v>CUNDINAMARCA</v>
          </cell>
          <cell r="D596" t="str">
            <v>BOGOTA</v>
          </cell>
          <cell r="E596" t="str">
            <v>LEJANA</v>
          </cell>
          <cell r="F596" t="str">
            <v>TERRESTRE</v>
          </cell>
        </row>
        <row r="597">
          <cell r="A597">
            <v>25524</v>
          </cell>
          <cell r="B597" t="str">
            <v>PANDI</v>
          </cell>
          <cell r="C597" t="str">
            <v>CUNDINAMARCA</v>
          </cell>
          <cell r="D597" t="str">
            <v>BOGOTA</v>
          </cell>
          <cell r="E597" t="str">
            <v>LEJANA</v>
          </cell>
          <cell r="F597" t="str">
            <v>TERRESTRE</v>
          </cell>
        </row>
        <row r="598">
          <cell r="A598">
            <v>25530</v>
          </cell>
          <cell r="B598" t="str">
            <v>PARATEBUENO</v>
          </cell>
          <cell r="C598" t="str">
            <v>CUNDINAMARCA</v>
          </cell>
          <cell r="D598" t="str">
            <v>VILLAVICENCIO</v>
          </cell>
          <cell r="E598" t="str">
            <v>LEJANA</v>
          </cell>
          <cell r="F598" t="str">
            <v>TERRESTRE</v>
          </cell>
        </row>
        <row r="599">
          <cell r="A599">
            <v>25535</v>
          </cell>
          <cell r="B599" t="str">
            <v>PASCA</v>
          </cell>
          <cell r="C599" t="str">
            <v>CUNDINAMARCA</v>
          </cell>
          <cell r="D599" t="str">
            <v>BOGOTA</v>
          </cell>
          <cell r="E599" t="str">
            <v>INTERMEDIA</v>
          </cell>
          <cell r="F599" t="str">
            <v>TERRESTRE</v>
          </cell>
        </row>
        <row r="600">
          <cell r="A600">
            <v>25572</v>
          </cell>
          <cell r="B600" t="str">
            <v>PUERTO SALGAR</v>
          </cell>
          <cell r="C600" t="str">
            <v>CUNDINAMARCA</v>
          </cell>
          <cell r="D600" t="str">
            <v>BOGOTA</v>
          </cell>
          <cell r="E600" t="str">
            <v>LEJANA</v>
          </cell>
          <cell r="F600" t="str">
            <v>TERRESTRE</v>
          </cell>
        </row>
        <row r="601">
          <cell r="A601">
            <v>25580</v>
          </cell>
          <cell r="B601" t="str">
            <v>PULI</v>
          </cell>
          <cell r="C601" t="str">
            <v>CUNDINAMARCA</v>
          </cell>
          <cell r="D601" t="str">
            <v>BOGOTA</v>
          </cell>
          <cell r="E601" t="str">
            <v>LEJANA</v>
          </cell>
          <cell r="F601" t="str">
            <v>TERRESTRE</v>
          </cell>
        </row>
        <row r="602">
          <cell r="A602">
            <v>25592</v>
          </cell>
          <cell r="B602" t="str">
            <v>QUEBRADANEGRA</v>
          </cell>
          <cell r="C602" t="str">
            <v>CUNDINAMARCA</v>
          </cell>
          <cell r="D602" t="str">
            <v>BOGOTA</v>
          </cell>
          <cell r="E602" t="str">
            <v>LEJANA</v>
          </cell>
          <cell r="F602" t="str">
            <v>TERRESTRE</v>
          </cell>
        </row>
        <row r="603">
          <cell r="A603">
            <v>25594</v>
          </cell>
          <cell r="B603" t="str">
            <v>QUETAME</v>
          </cell>
          <cell r="C603" t="str">
            <v>CUNDINAMARCA</v>
          </cell>
          <cell r="D603" t="str">
            <v>BOGOTA</v>
          </cell>
          <cell r="E603" t="str">
            <v>LEJANA</v>
          </cell>
          <cell r="F603" t="str">
            <v>TERRESTRE</v>
          </cell>
        </row>
        <row r="604">
          <cell r="A604">
            <v>25596</v>
          </cell>
          <cell r="B604" t="str">
            <v>QUIPILE</v>
          </cell>
          <cell r="C604" t="str">
            <v>CUNDINAMARCA</v>
          </cell>
          <cell r="D604" t="str">
            <v>BOGOTA</v>
          </cell>
          <cell r="E604" t="str">
            <v>LEJANA</v>
          </cell>
          <cell r="F604" t="str">
            <v>TERRESTRE</v>
          </cell>
        </row>
        <row r="605">
          <cell r="A605">
            <v>25645</v>
          </cell>
          <cell r="B605" t="str">
            <v>SAN ANTONIO DEL TEQUENDAMA</v>
          </cell>
          <cell r="C605" t="str">
            <v>CUNDINAMARCA</v>
          </cell>
          <cell r="D605" t="str">
            <v>BOGOTA</v>
          </cell>
          <cell r="E605" t="str">
            <v>INTERMEDIA</v>
          </cell>
          <cell r="F605" t="str">
            <v>TERRESTRE</v>
          </cell>
        </row>
        <row r="606">
          <cell r="A606">
            <v>25662</v>
          </cell>
          <cell r="B606" t="str">
            <v>SAN JUAN DE RIO SECO</v>
          </cell>
          <cell r="C606" t="str">
            <v>CUNDINAMARCA</v>
          </cell>
          <cell r="D606" t="str">
            <v>BOGOTA</v>
          </cell>
          <cell r="E606" t="str">
            <v>LEJANA</v>
          </cell>
          <cell r="F606" t="str">
            <v>TERRESTRE</v>
          </cell>
        </row>
        <row r="607">
          <cell r="A607">
            <v>25718</v>
          </cell>
          <cell r="B607" t="str">
            <v>SASAIMA</v>
          </cell>
          <cell r="C607" t="str">
            <v>CUNDINAMARCA</v>
          </cell>
          <cell r="D607" t="str">
            <v>BOGOTA</v>
          </cell>
          <cell r="E607" t="str">
            <v>INTERMEDIA</v>
          </cell>
          <cell r="F607" t="str">
            <v>TERRESTRE</v>
          </cell>
        </row>
        <row r="608">
          <cell r="A608">
            <v>25736</v>
          </cell>
          <cell r="B608" t="str">
            <v>SESQUILE</v>
          </cell>
          <cell r="C608" t="str">
            <v>CUNDINAMARCA</v>
          </cell>
          <cell r="D608" t="str">
            <v>BOGOTA</v>
          </cell>
          <cell r="E608" t="str">
            <v>INTERMEDIA</v>
          </cell>
          <cell r="F608" t="str">
            <v>TERRESTRE</v>
          </cell>
        </row>
        <row r="609">
          <cell r="A609">
            <v>25740</v>
          </cell>
          <cell r="B609" t="str">
            <v>SIBATE</v>
          </cell>
          <cell r="C609" t="str">
            <v>CUNDINAMARCA</v>
          </cell>
          <cell r="D609" t="str">
            <v>BOGOTA</v>
          </cell>
          <cell r="E609" t="str">
            <v>INTERMEDIA</v>
          </cell>
          <cell r="F609" t="str">
            <v>TERRESTRE</v>
          </cell>
        </row>
        <row r="610">
          <cell r="A610">
            <v>25743</v>
          </cell>
          <cell r="B610" t="str">
            <v>SILVANIA</v>
          </cell>
          <cell r="C610" t="str">
            <v>CUNDINAMARCA</v>
          </cell>
          <cell r="D610" t="str">
            <v>BOGOTA</v>
          </cell>
          <cell r="E610" t="str">
            <v>INTERMEDIA</v>
          </cell>
          <cell r="F610" t="str">
            <v>TERRESTRE</v>
          </cell>
        </row>
        <row r="611">
          <cell r="A611">
            <v>25745</v>
          </cell>
          <cell r="B611" t="str">
            <v>SIMIJACA</v>
          </cell>
          <cell r="C611" t="str">
            <v>CUNDINAMARCA</v>
          </cell>
          <cell r="D611" t="str">
            <v>TUNJA</v>
          </cell>
          <cell r="E611" t="str">
            <v>LEJANA</v>
          </cell>
          <cell r="F611" t="str">
            <v>TERRESTRE</v>
          </cell>
        </row>
        <row r="612">
          <cell r="A612">
            <v>25754</v>
          </cell>
          <cell r="B612" t="str">
            <v>SOACHA</v>
          </cell>
          <cell r="C612" t="str">
            <v>CUNDINAMARCA</v>
          </cell>
          <cell r="D612" t="str">
            <v>BOGOTA</v>
          </cell>
          <cell r="E612" t="str">
            <v>PRINCIPAL</v>
          </cell>
          <cell r="F612" t="str">
            <v>TERRESTRE</v>
          </cell>
        </row>
        <row r="613">
          <cell r="A613">
            <v>25758</v>
          </cell>
          <cell r="B613" t="str">
            <v>SOPO</v>
          </cell>
          <cell r="C613" t="str">
            <v>CUNDINAMARCA</v>
          </cell>
          <cell r="D613" t="str">
            <v>BOGOTA</v>
          </cell>
          <cell r="E613" t="str">
            <v>INTERMEDIA</v>
          </cell>
          <cell r="F613" t="str">
            <v>TERRESTRE</v>
          </cell>
        </row>
        <row r="614">
          <cell r="A614">
            <v>25769</v>
          </cell>
          <cell r="B614" t="str">
            <v>SUBACHOQUE</v>
          </cell>
          <cell r="C614" t="str">
            <v>CUNDINAMARCA</v>
          </cell>
          <cell r="D614" t="str">
            <v>BOGOTA</v>
          </cell>
          <cell r="E614" t="str">
            <v>INTERMEDIA</v>
          </cell>
          <cell r="F614" t="str">
            <v>TERRESTRE</v>
          </cell>
        </row>
        <row r="615">
          <cell r="A615">
            <v>25772</v>
          </cell>
          <cell r="B615" t="str">
            <v>SUESCA</v>
          </cell>
          <cell r="C615" t="str">
            <v>CUNDINAMARCA</v>
          </cell>
          <cell r="D615" t="str">
            <v>BOGOTA</v>
          </cell>
          <cell r="E615" t="str">
            <v>INTERMEDIA</v>
          </cell>
          <cell r="F615" t="str">
            <v>TERRESTRE</v>
          </cell>
        </row>
        <row r="616">
          <cell r="A616">
            <v>25777</v>
          </cell>
          <cell r="B616" t="str">
            <v>SUPATA</v>
          </cell>
          <cell r="C616" t="str">
            <v>CUNDINAMARCA</v>
          </cell>
          <cell r="D616" t="str">
            <v>BOGOTA</v>
          </cell>
          <cell r="E616" t="str">
            <v>INTERMEDIA</v>
          </cell>
          <cell r="F616" t="str">
            <v>TERRESTRE</v>
          </cell>
        </row>
        <row r="617">
          <cell r="A617">
            <v>25779</v>
          </cell>
          <cell r="B617" t="str">
            <v>SUSA</v>
          </cell>
          <cell r="C617" t="str">
            <v>CUNDINAMARCA</v>
          </cell>
          <cell r="D617" t="str">
            <v>BOGOTA</v>
          </cell>
          <cell r="E617" t="str">
            <v>LEJANA</v>
          </cell>
          <cell r="F617" t="str">
            <v>TERRESTRE</v>
          </cell>
        </row>
        <row r="618">
          <cell r="A618">
            <v>25781</v>
          </cell>
          <cell r="B618" t="str">
            <v>SUTATAUSA</v>
          </cell>
          <cell r="C618" t="str">
            <v>CUNDINAMARCA</v>
          </cell>
          <cell r="D618" t="str">
            <v>BOGOTA</v>
          </cell>
          <cell r="E618" t="str">
            <v>INTERMEDIA</v>
          </cell>
          <cell r="F618" t="str">
            <v>TERRESTRE</v>
          </cell>
        </row>
        <row r="619">
          <cell r="A619">
            <v>25785</v>
          </cell>
          <cell r="B619" t="str">
            <v>TABIO</v>
          </cell>
          <cell r="C619" t="str">
            <v>CUNDINAMARCA</v>
          </cell>
          <cell r="D619" t="str">
            <v>BOGOTA</v>
          </cell>
          <cell r="E619" t="str">
            <v>INTERMEDIA</v>
          </cell>
          <cell r="F619" t="str">
            <v>TERRESTRE</v>
          </cell>
        </row>
        <row r="620">
          <cell r="A620">
            <v>25793</v>
          </cell>
          <cell r="B620" t="str">
            <v>TAUSA</v>
          </cell>
          <cell r="C620" t="str">
            <v>CUNDINAMARCA</v>
          </cell>
          <cell r="D620" t="str">
            <v>BOGOTA</v>
          </cell>
          <cell r="E620" t="str">
            <v>INTERMEDIA</v>
          </cell>
          <cell r="F620" t="str">
            <v>TERRESTRE</v>
          </cell>
        </row>
        <row r="621">
          <cell r="A621">
            <v>25797</v>
          </cell>
          <cell r="B621" t="str">
            <v>TENA</v>
          </cell>
          <cell r="C621" t="str">
            <v>CUNDINAMARCA</v>
          </cell>
          <cell r="D621" t="str">
            <v>BOGOTA</v>
          </cell>
          <cell r="E621" t="str">
            <v>INTERMEDIA</v>
          </cell>
          <cell r="F621" t="str">
            <v>TERRESTRE</v>
          </cell>
        </row>
        <row r="622">
          <cell r="A622">
            <v>25799</v>
          </cell>
          <cell r="B622" t="str">
            <v>TENJO</v>
          </cell>
          <cell r="C622" t="str">
            <v>CUNDINAMARCA</v>
          </cell>
          <cell r="D622" t="str">
            <v>BOGOTA</v>
          </cell>
          <cell r="E622" t="str">
            <v>INTERMEDIA</v>
          </cell>
          <cell r="F622" t="str">
            <v>TERRESTRE</v>
          </cell>
        </row>
        <row r="623">
          <cell r="A623">
            <v>25805</v>
          </cell>
          <cell r="B623" t="str">
            <v>TIBACUY</v>
          </cell>
          <cell r="C623" t="str">
            <v>CUNDINAMARCA</v>
          </cell>
          <cell r="D623" t="str">
            <v>BOGOTA</v>
          </cell>
          <cell r="E623" t="str">
            <v>INTERMEDIA</v>
          </cell>
          <cell r="F623" t="str">
            <v>TERRESTRE</v>
          </cell>
        </row>
        <row r="624">
          <cell r="A624">
            <v>25807</v>
          </cell>
          <cell r="B624" t="str">
            <v>TIBIRITA</v>
          </cell>
          <cell r="C624" t="str">
            <v>CUNDINAMARCA</v>
          </cell>
          <cell r="D624" t="str">
            <v>BOGOTA</v>
          </cell>
          <cell r="E624" t="str">
            <v>LEJANA</v>
          </cell>
          <cell r="F624" t="str">
            <v>TERRESTRE</v>
          </cell>
        </row>
        <row r="625">
          <cell r="A625">
            <v>25815</v>
          </cell>
          <cell r="B625" t="str">
            <v>TOCAIMA</v>
          </cell>
          <cell r="C625" t="str">
            <v>CUNDINAMARCA</v>
          </cell>
          <cell r="D625" t="str">
            <v>BOGOTA</v>
          </cell>
          <cell r="E625" t="str">
            <v>LEJANA</v>
          </cell>
          <cell r="F625" t="str">
            <v>TERRESTRE</v>
          </cell>
        </row>
        <row r="626">
          <cell r="A626">
            <v>25817</v>
          </cell>
          <cell r="B626" t="str">
            <v>TOCANCIPA</v>
          </cell>
          <cell r="C626" t="str">
            <v>CUNDINAMARCA</v>
          </cell>
          <cell r="D626" t="str">
            <v>BOGOTA</v>
          </cell>
          <cell r="E626" t="str">
            <v>INTERMEDIA</v>
          </cell>
          <cell r="F626" t="str">
            <v>TERRESTRE</v>
          </cell>
        </row>
        <row r="627">
          <cell r="A627">
            <v>25823</v>
          </cell>
          <cell r="B627" t="str">
            <v>TOPAIPI</v>
          </cell>
          <cell r="C627" t="str">
            <v>CUNDINAMARCA</v>
          </cell>
          <cell r="D627" t="str">
            <v>BOGOTA</v>
          </cell>
          <cell r="E627" t="str">
            <v>LEJANA</v>
          </cell>
          <cell r="F627" t="str">
            <v>TERRESTRE</v>
          </cell>
        </row>
        <row r="628">
          <cell r="A628">
            <v>25839</v>
          </cell>
          <cell r="B628" t="str">
            <v>UBALA</v>
          </cell>
          <cell r="C628" t="str">
            <v>CUNDINAMARCA</v>
          </cell>
          <cell r="D628" t="str">
            <v>BOGOTA</v>
          </cell>
          <cell r="E628" t="str">
            <v>LEJANA</v>
          </cell>
          <cell r="F628" t="str">
            <v>TERRESTRE</v>
          </cell>
        </row>
        <row r="629">
          <cell r="A629">
            <v>25841</v>
          </cell>
          <cell r="B629" t="str">
            <v>UBAQUE</v>
          </cell>
          <cell r="C629" t="str">
            <v>CUNDINAMARCA</v>
          </cell>
          <cell r="D629" t="str">
            <v>BOGOTA</v>
          </cell>
          <cell r="E629" t="str">
            <v>INTERMEDIA</v>
          </cell>
          <cell r="F629" t="str">
            <v>TERRESTRE</v>
          </cell>
        </row>
        <row r="630">
          <cell r="A630">
            <v>25845</v>
          </cell>
          <cell r="B630" t="str">
            <v>UNE</v>
          </cell>
          <cell r="C630" t="str">
            <v>CUNDINAMARCA</v>
          </cell>
          <cell r="D630" t="str">
            <v>BOGOTA</v>
          </cell>
          <cell r="E630" t="str">
            <v>INTERMEDIA</v>
          </cell>
          <cell r="F630" t="str">
            <v>TERRESTRE</v>
          </cell>
        </row>
        <row r="631">
          <cell r="A631">
            <v>25851</v>
          </cell>
          <cell r="B631" t="str">
            <v>UTICA</v>
          </cell>
          <cell r="C631" t="str">
            <v>CUNDINAMARCA</v>
          </cell>
          <cell r="D631" t="str">
            <v>BOGOTA</v>
          </cell>
          <cell r="E631" t="str">
            <v>LEJANA</v>
          </cell>
          <cell r="F631" t="str">
            <v>TERRESTRE</v>
          </cell>
        </row>
        <row r="632">
          <cell r="A632">
            <v>25862</v>
          </cell>
          <cell r="B632" t="str">
            <v>VERGARA</v>
          </cell>
          <cell r="C632" t="str">
            <v>CUNDINAMARCA</v>
          </cell>
          <cell r="D632" t="str">
            <v>BOGOTA</v>
          </cell>
          <cell r="E632" t="str">
            <v>LEJANA</v>
          </cell>
          <cell r="F632" t="str">
            <v>TERRESTRE</v>
          </cell>
        </row>
        <row r="633">
          <cell r="A633">
            <v>25867</v>
          </cell>
          <cell r="B633" t="str">
            <v>VIANI</v>
          </cell>
          <cell r="C633" t="str">
            <v>CUNDINAMARCA</v>
          </cell>
          <cell r="D633" t="str">
            <v>BOGOTA</v>
          </cell>
          <cell r="E633" t="str">
            <v>LEJANA</v>
          </cell>
          <cell r="F633" t="str">
            <v>TERRESTRE</v>
          </cell>
        </row>
        <row r="634">
          <cell r="A634">
            <v>25843</v>
          </cell>
          <cell r="B634" t="str">
            <v>VILLA DE SAN DIEGO DE UBATE</v>
          </cell>
          <cell r="C634" t="str">
            <v>CUNDINAMARCA</v>
          </cell>
          <cell r="D634" t="str">
            <v>BOGOTA</v>
          </cell>
          <cell r="E634" t="str">
            <v>INTERMEDIA</v>
          </cell>
          <cell r="F634" t="str">
            <v>TERRESTRE</v>
          </cell>
        </row>
        <row r="635">
          <cell r="A635">
            <v>25871</v>
          </cell>
          <cell r="B635" t="str">
            <v>VILLAGOMEZ</v>
          </cell>
          <cell r="C635" t="str">
            <v>CUNDINAMARCA</v>
          </cell>
          <cell r="D635" t="str">
            <v>BOGOTA</v>
          </cell>
          <cell r="E635" t="str">
            <v>LEJANA</v>
          </cell>
          <cell r="F635" t="str">
            <v>TERRESTRE</v>
          </cell>
        </row>
        <row r="636">
          <cell r="A636">
            <v>25873</v>
          </cell>
          <cell r="B636" t="str">
            <v>VILLAPINZON</v>
          </cell>
          <cell r="C636" t="str">
            <v>CUNDINAMARCA</v>
          </cell>
          <cell r="D636" t="str">
            <v>TUNJA</v>
          </cell>
          <cell r="E636" t="str">
            <v>INTERMEDIA</v>
          </cell>
          <cell r="F636" t="str">
            <v>TERRESTRE</v>
          </cell>
        </row>
        <row r="637">
          <cell r="A637">
            <v>25875</v>
          </cell>
          <cell r="B637" t="str">
            <v>VILLETA</v>
          </cell>
          <cell r="C637" t="str">
            <v>CUNDINAMARCA</v>
          </cell>
          <cell r="D637" t="str">
            <v>BOGOTA</v>
          </cell>
          <cell r="E637" t="str">
            <v>INTERMEDIA</v>
          </cell>
          <cell r="F637" t="str">
            <v>TERRESTRE</v>
          </cell>
        </row>
        <row r="638">
          <cell r="A638">
            <v>25878</v>
          </cell>
          <cell r="B638" t="str">
            <v>VIOTA</v>
          </cell>
          <cell r="C638" t="str">
            <v>CUNDINAMARCA</v>
          </cell>
          <cell r="D638" t="str">
            <v>BOGOTA</v>
          </cell>
          <cell r="E638" t="str">
            <v>LEJANA</v>
          </cell>
          <cell r="F638" t="str">
            <v>TERRESTRE</v>
          </cell>
        </row>
        <row r="639">
          <cell r="A639">
            <v>25885</v>
          </cell>
          <cell r="B639" t="str">
            <v>YACOPI</v>
          </cell>
          <cell r="C639" t="str">
            <v>CUNDINAMARCA</v>
          </cell>
          <cell r="D639" t="str">
            <v>BOGOTA</v>
          </cell>
          <cell r="E639" t="str">
            <v>LEJANA</v>
          </cell>
          <cell r="F639" t="str">
            <v>TERRESTRE</v>
          </cell>
        </row>
        <row r="640">
          <cell r="A640">
            <v>25898</v>
          </cell>
          <cell r="B640" t="str">
            <v>ZIPACON</v>
          </cell>
          <cell r="C640" t="str">
            <v>CUNDINAMARCA</v>
          </cell>
          <cell r="D640" t="str">
            <v>BOGOTA</v>
          </cell>
          <cell r="E640" t="str">
            <v>INTERMEDIA</v>
          </cell>
          <cell r="F640" t="str">
            <v>TERRESTRE</v>
          </cell>
        </row>
        <row r="641">
          <cell r="A641">
            <v>25899</v>
          </cell>
          <cell r="B641" t="str">
            <v>ZIPAQUIRA</v>
          </cell>
          <cell r="C641" t="str">
            <v>CUNDINAMARCA</v>
          </cell>
          <cell r="D641" t="str">
            <v>BOGOTA</v>
          </cell>
          <cell r="E641" t="str">
            <v>INTERMEDIA</v>
          </cell>
          <cell r="F641" t="str">
            <v>TERRESTRE</v>
          </cell>
        </row>
        <row r="642">
          <cell r="A642">
            <v>94884</v>
          </cell>
          <cell r="B642" t="str">
            <v>PUERTO COLOMBIA</v>
          </cell>
          <cell r="C642" t="str">
            <v>GUAINIA</v>
          </cell>
          <cell r="D642" t="str">
            <v>VILLAVICENCIO</v>
          </cell>
          <cell r="E642" t="str">
            <v>LEJANA</v>
          </cell>
          <cell r="F642" t="str">
            <v>AEREO</v>
          </cell>
        </row>
        <row r="643">
          <cell r="A643">
            <v>94343</v>
          </cell>
          <cell r="B643" t="str">
            <v>BARRANCO MINAS</v>
          </cell>
          <cell r="C643" t="str">
            <v>GUAINIA</v>
          </cell>
          <cell r="D643" t="str">
            <v>VILLAVICENCIO</v>
          </cell>
          <cell r="E643" t="str">
            <v>LEJANA</v>
          </cell>
          <cell r="F643" t="str">
            <v>AEREO</v>
          </cell>
        </row>
        <row r="644">
          <cell r="A644">
            <v>94886</v>
          </cell>
          <cell r="B644" t="str">
            <v>CACAHUAL</v>
          </cell>
          <cell r="C644" t="str">
            <v>GUAINIA</v>
          </cell>
          <cell r="D644" t="str">
            <v>VILLAVICENCIO</v>
          </cell>
          <cell r="E644" t="str">
            <v>LEJANA</v>
          </cell>
          <cell r="F644" t="str">
            <v>AEREO</v>
          </cell>
        </row>
        <row r="645">
          <cell r="A645">
            <v>94001</v>
          </cell>
          <cell r="B645" t="str">
            <v>INIRIDA</v>
          </cell>
          <cell r="C645" t="str">
            <v>GUAINIA</v>
          </cell>
          <cell r="D645" t="str">
            <v>BOGOTA</v>
          </cell>
          <cell r="E645" t="str">
            <v>LEJANA</v>
          </cell>
          <cell r="F645" t="str">
            <v>AEREO</v>
          </cell>
        </row>
        <row r="646">
          <cell r="A646">
            <v>94885</v>
          </cell>
          <cell r="B646" t="str">
            <v>LA GUADALUPE</v>
          </cell>
          <cell r="C646" t="str">
            <v>GUAINIA</v>
          </cell>
          <cell r="D646" t="str">
            <v>VILLAVICENCIO</v>
          </cell>
          <cell r="E646" t="str">
            <v>LEJANA</v>
          </cell>
          <cell r="F646" t="str">
            <v>AEREO</v>
          </cell>
        </row>
        <row r="647">
          <cell r="A647">
            <v>94663</v>
          </cell>
          <cell r="B647" t="str">
            <v>MAPIRIPANA</v>
          </cell>
          <cell r="C647" t="str">
            <v>GUAINIA</v>
          </cell>
          <cell r="D647" t="str">
            <v>VILLAVICENCIO</v>
          </cell>
          <cell r="E647" t="str">
            <v>LEJANA</v>
          </cell>
          <cell r="F647" t="str">
            <v>AEREO</v>
          </cell>
        </row>
        <row r="648">
          <cell r="A648">
            <v>94888</v>
          </cell>
          <cell r="B648" t="str">
            <v>MORICHAL</v>
          </cell>
          <cell r="C648" t="str">
            <v>GUAINIA</v>
          </cell>
          <cell r="D648" t="str">
            <v>VILLAVICENCIO</v>
          </cell>
          <cell r="E648" t="str">
            <v>LEJANA</v>
          </cell>
          <cell r="F648" t="str">
            <v>AEREO</v>
          </cell>
        </row>
        <row r="649">
          <cell r="A649">
            <v>94887</v>
          </cell>
          <cell r="B649" t="str">
            <v>PANA PANA</v>
          </cell>
          <cell r="C649" t="str">
            <v>GUAINIA</v>
          </cell>
          <cell r="D649" t="str">
            <v>VILLAVICENCIO</v>
          </cell>
          <cell r="E649" t="str">
            <v>LEJANA</v>
          </cell>
          <cell r="F649" t="str">
            <v>AEREO</v>
          </cell>
        </row>
        <row r="650">
          <cell r="A650">
            <v>94883</v>
          </cell>
          <cell r="B650" t="str">
            <v>SAN FELIPE</v>
          </cell>
          <cell r="C650" t="str">
            <v>GUAINIA</v>
          </cell>
          <cell r="D650" t="str">
            <v>VILLAVICENCIO</v>
          </cell>
          <cell r="E650" t="str">
            <v>LEJANA</v>
          </cell>
          <cell r="F650" t="str">
            <v>AEREO</v>
          </cell>
        </row>
        <row r="651">
          <cell r="A651">
            <v>95015</v>
          </cell>
          <cell r="B651" t="str">
            <v>CALAMAR</v>
          </cell>
          <cell r="C651" t="str">
            <v>GUAVIARE</v>
          </cell>
          <cell r="D651" t="str">
            <v>VILLAVICENCIO</v>
          </cell>
          <cell r="E651" t="str">
            <v>LEJANA</v>
          </cell>
          <cell r="F651" t="str">
            <v>AEREO</v>
          </cell>
        </row>
        <row r="652">
          <cell r="A652">
            <v>95200</v>
          </cell>
          <cell r="B652" t="str">
            <v>MIRAFLORES</v>
          </cell>
          <cell r="C652" t="str">
            <v>GUAVIARE</v>
          </cell>
          <cell r="D652" t="str">
            <v>VILLAVICENCIO</v>
          </cell>
          <cell r="E652" t="str">
            <v>LEJANA</v>
          </cell>
          <cell r="F652" t="str">
            <v>AEREO</v>
          </cell>
        </row>
        <row r="653">
          <cell r="A653">
            <v>95025</v>
          </cell>
          <cell r="B653" t="str">
            <v>EL RETORNO</v>
          </cell>
          <cell r="C653" t="str">
            <v>GUAVIARE</v>
          </cell>
          <cell r="D653" t="str">
            <v>VILLAVICENCIO</v>
          </cell>
          <cell r="E653" t="str">
            <v>LEJANA</v>
          </cell>
          <cell r="F653" t="str">
            <v>TERRESTRE</v>
          </cell>
        </row>
        <row r="654">
          <cell r="A654">
            <v>95001</v>
          </cell>
          <cell r="B654" t="str">
            <v>SAN JOSE DEL GUAVIARE</v>
          </cell>
          <cell r="C654" t="str">
            <v>GUAVIARE</v>
          </cell>
          <cell r="D654" t="str">
            <v>VILLAVICENCIO</v>
          </cell>
          <cell r="E654" t="str">
            <v>LEJANA</v>
          </cell>
          <cell r="F654" t="str">
            <v>TERRESTRE</v>
          </cell>
        </row>
        <row r="655">
          <cell r="A655">
            <v>41319</v>
          </cell>
          <cell r="B655" t="str">
            <v>GUADALUPE</v>
          </cell>
          <cell r="C655" t="str">
            <v>HUILA</v>
          </cell>
          <cell r="D655" t="str">
            <v>NEIVA</v>
          </cell>
          <cell r="E655" t="str">
            <v>LEJANA</v>
          </cell>
          <cell r="F655" t="str">
            <v>TERRESTRE</v>
          </cell>
        </row>
        <row r="656">
          <cell r="A656">
            <v>41530</v>
          </cell>
          <cell r="B656" t="str">
            <v>PALESTINA</v>
          </cell>
          <cell r="C656" t="str">
            <v>HUILA</v>
          </cell>
          <cell r="D656" t="str">
            <v>NEIVA</v>
          </cell>
          <cell r="E656" t="str">
            <v>LEJANA</v>
          </cell>
          <cell r="F656" t="str">
            <v>TERRESTRE</v>
          </cell>
        </row>
        <row r="657">
          <cell r="A657">
            <v>41676</v>
          </cell>
          <cell r="B657" t="str">
            <v>SANTA MARIA</v>
          </cell>
          <cell r="C657" t="str">
            <v>HUILA</v>
          </cell>
          <cell r="D657" t="str">
            <v>NEIVA</v>
          </cell>
          <cell r="E657" t="str">
            <v>LEJANA</v>
          </cell>
          <cell r="F657" t="str">
            <v>TERRESTRE</v>
          </cell>
        </row>
        <row r="658">
          <cell r="A658">
            <v>41006</v>
          </cell>
          <cell r="B658" t="str">
            <v>ACEVEDO</v>
          </cell>
          <cell r="C658" t="str">
            <v>HUILA</v>
          </cell>
          <cell r="D658" t="str">
            <v>NEIVA</v>
          </cell>
          <cell r="E658" t="str">
            <v>LEJANA</v>
          </cell>
          <cell r="F658" t="str">
            <v>TERRESTRE</v>
          </cell>
        </row>
        <row r="659">
          <cell r="A659">
            <v>41013</v>
          </cell>
          <cell r="B659" t="str">
            <v>AGRADO</v>
          </cell>
          <cell r="C659" t="str">
            <v>HUILA</v>
          </cell>
          <cell r="D659" t="str">
            <v>NEIVA</v>
          </cell>
          <cell r="E659" t="str">
            <v>LEJANA</v>
          </cell>
          <cell r="F659" t="str">
            <v>TERRESTRE</v>
          </cell>
        </row>
        <row r="660">
          <cell r="A660">
            <v>41016</v>
          </cell>
          <cell r="B660" t="str">
            <v>AIPE</v>
          </cell>
          <cell r="C660" t="str">
            <v>HUILA</v>
          </cell>
          <cell r="D660" t="str">
            <v>NEIVA</v>
          </cell>
          <cell r="E660" t="str">
            <v>INTERMEDIA</v>
          </cell>
          <cell r="F660" t="str">
            <v>TERRESTRE</v>
          </cell>
        </row>
        <row r="661">
          <cell r="A661">
            <v>41020</v>
          </cell>
          <cell r="B661" t="str">
            <v>ALGECIRAS</v>
          </cell>
          <cell r="C661" t="str">
            <v>HUILA</v>
          </cell>
          <cell r="D661" t="str">
            <v>NEIVA</v>
          </cell>
          <cell r="E661" t="str">
            <v>INTERMEDIA</v>
          </cell>
          <cell r="F661" t="str">
            <v>TERRESTRE</v>
          </cell>
        </row>
        <row r="662">
          <cell r="A662">
            <v>41026</v>
          </cell>
          <cell r="B662" t="str">
            <v>ALTAMIRA</v>
          </cell>
          <cell r="C662" t="str">
            <v>HUILA</v>
          </cell>
          <cell r="D662" t="str">
            <v>NEIVA</v>
          </cell>
          <cell r="E662" t="str">
            <v>LEJANA</v>
          </cell>
          <cell r="F662" t="str">
            <v>TERRESTRE</v>
          </cell>
        </row>
        <row r="663">
          <cell r="A663">
            <v>41078</v>
          </cell>
          <cell r="B663" t="str">
            <v>BARAYA</v>
          </cell>
          <cell r="C663" t="str">
            <v>HUILA</v>
          </cell>
          <cell r="D663" t="str">
            <v>NEIVA</v>
          </cell>
          <cell r="E663" t="str">
            <v>INTERMEDIA</v>
          </cell>
          <cell r="F663" t="str">
            <v>TERRESTRE</v>
          </cell>
        </row>
        <row r="664">
          <cell r="A664">
            <v>41132</v>
          </cell>
          <cell r="B664" t="str">
            <v>CAMPOALEGRE</v>
          </cell>
          <cell r="C664" t="str">
            <v>HUILA</v>
          </cell>
          <cell r="D664" t="str">
            <v>NEIVA</v>
          </cell>
          <cell r="E664" t="str">
            <v>INTERMEDIA</v>
          </cell>
          <cell r="F664" t="str">
            <v>TERRESTRE</v>
          </cell>
        </row>
        <row r="665">
          <cell r="A665">
            <v>41206</v>
          </cell>
          <cell r="B665" t="str">
            <v>COLOMBIA</v>
          </cell>
          <cell r="C665" t="str">
            <v>HUILA</v>
          </cell>
          <cell r="D665" t="str">
            <v>NEIVA</v>
          </cell>
          <cell r="E665" t="str">
            <v>LEJANA</v>
          </cell>
          <cell r="F665" t="str">
            <v>TERRESTRE</v>
          </cell>
        </row>
        <row r="666">
          <cell r="A666">
            <v>41244</v>
          </cell>
          <cell r="B666" t="str">
            <v>ELIAS</v>
          </cell>
          <cell r="C666" t="str">
            <v>HUILA</v>
          </cell>
          <cell r="D666" t="str">
            <v>NEIVA</v>
          </cell>
          <cell r="E666" t="str">
            <v>LEJANA</v>
          </cell>
          <cell r="F666" t="str">
            <v>TERRESTRE</v>
          </cell>
        </row>
        <row r="667">
          <cell r="A667">
            <v>41298</v>
          </cell>
          <cell r="B667" t="str">
            <v>GARZON</v>
          </cell>
          <cell r="C667" t="str">
            <v>HUILA</v>
          </cell>
          <cell r="D667" t="str">
            <v>NEIVA</v>
          </cell>
          <cell r="E667" t="str">
            <v>LEJANA</v>
          </cell>
          <cell r="F667" t="str">
            <v>TERRESTRE</v>
          </cell>
        </row>
        <row r="668">
          <cell r="A668">
            <v>41306</v>
          </cell>
          <cell r="B668" t="str">
            <v>GIGANTE</v>
          </cell>
          <cell r="C668" t="str">
            <v>HUILA</v>
          </cell>
          <cell r="D668" t="str">
            <v>NEIVA</v>
          </cell>
          <cell r="E668" t="str">
            <v>INTERMEDIA</v>
          </cell>
          <cell r="F668" t="str">
            <v>TERRESTRE</v>
          </cell>
        </row>
        <row r="669">
          <cell r="A669">
            <v>41349</v>
          </cell>
          <cell r="B669" t="str">
            <v>HOBO</v>
          </cell>
          <cell r="C669" t="str">
            <v>HUILA</v>
          </cell>
          <cell r="D669" t="str">
            <v>NEIVA</v>
          </cell>
          <cell r="E669" t="str">
            <v>INTERMEDIA</v>
          </cell>
          <cell r="F669" t="str">
            <v>TERRESTRE</v>
          </cell>
        </row>
        <row r="670">
          <cell r="A670">
            <v>41357</v>
          </cell>
          <cell r="B670" t="str">
            <v>IQUIRA</v>
          </cell>
          <cell r="C670" t="str">
            <v>HUILA</v>
          </cell>
          <cell r="D670" t="str">
            <v>NEIVA</v>
          </cell>
          <cell r="E670" t="str">
            <v>INTERMEDIA</v>
          </cell>
          <cell r="F670" t="str">
            <v>TERRESTRE</v>
          </cell>
        </row>
        <row r="671">
          <cell r="A671">
            <v>41359</v>
          </cell>
          <cell r="B671" t="str">
            <v>ISNOS</v>
          </cell>
          <cell r="C671" t="str">
            <v>HUILA</v>
          </cell>
          <cell r="D671" t="str">
            <v>NEIVA</v>
          </cell>
          <cell r="E671" t="str">
            <v>LEJANA</v>
          </cell>
          <cell r="F671" t="str">
            <v>TERRESTRE</v>
          </cell>
        </row>
        <row r="672">
          <cell r="A672">
            <v>41378</v>
          </cell>
          <cell r="B672" t="str">
            <v>LA ARGENTINA</v>
          </cell>
          <cell r="C672" t="str">
            <v>HUILA</v>
          </cell>
          <cell r="D672" t="str">
            <v>NEIVA</v>
          </cell>
          <cell r="E672" t="str">
            <v>LEJANA</v>
          </cell>
          <cell r="F672" t="str">
            <v>TERRESTRE</v>
          </cell>
        </row>
        <row r="673">
          <cell r="A673">
            <v>41396</v>
          </cell>
          <cell r="B673" t="str">
            <v>LA PLATA</v>
          </cell>
          <cell r="C673" t="str">
            <v>HUILA</v>
          </cell>
          <cell r="D673" t="str">
            <v>NEIVA</v>
          </cell>
          <cell r="E673" t="str">
            <v>LEJANA</v>
          </cell>
          <cell r="F673" t="str">
            <v>TERRESTRE</v>
          </cell>
        </row>
        <row r="674">
          <cell r="A674">
            <v>41483</v>
          </cell>
          <cell r="B674" t="str">
            <v>NATAGA</v>
          </cell>
          <cell r="C674" t="str">
            <v>HUILA</v>
          </cell>
          <cell r="D674" t="str">
            <v>NEIVA</v>
          </cell>
          <cell r="E674" t="str">
            <v>LEJANA</v>
          </cell>
          <cell r="F674" t="str">
            <v>TERRESTRE</v>
          </cell>
        </row>
        <row r="675">
          <cell r="A675">
            <v>41001</v>
          </cell>
          <cell r="B675" t="str">
            <v>NEIVA</v>
          </cell>
          <cell r="C675" t="str">
            <v>HUILA</v>
          </cell>
          <cell r="D675" t="str">
            <v>NEIVA</v>
          </cell>
          <cell r="E675" t="str">
            <v>PRINCIPAL</v>
          </cell>
          <cell r="F675" t="str">
            <v>TERRESTRE</v>
          </cell>
        </row>
        <row r="676">
          <cell r="A676">
            <v>41503</v>
          </cell>
          <cell r="B676" t="str">
            <v>OPORAPA</v>
          </cell>
          <cell r="C676" t="str">
            <v>HUILA</v>
          </cell>
          <cell r="D676" t="str">
            <v>NEIVA</v>
          </cell>
          <cell r="E676" t="str">
            <v>LEJANA</v>
          </cell>
          <cell r="F676" t="str">
            <v>TERRESTRE</v>
          </cell>
        </row>
        <row r="677">
          <cell r="A677">
            <v>41518</v>
          </cell>
          <cell r="B677" t="str">
            <v>PAICOL</v>
          </cell>
          <cell r="C677" t="str">
            <v>HUILA</v>
          </cell>
          <cell r="D677" t="str">
            <v>NEIVA</v>
          </cell>
          <cell r="E677" t="str">
            <v>INTERMEDIA</v>
          </cell>
          <cell r="F677" t="str">
            <v>TERRESTRE</v>
          </cell>
        </row>
        <row r="678">
          <cell r="A678">
            <v>41524</v>
          </cell>
          <cell r="B678" t="str">
            <v>PALERMO</v>
          </cell>
          <cell r="C678" t="str">
            <v>HUILA</v>
          </cell>
          <cell r="D678" t="str">
            <v>NEIVA</v>
          </cell>
          <cell r="E678" t="str">
            <v>PRINCIPAL</v>
          </cell>
          <cell r="F678" t="str">
            <v>TERRESTRE</v>
          </cell>
        </row>
        <row r="679">
          <cell r="A679">
            <v>41548</v>
          </cell>
          <cell r="B679" t="str">
            <v>PITAL</v>
          </cell>
          <cell r="C679" t="str">
            <v>HUILA</v>
          </cell>
          <cell r="D679" t="str">
            <v>NEIVA</v>
          </cell>
          <cell r="E679" t="str">
            <v>LEJANA</v>
          </cell>
          <cell r="F679" t="str">
            <v>TERRESTRE</v>
          </cell>
        </row>
        <row r="680">
          <cell r="A680">
            <v>41551</v>
          </cell>
          <cell r="B680" t="str">
            <v>PITALITO</v>
          </cell>
          <cell r="C680" t="str">
            <v>HUILA</v>
          </cell>
          <cell r="D680" t="str">
            <v>NEIVA</v>
          </cell>
          <cell r="E680" t="str">
            <v>LEJANA</v>
          </cell>
          <cell r="F680" t="str">
            <v>TERRESTRE</v>
          </cell>
        </row>
        <row r="681">
          <cell r="A681">
            <v>41615</v>
          </cell>
          <cell r="B681" t="str">
            <v>RIVERA</v>
          </cell>
          <cell r="C681" t="str">
            <v>HUILA</v>
          </cell>
          <cell r="D681" t="str">
            <v>NEIVA</v>
          </cell>
          <cell r="E681" t="str">
            <v>PRINCIPAL</v>
          </cell>
          <cell r="F681" t="str">
            <v>TERRESTRE</v>
          </cell>
        </row>
        <row r="682">
          <cell r="A682">
            <v>41660</v>
          </cell>
          <cell r="B682" t="str">
            <v>SALADOBLANCO</v>
          </cell>
          <cell r="C682" t="str">
            <v>HUILA</v>
          </cell>
          <cell r="D682" t="str">
            <v>NEIVA</v>
          </cell>
          <cell r="E682" t="str">
            <v>LEJANA</v>
          </cell>
          <cell r="F682" t="str">
            <v>TERRESTRE</v>
          </cell>
        </row>
        <row r="683">
          <cell r="A683">
            <v>41668</v>
          </cell>
          <cell r="B683" t="str">
            <v>SAN AGUSTIN</v>
          </cell>
          <cell r="C683" t="str">
            <v>HUILA</v>
          </cell>
          <cell r="D683" t="str">
            <v>NEIVA</v>
          </cell>
          <cell r="E683" t="str">
            <v>LEJANA</v>
          </cell>
          <cell r="F683" t="str">
            <v>TERRESTRE</v>
          </cell>
        </row>
        <row r="684">
          <cell r="A684">
            <v>41770</v>
          </cell>
          <cell r="B684" t="str">
            <v>SUAZA</v>
          </cell>
          <cell r="C684" t="str">
            <v>HUILA</v>
          </cell>
          <cell r="D684" t="str">
            <v>NEIVA</v>
          </cell>
          <cell r="E684" t="str">
            <v>LEJANA</v>
          </cell>
          <cell r="F684" t="str">
            <v>TERRESTRE</v>
          </cell>
        </row>
        <row r="685">
          <cell r="A685">
            <v>41791</v>
          </cell>
          <cell r="B685" t="str">
            <v>TARQUI</v>
          </cell>
          <cell r="C685" t="str">
            <v>HUILA</v>
          </cell>
          <cell r="D685" t="str">
            <v>NEIVA</v>
          </cell>
          <cell r="E685" t="str">
            <v>LEJANA</v>
          </cell>
          <cell r="F685" t="str">
            <v>TERRESTRE</v>
          </cell>
        </row>
        <row r="686">
          <cell r="A686">
            <v>41799</v>
          </cell>
          <cell r="B686" t="str">
            <v>TELLO</v>
          </cell>
          <cell r="C686" t="str">
            <v>HUILA</v>
          </cell>
          <cell r="D686" t="str">
            <v>NEIVA</v>
          </cell>
          <cell r="E686" t="str">
            <v>INTERMEDIA</v>
          </cell>
          <cell r="F686" t="str">
            <v>TERRESTRE</v>
          </cell>
        </row>
        <row r="687">
          <cell r="A687">
            <v>41801</v>
          </cell>
          <cell r="B687" t="str">
            <v>TERUEL</v>
          </cell>
          <cell r="C687" t="str">
            <v>HUILA</v>
          </cell>
          <cell r="D687" t="str">
            <v>NEIVA</v>
          </cell>
          <cell r="E687" t="str">
            <v>INTERMEDIA</v>
          </cell>
          <cell r="F687" t="str">
            <v>TERRESTRE</v>
          </cell>
        </row>
        <row r="688">
          <cell r="A688">
            <v>41797</v>
          </cell>
          <cell r="B688" t="str">
            <v>TESALIA</v>
          </cell>
          <cell r="C688" t="str">
            <v>HUILA</v>
          </cell>
          <cell r="D688" t="str">
            <v>NEIVA</v>
          </cell>
          <cell r="E688" t="str">
            <v>INTERMEDIA</v>
          </cell>
          <cell r="F688" t="str">
            <v>TERRESTRE</v>
          </cell>
        </row>
        <row r="689">
          <cell r="A689">
            <v>41807</v>
          </cell>
          <cell r="B689" t="str">
            <v>TIMANA</v>
          </cell>
          <cell r="C689" t="str">
            <v>HUILA</v>
          </cell>
          <cell r="D689" t="str">
            <v>NEIVA</v>
          </cell>
          <cell r="E689" t="str">
            <v>LEJANA</v>
          </cell>
          <cell r="F689" t="str">
            <v>TERRESTRE</v>
          </cell>
        </row>
        <row r="690">
          <cell r="A690">
            <v>41872</v>
          </cell>
          <cell r="B690" t="str">
            <v>VILLAVIEJA</v>
          </cell>
          <cell r="C690" t="str">
            <v>HUILA</v>
          </cell>
          <cell r="D690" t="str">
            <v>NEIVA</v>
          </cell>
          <cell r="E690" t="str">
            <v>INTERMEDIA</v>
          </cell>
          <cell r="F690" t="str">
            <v>TERRESTRE</v>
          </cell>
        </row>
        <row r="691">
          <cell r="A691">
            <v>41885</v>
          </cell>
          <cell r="B691" t="str">
            <v>YAGUARA</v>
          </cell>
          <cell r="C691" t="str">
            <v>HUILA</v>
          </cell>
          <cell r="D691" t="str">
            <v>NEIVA</v>
          </cell>
          <cell r="E691" t="str">
            <v>INTERMEDIA</v>
          </cell>
          <cell r="F691" t="str">
            <v>TERRESTRE</v>
          </cell>
        </row>
        <row r="692">
          <cell r="A692">
            <v>44035</v>
          </cell>
          <cell r="B692" t="str">
            <v>ALBANIA</v>
          </cell>
          <cell r="C692" t="str">
            <v>LA GUAJIRA</v>
          </cell>
          <cell r="D692" t="str">
            <v>VALLEDUPAR</v>
          </cell>
          <cell r="E692" t="str">
            <v>LEJANA</v>
          </cell>
          <cell r="F692" t="str">
            <v>TERRESTRE</v>
          </cell>
        </row>
        <row r="693">
          <cell r="A693">
            <v>44560</v>
          </cell>
          <cell r="B693" t="str">
            <v>MANAURE</v>
          </cell>
          <cell r="C693" t="str">
            <v>LA GUAJIRA</v>
          </cell>
          <cell r="D693" t="str">
            <v>SANTA MARTA</v>
          </cell>
          <cell r="E693" t="str">
            <v>LEJANA</v>
          </cell>
          <cell r="F693" t="str">
            <v>TERRESTRE</v>
          </cell>
        </row>
        <row r="694">
          <cell r="A694">
            <v>44874</v>
          </cell>
          <cell r="B694" t="str">
            <v>VILLANUEVA</v>
          </cell>
          <cell r="C694" t="str">
            <v>LA GUAJIRA</v>
          </cell>
          <cell r="D694" t="str">
            <v>VALLEDUPAR</v>
          </cell>
          <cell r="E694" t="str">
            <v>INTERMEDIA</v>
          </cell>
          <cell r="F694" t="str">
            <v>TERRESTRE</v>
          </cell>
        </row>
        <row r="695">
          <cell r="A695">
            <v>44078</v>
          </cell>
          <cell r="B695" t="str">
            <v>BARRANCAS</v>
          </cell>
          <cell r="C695" t="str">
            <v>LA GUAJIRA</v>
          </cell>
          <cell r="D695" t="str">
            <v>VALLEDUPAR</v>
          </cell>
          <cell r="E695" t="str">
            <v>INTERMEDIA</v>
          </cell>
          <cell r="F695" t="str">
            <v>TERRESTRE</v>
          </cell>
        </row>
        <row r="696">
          <cell r="A696">
            <v>44090</v>
          </cell>
          <cell r="B696" t="str">
            <v>DIBULLA</v>
          </cell>
          <cell r="C696" t="str">
            <v>LA GUAJIRA</v>
          </cell>
          <cell r="D696" t="str">
            <v>SANTA MARTA</v>
          </cell>
          <cell r="E696" t="str">
            <v>LEJANA</v>
          </cell>
          <cell r="F696" t="str">
            <v>TERRESTRE</v>
          </cell>
        </row>
        <row r="697">
          <cell r="A697">
            <v>44098</v>
          </cell>
          <cell r="B697" t="str">
            <v>DISTRACCION</v>
          </cell>
          <cell r="C697" t="str">
            <v>LA GUAJIRA</v>
          </cell>
          <cell r="D697" t="str">
            <v>VALLEDUPAR</v>
          </cell>
          <cell r="E697" t="str">
            <v>INTERMEDIA</v>
          </cell>
          <cell r="F697" t="str">
            <v>TERRESTRE</v>
          </cell>
        </row>
        <row r="698">
          <cell r="A698">
            <v>44110</v>
          </cell>
          <cell r="B698" t="str">
            <v>EL MOLINO</v>
          </cell>
          <cell r="C698" t="str">
            <v>LA GUAJIRA</v>
          </cell>
          <cell r="D698" t="str">
            <v>VALLEDUPAR</v>
          </cell>
          <cell r="E698" t="str">
            <v>INTERMEDIA</v>
          </cell>
          <cell r="F698" t="str">
            <v>TERRESTRE</v>
          </cell>
        </row>
        <row r="699">
          <cell r="A699">
            <v>44279</v>
          </cell>
          <cell r="B699" t="str">
            <v>FONSECA</v>
          </cell>
          <cell r="C699" t="str">
            <v>LA GUAJIRA</v>
          </cell>
          <cell r="D699" t="str">
            <v>VALLEDUPAR</v>
          </cell>
          <cell r="E699" t="str">
            <v>INTERMEDIA</v>
          </cell>
          <cell r="F699" t="str">
            <v>TERRESTRE</v>
          </cell>
        </row>
        <row r="700">
          <cell r="A700">
            <v>44378</v>
          </cell>
          <cell r="B700" t="str">
            <v>HATONUEVO</v>
          </cell>
          <cell r="C700" t="str">
            <v>LA GUAJIRA</v>
          </cell>
          <cell r="D700" t="str">
            <v>VALLEDUPAR</v>
          </cell>
          <cell r="E700" t="str">
            <v>LEJANA</v>
          </cell>
          <cell r="F700" t="str">
            <v>TERRESTRE</v>
          </cell>
        </row>
        <row r="701">
          <cell r="A701">
            <v>44420</v>
          </cell>
          <cell r="B701" t="str">
            <v>LA JAGUA DEL PILAR</v>
          </cell>
          <cell r="C701" t="str">
            <v>LA GUAJIRA</v>
          </cell>
          <cell r="D701" t="str">
            <v>VALLEDUPAR</v>
          </cell>
          <cell r="E701" t="str">
            <v>INTERMEDIA</v>
          </cell>
          <cell r="F701" t="str">
            <v>TERRESTRE</v>
          </cell>
        </row>
        <row r="702">
          <cell r="A702">
            <v>44430</v>
          </cell>
          <cell r="B702" t="str">
            <v>MAICAO</v>
          </cell>
          <cell r="C702" t="str">
            <v>LA GUAJIRA</v>
          </cell>
          <cell r="D702" t="str">
            <v>SANTA MARTA</v>
          </cell>
          <cell r="E702" t="str">
            <v>LEJANA</v>
          </cell>
          <cell r="F702" t="str">
            <v>TERRESTRE</v>
          </cell>
        </row>
        <row r="703">
          <cell r="A703">
            <v>44001</v>
          </cell>
          <cell r="B703" t="str">
            <v>RIOHACHA</v>
          </cell>
          <cell r="C703" t="str">
            <v>LA GUAJIRA</v>
          </cell>
          <cell r="D703" t="str">
            <v>SANTA MARTA</v>
          </cell>
          <cell r="E703" t="str">
            <v>LEJANA</v>
          </cell>
          <cell r="F703" t="str">
            <v>TERRESTRE</v>
          </cell>
        </row>
        <row r="704">
          <cell r="A704">
            <v>44650</v>
          </cell>
          <cell r="B704" t="str">
            <v>SAN JUAN DEL CESAR</v>
          </cell>
          <cell r="C704" t="str">
            <v>LA GUAJIRA</v>
          </cell>
          <cell r="D704" t="str">
            <v>VALLEDUPAR</v>
          </cell>
          <cell r="E704" t="str">
            <v>INTERMEDIA</v>
          </cell>
          <cell r="F704" t="str">
            <v>TERRESTRE</v>
          </cell>
        </row>
        <row r="705">
          <cell r="A705">
            <v>44847</v>
          </cell>
          <cell r="B705" t="str">
            <v>URIBIA</v>
          </cell>
          <cell r="C705" t="str">
            <v>LA GUAJIRA</v>
          </cell>
          <cell r="D705" t="str">
            <v>SANTA MARTA</v>
          </cell>
          <cell r="E705" t="str">
            <v>LEJANA</v>
          </cell>
          <cell r="F705" t="str">
            <v>TERRESTRE</v>
          </cell>
        </row>
        <row r="706">
          <cell r="A706">
            <v>44855</v>
          </cell>
          <cell r="B706" t="str">
            <v>URUMITA</v>
          </cell>
          <cell r="C706" t="str">
            <v>LA GUAJIRA</v>
          </cell>
          <cell r="D706" t="str">
            <v>VALLEDUPAR</v>
          </cell>
          <cell r="E706" t="str">
            <v>INTERMEDIA</v>
          </cell>
          <cell r="F706" t="str">
            <v>TERRESTRE</v>
          </cell>
        </row>
        <row r="707">
          <cell r="A707">
            <v>47189</v>
          </cell>
          <cell r="B707" t="str">
            <v>CIENAGA</v>
          </cell>
          <cell r="C707" t="str">
            <v>MAGDALENA</v>
          </cell>
          <cell r="D707" t="str">
            <v>SANTA MARTA</v>
          </cell>
          <cell r="E707" t="str">
            <v>INTERMEDIA</v>
          </cell>
          <cell r="F707" t="str">
            <v>TERRESTRE</v>
          </cell>
        </row>
        <row r="708">
          <cell r="A708">
            <v>47205</v>
          </cell>
          <cell r="B708" t="str">
            <v>CONCORDIA</v>
          </cell>
          <cell r="C708" t="str">
            <v>MAGDALENA</v>
          </cell>
          <cell r="D708" t="str">
            <v>BARRANQUILLA</v>
          </cell>
          <cell r="E708" t="str">
            <v>LEJANA</v>
          </cell>
          <cell r="F708" t="str">
            <v>TERRESTRE</v>
          </cell>
        </row>
        <row r="709">
          <cell r="A709">
            <v>47318</v>
          </cell>
          <cell r="B709" t="str">
            <v>GUAMAL</v>
          </cell>
          <cell r="C709" t="str">
            <v>MAGDALENA</v>
          </cell>
          <cell r="D709" t="str">
            <v>SANTA MARTA</v>
          </cell>
          <cell r="E709" t="str">
            <v>LEJANA</v>
          </cell>
          <cell r="F709" t="str">
            <v>TERRESTRE</v>
          </cell>
        </row>
        <row r="710">
          <cell r="A710">
            <v>47675</v>
          </cell>
          <cell r="B710" t="str">
            <v>SALAMINA</v>
          </cell>
          <cell r="C710" t="str">
            <v>MAGDALENA</v>
          </cell>
          <cell r="D710" t="str">
            <v>BARRANQUILLA</v>
          </cell>
          <cell r="E710" t="str">
            <v>INTERMEDIA</v>
          </cell>
          <cell r="F710" t="str">
            <v>TERRESTRE</v>
          </cell>
        </row>
        <row r="711">
          <cell r="A711">
            <v>47030</v>
          </cell>
          <cell r="B711" t="str">
            <v>ALGARROBO</v>
          </cell>
          <cell r="C711" t="str">
            <v>MAGDALENA</v>
          </cell>
          <cell r="D711" t="str">
            <v>SANTA MARTA</v>
          </cell>
          <cell r="E711" t="str">
            <v>LEJANA</v>
          </cell>
          <cell r="F711" t="str">
            <v>TERRESTRE</v>
          </cell>
        </row>
        <row r="712">
          <cell r="A712">
            <v>47053</v>
          </cell>
          <cell r="B712" t="str">
            <v>ARACATACA</v>
          </cell>
          <cell r="C712" t="str">
            <v>MAGDALENA</v>
          </cell>
          <cell r="D712" t="str">
            <v>SANTA MARTA</v>
          </cell>
          <cell r="E712" t="str">
            <v>LEJANA</v>
          </cell>
          <cell r="F712" t="str">
            <v>TERRESTRE</v>
          </cell>
        </row>
        <row r="713">
          <cell r="A713">
            <v>47058</v>
          </cell>
          <cell r="B713" t="str">
            <v>ARIGUANI</v>
          </cell>
          <cell r="C713" t="str">
            <v>MAGDALENA</v>
          </cell>
          <cell r="D713" t="str">
            <v>VALLEDUPAR</v>
          </cell>
          <cell r="E713" t="str">
            <v>LEJANA</v>
          </cell>
          <cell r="F713" t="str">
            <v>TERRESTRE</v>
          </cell>
        </row>
        <row r="714">
          <cell r="A714">
            <v>47161</v>
          </cell>
          <cell r="B714" t="str">
            <v>CERRO SAN ANTONIO</v>
          </cell>
          <cell r="C714" t="str">
            <v>MAGDALENA</v>
          </cell>
          <cell r="D714" t="str">
            <v>BARRANQUILLA</v>
          </cell>
          <cell r="E714" t="str">
            <v>LEJANA</v>
          </cell>
          <cell r="F714" t="str">
            <v>TERRESTRE</v>
          </cell>
        </row>
        <row r="715">
          <cell r="A715">
            <v>47170</v>
          </cell>
          <cell r="B715" t="str">
            <v>CHIBOLO</v>
          </cell>
          <cell r="C715" t="str">
            <v>MAGDALENA</v>
          </cell>
          <cell r="D715" t="str">
            <v>SANTA MARTA</v>
          </cell>
          <cell r="E715" t="str">
            <v>LEJANA</v>
          </cell>
          <cell r="F715" t="str">
            <v>TERRESTRE</v>
          </cell>
        </row>
        <row r="716">
          <cell r="A716">
            <v>47245</v>
          </cell>
          <cell r="B716" t="str">
            <v>EL BANCO</v>
          </cell>
          <cell r="C716" t="str">
            <v>MAGDALENA</v>
          </cell>
          <cell r="D716" t="str">
            <v>SANTA MARTA</v>
          </cell>
          <cell r="E716" t="str">
            <v>LEJANA</v>
          </cell>
          <cell r="F716" t="str">
            <v>TERRESTRE</v>
          </cell>
        </row>
        <row r="717">
          <cell r="A717">
            <v>47258</v>
          </cell>
          <cell r="B717" t="str">
            <v>EL PIÑON</v>
          </cell>
          <cell r="C717" t="str">
            <v>MAGDALENA</v>
          </cell>
          <cell r="D717" t="str">
            <v>BARRANQUILLA</v>
          </cell>
          <cell r="E717" t="str">
            <v>LEJANA</v>
          </cell>
          <cell r="F717" t="str">
            <v>TERRESTRE</v>
          </cell>
        </row>
        <row r="718">
          <cell r="A718">
            <v>47268</v>
          </cell>
          <cell r="B718" t="str">
            <v>EL RETEN</v>
          </cell>
          <cell r="C718" t="str">
            <v>MAGDALENA</v>
          </cell>
          <cell r="D718" t="str">
            <v>SANTA MARTA</v>
          </cell>
          <cell r="E718" t="str">
            <v>LEJANA</v>
          </cell>
          <cell r="F718" t="str">
            <v>TERRESTRE</v>
          </cell>
        </row>
        <row r="719">
          <cell r="A719">
            <v>47288</v>
          </cell>
          <cell r="B719" t="str">
            <v>FUNDACION</v>
          </cell>
          <cell r="C719" t="str">
            <v>MAGDALENA</v>
          </cell>
          <cell r="D719" t="str">
            <v>SANTA MARTA</v>
          </cell>
          <cell r="E719" t="str">
            <v>LEJANA</v>
          </cell>
          <cell r="F719" t="str">
            <v>TERRESTRE</v>
          </cell>
        </row>
        <row r="720">
          <cell r="A720">
            <v>47460</v>
          </cell>
          <cell r="B720" t="str">
            <v>NUEVA GRANADA</v>
          </cell>
          <cell r="C720" t="str">
            <v>MAGDALENA</v>
          </cell>
          <cell r="D720" t="str">
            <v>VALLEDUPAR</v>
          </cell>
          <cell r="E720" t="str">
            <v>LEJANA</v>
          </cell>
          <cell r="F720" t="str">
            <v>TERRESTRE</v>
          </cell>
        </row>
        <row r="721">
          <cell r="A721">
            <v>47541</v>
          </cell>
          <cell r="B721" t="str">
            <v>PEDRAZA</v>
          </cell>
          <cell r="C721" t="str">
            <v>MAGDALENA</v>
          </cell>
          <cell r="D721" t="str">
            <v>BARRANQUILLA</v>
          </cell>
          <cell r="E721" t="str">
            <v>LEJANA</v>
          </cell>
          <cell r="F721" t="str">
            <v>TERRESTRE</v>
          </cell>
        </row>
        <row r="722">
          <cell r="A722">
            <v>47545</v>
          </cell>
          <cell r="B722" t="str">
            <v>PIJIÑO DEL CARMEN</v>
          </cell>
          <cell r="C722" t="str">
            <v>MAGDALENA</v>
          </cell>
          <cell r="D722" t="str">
            <v>SANTA MARTA</v>
          </cell>
          <cell r="E722" t="str">
            <v>LEJANA</v>
          </cell>
          <cell r="F722" t="str">
            <v>TERRESTRE</v>
          </cell>
        </row>
        <row r="723">
          <cell r="A723">
            <v>47551</v>
          </cell>
          <cell r="B723" t="str">
            <v>PIVIJAY</v>
          </cell>
          <cell r="C723" t="str">
            <v>MAGDALENA</v>
          </cell>
          <cell r="D723" t="str">
            <v>SANTA MARTA</v>
          </cell>
          <cell r="E723" t="str">
            <v>LEJANA</v>
          </cell>
          <cell r="F723" t="str">
            <v>TERRESTRE</v>
          </cell>
        </row>
        <row r="724">
          <cell r="A724">
            <v>47555</v>
          </cell>
          <cell r="B724" t="str">
            <v>PLATO</v>
          </cell>
          <cell r="C724" t="str">
            <v>MAGDALENA</v>
          </cell>
          <cell r="D724" t="str">
            <v>SANTA MARTA</v>
          </cell>
          <cell r="E724" t="str">
            <v>LEJANA</v>
          </cell>
          <cell r="F724" t="str">
            <v>TERRESTRE</v>
          </cell>
        </row>
        <row r="725">
          <cell r="A725">
            <v>47570</v>
          </cell>
          <cell r="B725" t="str">
            <v>PUEBLOVIEJO</v>
          </cell>
          <cell r="C725" t="str">
            <v>MAGDALENA</v>
          </cell>
          <cell r="D725" t="str">
            <v>SANTA MARTA</v>
          </cell>
          <cell r="E725" t="str">
            <v>INTERMEDIA</v>
          </cell>
          <cell r="F725" t="str">
            <v>TERRESTRE</v>
          </cell>
        </row>
        <row r="726">
          <cell r="A726">
            <v>47605</v>
          </cell>
          <cell r="B726" t="str">
            <v>REMOLINO</v>
          </cell>
          <cell r="C726" t="str">
            <v>MAGDALENA</v>
          </cell>
          <cell r="D726" t="str">
            <v>BARRANQUILLA</v>
          </cell>
          <cell r="E726" t="str">
            <v>LEJANA</v>
          </cell>
          <cell r="F726" t="str">
            <v>TERRESTRE</v>
          </cell>
        </row>
        <row r="727">
          <cell r="A727">
            <v>47660</v>
          </cell>
          <cell r="B727" t="str">
            <v>SABANAS DE SAN ANGEL</v>
          </cell>
          <cell r="C727" t="str">
            <v>MAGDALENA</v>
          </cell>
          <cell r="D727" t="str">
            <v>SANTA MARTA</v>
          </cell>
          <cell r="E727" t="str">
            <v>LEJANA</v>
          </cell>
          <cell r="F727" t="str">
            <v>TERRESTRE</v>
          </cell>
        </row>
        <row r="728">
          <cell r="A728">
            <v>47692</v>
          </cell>
          <cell r="B728" t="str">
            <v>SAN SEBASTIAN DE BUENAVISTA</v>
          </cell>
          <cell r="C728" t="str">
            <v>MAGDALENA</v>
          </cell>
          <cell r="D728" t="str">
            <v>SANTA MARTA</v>
          </cell>
          <cell r="E728" t="str">
            <v>LEJANA</v>
          </cell>
          <cell r="F728" t="str">
            <v>TERRESTRE</v>
          </cell>
        </row>
        <row r="729">
          <cell r="A729">
            <v>47703</v>
          </cell>
          <cell r="B729" t="str">
            <v>SAN ZENON</v>
          </cell>
          <cell r="C729" t="str">
            <v>MAGDALENA</v>
          </cell>
          <cell r="D729" t="str">
            <v>SANTA MARTA</v>
          </cell>
          <cell r="E729" t="str">
            <v>LEJANA</v>
          </cell>
          <cell r="F729" t="str">
            <v>TERRESTRE</v>
          </cell>
        </row>
        <row r="730">
          <cell r="A730">
            <v>47707</v>
          </cell>
          <cell r="B730" t="str">
            <v>SANTA ANA</v>
          </cell>
          <cell r="C730" t="str">
            <v>MAGDALENA</v>
          </cell>
          <cell r="D730" t="str">
            <v>SANTA MARTA</v>
          </cell>
          <cell r="E730" t="str">
            <v>LEJANA</v>
          </cell>
          <cell r="F730" t="str">
            <v>TERRESTRE</v>
          </cell>
        </row>
        <row r="731">
          <cell r="A731">
            <v>47720</v>
          </cell>
          <cell r="B731" t="str">
            <v>SANTA BARBARA DE PINTO</v>
          </cell>
          <cell r="C731" t="str">
            <v>MAGDALENA</v>
          </cell>
          <cell r="D731" t="str">
            <v>SANTA MARTA</v>
          </cell>
          <cell r="E731" t="str">
            <v>LEJANA</v>
          </cell>
          <cell r="F731" t="str">
            <v>TERRESTRE</v>
          </cell>
        </row>
        <row r="732">
          <cell r="A732">
            <v>47001</v>
          </cell>
          <cell r="B732" t="str">
            <v>SANTA MARTA</v>
          </cell>
          <cell r="C732" t="str">
            <v>MAGDALENA</v>
          </cell>
          <cell r="D732" t="str">
            <v>SANTA MARTA</v>
          </cell>
          <cell r="E732" t="str">
            <v>PRINCIPAL</v>
          </cell>
          <cell r="F732" t="str">
            <v>TERRESTRE</v>
          </cell>
        </row>
        <row r="733">
          <cell r="A733">
            <v>47745</v>
          </cell>
          <cell r="B733" t="str">
            <v>SITIONUEVO</v>
          </cell>
          <cell r="C733" t="str">
            <v>MAGDALENA</v>
          </cell>
          <cell r="D733" t="str">
            <v>BARRANQUILLA</v>
          </cell>
          <cell r="E733" t="str">
            <v>INTERMEDIA</v>
          </cell>
          <cell r="F733" t="str">
            <v>TERRESTRE</v>
          </cell>
        </row>
        <row r="734">
          <cell r="A734">
            <v>47798</v>
          </cell>
          <cell r="B734" t="str">
            <v>TENERIFE</v>
          </cell>
          <cell r="C734" t="str">
            <v>MAGDALENA</v>
          </cell>
          <cell r="D734" t="str">
            <v>SANTA MARTA</v>
          </cell>
          <cell r="E734" t="str">
            <v>LEJANA</v>
          </cell>
          <cell r="F734" t="str">
            <v>TERRESTRE</v>
          </cell>
        </row>
        <row r="735">
          <cell r="A735">
            <v>47960</v>
          </cell>
          <cell r="B735" t="str">
            <v>ZAPAYAN</v>
          </cell>
          <cell r="C735" t="str">
            <v>MAGDALENA</v>
          </cell>
          <cell r="D735" t="str">
            <v>BARRANQUILLA</v>
          </cell>
          <cell r="E735" t="str">
            <v>LEJANA</v>
          </cell>
          <cell r="F735" t="str">
            <v>FLUVIAL</v>
          </cell>
        </row>
        <row r="736">
          <cell r="A736">
            <v>47980</v>
          </cell>
          <cell r="B736" t="str">
            <v>ZONA BANANERA</v>
          </cell>
          <cell r="C736" t="str">
            <v>MAGDALENA</v>
          </cell>
          <cell r="D736" t="str">
            <v>SANTA MARTA</v>
          </cell>
          <cell r="E736" t="str">
            <v>INTERMEDIA</v>
          </cell>
          <cell r="F736" t="str">
            <v>TERRESTRE</v>
          </cell>
        </row>
        <row r="737">
          <cell r="A737">
            <v>50313</v>
          </cell>
          <cell r="B737" t="str">
            <v>GRANADA</v>
          </cell>
          <cell r="C737" t="str">
            <v>META</v>
          </cell>
          <cell r="D737" t="str">
            <v>VILLAVICENCIO</v>
          </cell>
          <cell r="E737" t="str">
            <v>INTERMEDIA</v>
          </cell>
          <cell r="F737" t="str">
            <v>TERRESTRE</v>
          </cell>
        </row>
        <row r="738">
          <cell r="A738">
            <v>50318</v>
          </cell>
          <cell r="B738" t="str">
            <v>GUAMAL</v>
          </cell>
          <cell r="C738" t="str">
            <v>META</v>
          </cell>
          <cell r="D738" t="str">
            <v>VILLAVICENCIO</v>
          </cell>
          <cell r="E738" t="str">
            <v>INTERMEDIA</v>
          </cell>
          <cell r="F738" t="str">
            <v>TERRESTRE</v>
          </cell>
        </row>
        <row r="739">
          <cell r="A739">
            <v>50590</v>
          </cell>
          <cell r="B739" t="str">
            <v>PUERTO RICO</v>
          </cell>
          <cell r="C739" t="str">
            <v>META</v>
          </cell>
          <cell r="D739" t="str">
            <v>VILLAVICENCIO</v>
          </cell>
          <cell r="E739" t="str">
            <v>LEJANA</v>
          </cell>
          <cell r="F739" t="str">
            <v>TERRESTRE</v>
          </cell>
        </row>
        <row r="740">
          <cell r="A740">
            <v>50606</v>
          </cell>
          <cell r="B740" t="str">
            <v>RESTREPO</v>
          </cell>
          <cell r="C740" t="str">
            <v>META</v>
          </cell>
          <cell r="D740" t="str">
            <v>VILLAVICENCIO</v>
          </cell>
          <cell r="E740" t="str">
            <v>INTERMEDIA</v>
          </cell>
          <cell r="F740" t="str">
            <v>TERRESTRE</v>
          </cell>
        </row>
        <row r="741">
          <cell r="A741">
            <v>50689</v>
          </cell>
          <cell r="B741" t="str">
            <v>SAN MARTIN</v>
          </cell>
          <cell r="C741" t="str">
            <v>META</v>
          </cell>
          <cell r="D741" t="str">
            <v>VILLAVICENCIO</v>
          </cell>
          <cell r="E741" t="str">
            <v>INTERMEDIA</v>
          </cell>
          <cell r="F741" t="str">
            <v>TERRESTRE</v>
          </cell>
        </row>
        <row r="742">
          <cell r="A742">
            <v>50006</v>
          </cell>
          <cell r="B742" t="str">
            <v>ACACIAS</v>
          </cell>
          <cell r="C742" t="str">
            <v>META</v>
          </cell>
          <cell r="D742" t="str">
            <v>VILLAVICENCIO</v>
          </cell>
          <cell r="E742" t="str">
            <v>INTERMEDIA</v>
          </cell>
          <cell r="F742" t="str">
            <v>TERRESTRE</v>
          </cell>
        </row>
        <row r="743">
          <cell r="A743">
            <v>50110</v>
          </cell>
          <cell r="B743" t="str">
            <v>BARRANCA DE UPIA</v>
          </cell>
          <cell r="C743" t="str">
            <v>META</v>
          </cell>
          <cell r="D743" t="str">
            <v>VILLAVICENCIO</v>
          </cell>
          <cell r="E743" t="str">
            <v>INTERMEDIA</v>
          </cell>
          <cell r="F743" t="str">
            <v>TERRESTRE</v>
          </cell>
        </row>
        <row r="744">
          <cell r="A744">
            <v>50124</v>
          </cell>
          <cell r="B744" t="str">
            <v>CABUYARO</v>
          </cell>
          <cell r="C744" t="str">
            <v>META</v>
          </cell>
          <cell r="D744" t="str">
            <v>VILLAVICENCIO</v>
          </cell>
          <cell r="E744" t="str">
            <v>LEJANA</v>
          </cell>
          <cell r="F744" t="str">
            <v>TERRESTRE</v>
          </cell>
        </row>
        <row r="745">
          <cell r="A745">
            <v>50150</v>
          </cell>
          <cell r="B745" t="str">
            <v>CASTILLA LA NUEVA</v>
          </cell>
          <cell r="C745" t="str">
            <v>META</v>
          </cell>
          <cell r="D745" t="str">
            <v>VILLAVICENCIO</v>
          </cell>
          <cell r="E745" t="str">
            <v>INTERMEDIA</v>
          </cell>
          <cell r="F745" t="str">
            <v>TERRESTRE</v>
          </cell>
        </row>
        <row r="746">
          <cell r="A746">
            <v>50223</v>
          </cell>
          <cell r="B746" t="str">
            <v>CUBARRAL</v>
          </cell>
          <cell r="C746" t="str">
            <v>META</v>
          </cell>
          <cell r="D746" t="str">
            <v>VILLAVICENCIO</v>
          </cell>
          <cell r="E746" t="str">
            <v>INTERMEDIA</v>
          </cell>
          <cell r="F746" t="str">
            <v>TERRESTRE</v>
          </cell>
        </row>
        <row r="747">
          <cell r="A747">
            <v>50226</v>
          </cell>
          <cell r="B747" t="str">
            <v>CUMARAL</v>
          </cell>
          <cell r="C747" t="str">
            <v>META</v>
          </cell>
          <cell r="D747" t="str">
            <v>VILLAVICENCIO</v>
          </cell>
          <cell r="E747" t="str">
            <v>INTERMEDIA</v>
          </cell>
          <cell r="F747" t="str">
            <v>TERRESTRE</v>
          </cell>
        </row>
        <row r="748">
          <cell r="A748">
            <v>50245</v>
          </cell>
          <cell r="B748" t="str">
            <v>EL CALVARIO</v>
          </cell>
          <cell r="C748" t="str">
            <v>META</v>
          </cell>
          <cell r="D748" t="str">
            <v>VILLAVICENCIO</v>
          </cell>
          <cell r="E748" t="str">
            <v>LEJANA</v>
          </cell>
          <cell r="F748" t="str">
            <v>TERRESTRE</v>
          </cell>
        </row>
        <row r="749">
          <cell r="A749">
            <v>50251</v>
          </cell>
          <cell r="B749" t="str">
            <v>EL CASTILLO</v>
          </cell>
          <cell r="C749" t="str">
            <v>META</v>
          </cell>
          <cell r="D749" t="str">
            <v>VILLAVICENCIO</v>
          </cell>
          <cell r="E749" t="str">
            <v>INTERMEDIA</v>
          </cell>
          <cell r="F749" t="str">
            <v>TERRESTRE</v>
          </cell>
        </row>
        <row r="750">
          <cell r="A750">
            <v>50270</v>
          </cell>
          <cell r="B750" t="str">
            <v>EL DORADO</v>
          </cell>
          <cell r="C750" t="str">
            <v>META</v>
          </cell>
          <cell r="D750" t="str">
            <v>VILLAVICENCIO</v>
          </cell>
          <cell r="E750" t="str">
            <v>INTERMEDIA</v>
          </cell>
          <cell r="F750" t="str">
            <v>TERRESTRE</v>
          </cell>
        </row>
        <row r="751">
          <cell r="A751">
            <v>50287</v>
          </cell>
          <cell r="B751" t="str">
            <v>FUENTE DE ORO</v>
          </cell>
          <cell r="C751" t="str">
            <v>META</v>
          </cell>
          <cell r="D751" t="str">
            <v>VILLAVICENCIO</v>
          </cell>
          <cell r="E751" t="str">
            <v>LEJANA</v>
          </cell>
          <cell r="F751" t="str">
            <v>TERRESTRE</v>
          </cell>
        </row>
        <row r="752">
          <cell r="A752">
            <v>50350</v>
          </cell>
          <cell r="B752" t="str">
            <v>LA MACARENA</v>
          </cell>
          <cell r="C752" t="str">
            <v>META</v>
          </cell>
          <cell r="D752" t="str">
            <v>VILLAVICENCIO</v>
          </cell>
          <cell r="E752" t="str">
            <v>LEJANA</v>
          </cell>
          <cell r="F752" t="str">
            <v>AEREO</v>
          </cell>
        </row>
        <row r="753">
          <cell r="A753">
            <v>50400</v>
          </cell>
          <cell r="B753" t="str">
            <v>LEJANIAS</v>
          </cell>
          <cell r="C753" t="str">
            <v>META</v>
          </cell>
          <cell r="D753" t="str">
            <v>VILLAVICENCIO</v>
          </cell>
          <cell r="E753" t="str">
            <v>LEJANA</v>
          </cell>
          <cell r="F753" t="str">
            <v>TERRESTRE</v>
          </cell>
        </row>
        <row r="754">
          <cell r="A754">
            <v>50325</v>
          </cell>
          <cell r="B754" t="str">
            <v>MAPIRIPAN</v>
          </cell>
          <cell r="C754" t="str">
            <v>META</v>
          </cell>
          <cell r="D754" t="str">
            <v>VILLAVICENCIO</v>
          </cell>
          <cell r="E754" t="str">
            <v>LEJANA</v>
          </cell>
          <cell r="F754" t="str">
            <v>AEREO</v>
          </cell>
        </row>
        <row r="755">
          <cell r="A755">
            <v>50330</v>
          </cell>
          <cell r="B755" t="str">
            <v>MESETAS</v>
          </cell>
          <cell r="C755" t="str">
            <v>META</v>
          </cell>
          <cell r="D755" t="str">
            <v>VILLAVICENCIO</v>
          </cell>
          <cell r="E755" t="str">
            <v>LEJANA</v>
          </cell>
          <cell r="F755" t="str">
            <v>TERRESTRE</v>
          </cell>
        </row>
        <row r="756">
          <cell r="A756">
            <v>50450</v>
          </cell>
          <cell r="B756" t="str">
            <v>PUERTO CONCORDIA</v>
          </cell>
          <cell r="C756" t="str">
            <v>META</v>
          </cell>
          <cell r="D756" t="str">
            <v>VILLAVICENCIO</v>
          </cell>
          <cell r="E756" t="str">
            <v>LEJANA</v>
          </cell>
          <cell r="F756" t="str">
            <v>TERRESTRE</v>
          </cell>
        </row>
        <row r="757">
          <cell r="A757">
            <v>50568</v>
          </cell>
          <cell r="B757" t="str">
            <v>PUERTO GAITAN</v>
          </cell>
          <cell r="C757" t="str">
            <v>META</v>
          </cell>
          <cell r="D757" t="str">
            <v>VILLAVICENCIO</v>
          </cell>
          <cell r="E757" t="str">
            <v>LEJANA</v>
          </cell>
          <cell r="F757" t="str">
            <v>TERRESTRE</v>
          </cell>
        </row>
        <row r="758">
          <cell r="A758">
            <v>50577</v>
          </cell>
          <cell r="B758" t="str">
            <v>PUERTO LLERAS</v>
          </cell>
          <cell r="C758" t="str">
            <v>META</v>
          </cell>
          <cell r="D758" t="str">
            <v>VILLAVICENCIO</v>
          </cell>
          <cell r="E758" t="str">
            <v>LEJANA</v>
          </cell>
          <cell r="F758" t="str">
            <v>TERRESTRE</v>
          </cell>
        </row>
        <row r="759">
          <cell r="A759">
            <v>50573</v>
          </cell>
          <cell r="B759" t="str">
            <v>PUERTO LOPEZ</v>
          </cell>
          <cell r="C759" t="str">
            <v>META</v>
          </cell>
          <cell r="D759" t="str">
            <v>VILLAVICENCIO</v>
          </cell>
          <cell r="E759" t="str">
            <v>INTERMEDIA</v>
          </cell>
          <cell r="F759" t="str">
            <v>TERRESTRE</v>
          </cell>
        </row>
        <row r="760">
          <cell r="A760">
            <v>50680</v>
          </cell>
          <cell r="B760" t="str">
            <v>SAN CARLOS DE GUAROA</v>
          </cell>
          <cell r="C760" t="str">
            <v>META</v>
          </cell>
          <cell r="D760" t="str">
            <v>VILLAVICENCIO</v>
          </cell>
          <cell r="E760" t="str">
            <v>INTERMEDIA</v>
          </cell>
          <cell r="F760" t="str">
            <v>TERRESTRE</v>
          </cell>
        </row>
        <row r="761">
          <cell r="A761">
            <v>50683</v>
          </cell>
          <cell r="B761" t="str">
            <v>SAN JUAN DE ARAMA</v>
          </cell>
          <cell r="C761" t="str">
            <v>META</v>
          </cell>
          <cell r="D761" t="str">
            <v>VILLAVICENCIO</v>
          </cell>
          <cell r="E761" t="str">
            <v>LEJANA</v>
          </cell>
          <cell r="F761" t="str">
            <v>TERRESTRE</v>
          </cell>
        </row>
        <row r="762">
          <cell r="A762">
            <v>50686</v>
          </cell>
          <cell r="B762" t="str">
            <v>SAN JUANITO</v>
          </cell>
          <cell r="C762" t="str">
            <v>META</v>
          </cell>
          <cell r="D762" t="str">
            <v>VILLAVICENCIO</v>
          </cell>
          <cell r="E762" t="str">
            <v>LEJANA</v>
          </cell>
          <cell r="F762" t="str">
            <v>TERRESTRE</v>
          </cell>
        </row>
        <row r="763">
          <cell r="A763">
            <v>50370</v>
          </cell>
          <cell r="B763" t="str">
            <v>URIBE</v>
          </cell>
          <cell r="C763" t="str">
            <v>META</v>
          </cell>
          <cell r="D763" t="str">
            <v>VILLAVICENCIO</v>
          </cell>
          <cell r="E763" t="str">
            <v>LEJANA</v>
          </cell>
          <cell r="F763" t="str">
            <v>AEREO</v>
          </cell>
        </row>
        <row r="764">
          <cell r="A764">
            <v>50001</v>
          </cell>
          <cell r="B764" t="str">
            <v>VILLAVICENCIO</v>
          </cell>
          <cell r="C764" t="str">
            <v>META</v>
          </cell>
          <cell r="D764" t="str">
            <v>VILLAVICENCIO</v>
          </cell>
          <cell r="E764" t="str">
            <v>PRINCIPAL</v>
          </cell>
          <cell r="F764" t="str">
            <v>TERRESTRE</v>
          </cell>
        </row>
        <row r="765">
          <cell r="A765">
            <v>50711</v>
          </cell>
          <cell r="B765" t="str">
            <v>VISTAHERMOSA</v>
          </cell>
          <cell r="C765" t="str">
            <v>META</v>
          </cell>
          <cell r="D765" t="str">
            <v>VILLAVICENCIO</v>
          </cell>
          <cell r="E765" t="str">
            <v>LEJANA</v>
          </cell>
          <cell r="F765" t="str">
            <v>TERRESTRE</v>
          </cell>
        </row>
        <row r="766">
          <cell r="A766">
            <v>52019</v>
          </cell>
          <cell r="B766" t="str">
            <v>ALBAN</v>
          </cell>
          <cell r="C766" t="str">
            <v>NARIÑO</v>
          </cell>
          <cell r="D766" t="str">
            <v>PASTO</v>
          </cell>
          <cell r="E766" t="str">
            <v>INTERMEDIA</v>
          </cell>
          <cell r="F766" t="str">
            <v>TERRESTRE</v>
          </cell>
        </row>
        <row r="767">
          <cell r="A767">
            <v>52083</v>
          </cell>
          <cell r="B767" t="str">
            <v>BELEN</v>
          </cell>
          <cell r="C767" t="str">
            <v>NARIÑO</v>
          </cell>
          <cell r="D767" t="str">
            <v>PASTO</v>
          </cell>
          <cell r="E767" t="str">
            <v>LEJANA</v>
          </cell>
          <cell r="F767" t="str">
            <v>TERRESTRE</v>
          </cell>
        </row>
        <row r="768">
          <cell r="A768">
            <v>52203</v>
          </cell>
          <cell r="B768" t="str">
            <v>COLON</v>
          </cell>
          <cell r="C768" t="str">
            <v>NARIÑO</v>
          </cell>
          <cell r="D768" t="str">
            <v>PASTO</v>
          </cell>
          <cell r="E768" t="str">
            <v>LEJANA</v>
          </cell>
          <cell r="F768" t="str">
            <v>TERRESTRE</v>
          </cell>
        </row>
        <row r="769">
          <cell r="A769">
            <v>52215</v>
          </cell>
          <cell r="B769" t="str">
            <v>CORDOBA</v>
          </cell>
          <cell r="C769" t="str">
            <v>NARIÑO</v>
          </cell>
          <cell r="D769" t="str">
            <v>PASTO</v>
          </cell>
          <cell r="E769" t="str">
            <v>INTERMEDIA</v>
          </cell>
          <cell r="F769" t="str">
            <v>TERRESTRE</v>
          </cell>
        </row>
        <row r="770">
          <cell r="A770">
            <v>52260</v>
          </cell>
          <cell r="B770" t="str">
            <v>EL TAMBO</v>
          </cell>
          <cell r="C770" t="str">
            <v>NARIÑO</v>
          </cell>
          <cell r="D770" t="str">
            <v>PASTO</v>
          </cell>
          <cell r="E770" t="str">
            <v>INTERMEDIA</v>
          </cell>
          <cell r="F770" t="str">
            <v>TERRESTRE</v>
          </cell>
        </row>
        <row r="771">
          <cell r="A771">
            <v>52399</v>
          </cell>
          <cell r="B771" t="str">
            <v>LA UNION</v>
          </cell>
          <cell r="C771" t="str">
            <v>NARIÑO</v>
          </cell>
          <cell r="D771" t="str">
            <v>PASTO</v>
          </cell>
          <cell r="E771" t="str">
            <v>LEJANA</v>
          </cell>
          <cell r="F771" t="str">
            <v>TERRESTRE</v>
          </cell>
        </row>
        <row r="772">
          <cell r="A772">
            <v>52473</v>
          </cell>
          <cell r="B772" t="str">
            <v>MOSQUERA</v>
          </cell>
          <cell r="C772" t="str">
            <v>NARIÑO</v>
          </cell>
          <cell r="D772" t="str">
            <v>PASTO</v>
          </cell>
          <cell r="E772" t="str">
            <v>LEJANA</v>
          </cell>
          <cell r="F772" t="str">
            <v>TERRESTRE</v>
          </cell>
        </row>
        <row r="773">
          <cell r="A773">
            <v>52480</v>
          </cell>
          <cell r="B773" t="str">
            <v>NARIÑO</v>
          </cell>
          <cell r="C773" t="str">
            <v>NARIÑO</v>
          </cell>
          <cell r="D773" t="str">
            <v>PASTO</v>
          </cell>
          <cell r="E773" t="str">
            <v>INTERMEDIA</v>
          </cell>
          <cell r="F773" t="str">
            <v>TERRESTRE</v>
          </cell>
        </row>
        <row r="774">
          <cell r="A774">
            <v>52565</v>
          </cell>
          <cell r="B774" t="str">
            <v>PROVIDENCIA</v>
          </cell>
          <cell r="C774" t="str">
            <v>NARIÑO</v>
          </cell>
          <cell r="D774" t="str">
            <v>PASTO</v>
          </cell>
          <cell r="E774" t="str">
            <v>LEJANA</v>
          </cell>
          <cell r="F774" t="str">
            <v>TERRESTRE</v>
          </cell>
        </row>
        <row r="775">
          <cell r="A775">
            <v>52612</v>
          </cell>
          <cell r="B775" t="str">
            <v>RICAURTE</v>
          </cell>
          <cell r="C775" t="str">
            <v>NARIÑO</v>
          </cell>
          <cell r="D775" t="str">
            <v>PASTO</v>
          </cell>
          <cell r="E775" t="str">
            <v>LEJANA</v>
          </cell>
          <cell r="F775" t="str">
            <v>TERRESTRE</v>
          </cell>
        </row>
        <row r="776">
          <cell r="A776">
            <v>52685</v>
          </cell>
          <cell r="B776" t="str">
            <v>SAN BERNARDO</v>
          </cell>
          <cell r="C776" t="str">
            <v>NARIÑO</v>
          </cell>
          <cell r="D776" t="str">
            <v>PASTO</v>
          </cell>
          <cell r="E776" t="str">
            <v>INTERMEDIA</v>
          </cell>
          <cell r="F776" t="str">
            <v>TERRESTRE</v>
          </cell>
        </row>
        <row r="777">
          <cell r="A777">
            <v>52693</v>
          </cell>
          <cell r="B777" t="str">
            <v>SAN PABLO</v>
          </cell>
          <cell r="C777" t="str">
            <v>NARIÑO</v>
          </cell>
          <cell r="D777" t="str">
            <v>PASTO</v>
          </cell>
          <cell r="E777" t="str">
            <v>LEJANA</v>
          </cell>
          <cell r="F777" t="str">
            <v>TERRESTRE</v>
          </cell>
        </row>
        <row r="778">
          <cell r="A778">
            <v>52696</v>
          </cell>
          <cell r="B778" t="str">
            <v>SANTA BARBARA</v>
          </cell>
          <cell r="C778" t="str">
            <v>NARIÑO</v>
          </cell>
          <cell r="D778" t="str">
            <v>PASTO</v>
          </cell>
          <cell r="E778" t="str">
            <v>LEJANA</v>
          </cell>
          <cell r="F778" t="str">
            <v>TERRESTRE/FLUVIAL</v>
          </cell>
        </row>
        <row r="779">
          <cell r="A779">
            <v>52022</v>
          </cell>
          <cell r="B779" t="str">
            <v>ALDANA</v>
          </cell>
          <cell r="C779" t="str">
            <v>NARIÑO</v>
          </cell>
          <cell r="D779" t="str">
            <v>PASTO</v>
          </cell>
          <cell r="E779" t="str">
            <v>INTERMEDIA</v>
          </cell>
          <cell r="F779" t="str">
            <v>TERRESTRE</v>
          </cell>
        </row>
        <row r="780">
          <cell r="A780">
            <v>52036</v>
          </cell>
          <cell r="B780" t="str">
            <v>ANCUYA</v>
          </cell>
          <cell r="C780" t="str">
            <v>NARIÑO</v>
          </cell>
          <cell r="D780" t="str">
            <v>PASTO</v>
          </cell>
          <cell r="E780" t="str">
            <v>INTERMEDIA</v>
          </cell>
          <cell r="F780" t="str">
            <v>TERRESTRE</v>
          </cell>
        </row>
        <row r="781">
          <cell r="A781">
            <v>52051</v>
          </cell>
          <cell r="B781" t="str">
            <v>ARBOLEDA</v>
          </cell>
          <cell r="C781" t="str">
            <v>NARIÑO</v>
          </cell>
          <cell r="D781" t="str">
            <v>PASTO</v>
          </cell>
          <cell r="E781" t="str">
            <v>INTERMEDIA</v>
          </cell>
          <cell r="F781" t="str">
            <v>TERRESTRE</v>
          </cell>
        </row>
        <row r="782">
          <cell r="A782">
            <v>52079</v>
          </cell>
          <cell r="B782" t="str">
            <v>BARBACOAS</v>
          </cell>
          <cell r="C782" t="str">
            <v>NARIÑO</v>
          </cell>
          <cell r="D782" t="str">
            <v>PASTO</v>
          </cell>
          <cell r="E782" t="str">
            <v>LEJANA</v>
          </cell>
          <cell r="F782" t="str">
            <v>TERRESTRE</v>
          </cell>
        </row>
        <row r="783">
          <cell r="A783">
            <v>52110</v>
          </cell>
          <cell r="B783" t="str">
            <v>BUESACO</v>
          </cell>
          <cell r="C783" t="str">
            <v>NARIÑO</v>
          </cell>
          <cell r="D783" t="str">
            <v>PASTO</v>
          </cell>
          <cell r="E783" t="str">
            <v>INTERMEDIA</v>
          </cell>
          <cell r="F783" t="str">
            <v>TERRESTRE</v>
          </cell>
        </row>
        <row r="784">
          <cell r="A784">
            <v>52240</v>
          </cell>
          <cell r="B784" t="str">
            <v>CHACHAGUI</v>
          </cell>
          <cell r="C784" t="str">
            <v>NARIÑO</v>
          </cell>
          <cell r="D784" t="str">
            <v>PASTO</v>
          </cell>
          <cell r="E784" t="str">
            <v>INTERMEDIA</v>
          </cell>
          <cell r="F784" t="str">
            <v>TERRESTRE</v>
          </cell>
        </row>
        <row r="785">
          <cell r="A785">
            <v>52207</v>
          </cell>
          <cell r="B785" t="str">
            <v>CONSACA</v>
          </cell>
          <cell r="C785" t="str">
            <v>NARIÑO</v>
          </cell>
          <cell r="D785" t="str">
            <v>PASTO</v>
          </cell>
          <cell r="E785" t="str">
            <v>INTERMEDIA</v>
          </cell>
          <cell r="F785" t="str">
            <v>TERRESTRE</v>
          </cell>
        </row>
        <row r="786">
          <cell r="A786">
            <v>52210</v>
          </cell>
          <cell r="B786" t="str">
            <v>CONTADERO</v>
          </cell>
          <cell r="C786" t="str">
            <v>NARIÑO</v>
          </cell>
          <cell r="D786" t="str">
            <v>PASTO</v>
          </cell>
          <cell r="E786" t="str">
            <v>INTERMEDIA</v>
          </cell>
          <cell r="F786" t="str">
            <v>TERRESTRE</v>
          </cell>
        </row>
        <row r="787">
          <cell r="A787">
            <v>52224</v>
          </cell>
          <cell r="B787" t="str">
            <v>CUASPUD</v>
          </cell>
          <cell r="C787" t="str">
            <v>NARIÑO</v>
          </cell>
          <cell r="D787" t="str">
            <v>PASTO</v>
          </cell>
          <cell r="E787" t="str">
            <v>INTERMEDIA</v>
          </cell>
          <cell r="F787" t="str">
            <v>TERRESTRE</v>
          </cell>
        </row>
        <row r="788">
          <cell r="A788">
            <v>52227</v>
          </cell>
          <cell r="B788" t="str">
            <v>CUMBAL</v>
          </cell>
          <cell r="C788" t="str">
            <v>NARIÑO</v>
          </cell>
          <cell r="D788" t="str">
            <v>PASTO</v>
          </cell>
          <cell r="E788" t="str">
            <v>LEJANA</v>
          </cell>
          <cell r="F788" t="str">
            <v>TERRESTRE</v>
          </cell>
        </row>
        <row r="789">
          <cell r="A789">
            <v>52233</v>
          </cell>
          <cell r="B789" t="str">
            <v>CUMBITARA</v>
          </cell>
          <cell r="C789" t="str">
            <v>NARIÑO</v>
          </cell>
          <cell r="D789" t="str">
            <v>PASTO</v>
          </cell>
          <cell r="E789" t="str">
            <v>INTERMEDIA</v>
          </cell>
          <cell r="F789" t="str">
            <v>TERRESTRE</v>
          </cell>
        </row>
        <row r="790">
          <cell r="A790">
            <v>52250</v>
          </cell>
          <cell r="B790" t="str">
            <v>EL CHARCO</v>
          </cell>
          <cell r="C790" t="str">
            <v>NARIÑO</v>
          </cell>
          <cell r="D790" t="str">
            <v>PASTO</v>
          </cell>
          <cell r="E790" t="str">
            <v>LEJANA</v>
          </cell>
          <cell r="F790" t="str">
            <v>FLUVIAL</v>
          </cell>
        </row>
        <row r="791">
          <cell r="A791">
            <v>52254</v>
          </cell>
          <cell r="B791" t="str">
            <v>EL PEÑOL</v>
          </cell>
          <cell r="C791" t="str">
            <v>NARIÑO</v>
          </cell>
          <cell r="D791" t="str">
            <v>PASTO</v>
          </cell>
          <cell r="E791" t="str">
            <v>INTERMEDIA</v>
          </cell>
          <cell r="F791" t="str">
            <v>TERRESTRE</v>
          </cell>
        </row>
        <row r="792">
          <cell r="A792">
            <v>52256</v>
          </cell>
          <cell r="B792" t="str">
            <v>EL ROSARIO</v>
          </cell>
          <cell r="C792" t="str">
            <v>NARIÑO</v>
          </cell>
          <cell r="D792" t="str">
            <v>PASTO</v>
          </cell>
          <cell r="E792" t="str">
            <v>INTERMEDIA</v>
          </cell>
          <cell r="F792" t="str">
            <v>TERRESTRE</v>
          </cell>
        </row>
        <row r="793">
          <cell r="A793">
            <v>52258</v>
          </cell>
          <cell r="B793" t="str">
            <v>EL TABLON DE GOMEZ</v>
          </cell>
          <cell r="C793" t="str">
            <v>NARIÑO</v>
          </cell>
          <cell r="D793" t="str">
            <v>PASTO</v>
          </cell>
          <cell r="E793" t="str">
            <v>INTERMEDIA</v>
          </cell>
          <cell r="F793" t="str">
            <v>TERRESTRE</v>
          </cell>
        </row>
        <row r="794">
          <cell r="A794">
            <v>52520</v>
          </cell>
          <cell r="B794" t="str">
            <v>FRANCISCO PIZARRO</v>
          </cell>
          <cell r="C794" t="str">
            <v>NARIÑO</v>
          </cell>
          <cell r="D794" t="str">
            <v>PASTO</v>
          </cell>
          <cell r="E794" t="str">
            <v>LEJANA</v>
          </cell>
          <cell r="F794" t="str">
            <v>FLUVIAL</v>
          </cell>
        </row>
        <row r="795">
          <cell r="A795">
            <v>52287</v>
          </cell>
          <cell r="B795" t="str">
            <v>FUNES</v>
          </cell>
          <cell r="C795" t="str">
            <v>NARIÑO</v>
          </cell>
          <cell r="D795" t="str">
            <v>PASTO</v>
          </cell>
          <cell r="E795" t="str">
            <v>INTERMEDIA</v>
          </cell>
          <cell r="F795" t="str">
            <v>TERRESTRE</v>
          </cell>
        </row>
        <row r="796">
          <cell r="A796">
            <v>52317</v>
          </cell>
          <cell r="B796" t="str">
            <v>GUACHUCAL</v>
          </cell>
          <cell r="C796" t="str">
            <v>NARIÑO</v>
          </cell>
          <cell r="D796" t="str">
            <v>PASTO</v>
          </cell>
          <cell r="E796" t="str">
            <v>INTERMEDIA</v>
          </cell>
          <cell r="F796" t="str">
            <v>TERRESTRE</v>
          </cell>
        </row>
        <row r="797">
          <cell r="A797">
            <v>52320</v>
          </cell>
          <cell r="B797" t="str">
            <v>GUAITARILLA</v>
          </cell>
          <cell r="C797" t="str">
            <v>NARIÑO</v>
          </cell>
          <cell r="D797" t="str">
            <v>PASTO</v>
          </cell>
          <cell r="E797" t="str">
            <v>INTERMEDIA</v>
          </cell>
          <cell r="F797" t="str">
            <v>TERRESTRE</v>
          </cell>
        </row>
        <row r="798">
          <cell r="A798">
            <v>52323</v>
          </cell>
          <cell r="B798" t="str">
            <v>GUALMATAN</v>
          </cell>
          <cell r="C798" t="str">
            <v>NARIÑO</v>
          </cell>
          <cell r="D798" t="str">
            <v>PASTO</v>
          </cell>
          <cell r="E798" t="str">
            <v>INTERMEDIA</v>
          </cell>
          <cell r="F798" t="str">
            <v>TERRESTRE</v>
          </cell>
        </row>
        <row r="799">
          <cell r="A799">
            <v>52352</v>
          </cell>
          <cell r="B799" t="str">
            <v>ILES</v>
          </cell>
          <cell r="C799" t="str">
            <v>NARIÑO</v>
          </cell>
          <cell r="D799" t="str">
            <v>PASTO</v>
          </cell>
          <cell r="E799" t="str">
            <v>INTERMEDIA</v>
          </cell>
          <cell r="F799" t="str">
            <v>TERRESTRE</v>
          </cell>
        </row>
        <row r="800">
          <cell r="A800">
            <v>52354</v>
          </cell>
          <cell r="B800" t="str">
            <v>IMUES</v>
          </cell>
          <cell r="C800" t="str">
            <v>NARIÑO</v>
          </cell>
          <cell r="D800" t="str">
            <v>PASTO</v>
          </cell>
          <cell r="E800" t="str">
            <v>INTERMEDIA</v>
          </cell>
          <cell r="F800" t="str">
            <v>TERRESTRE</v>
          </cell>
        </row>
        <row r="801">
          <cell r="A801">
            <v>52356</v>
          </cell>
          <cell r="B801" t="str">
            <v>IPIALES</v>
          </cell>
          <cell r="C801" t="str">
            <v>NARIÑO</v>
          </cell>
          <cell r="D801" t="str">
            <v>PASTO</v>
          </cell>
          <cell r="E801" t="str">
            <v>INTERMEDIA</v>
          </cell>
          <cell r="F801" t="str">
            <v>TERRESTRE</v>
          </cell>
        </row>
        <row r="802">
          <cell r="A802">
            <v>52378</v>
          </cell>
          <cell r="B802" t="str">
            <v>LA CRUZ</v>
          </cell>
          <cell r="C802" t="str">
            <v>NARIÑO</v>
          </cell>
          <cell r="D802" t="str">
            <v>PASTO</v>
          </cell>
          <cell r="E802" t="str">
            <v>LEJANA</v>
          </cell>
          <cell r="F802" t="str">
            <v>TERRESTRE</v>
          </cell>
        </row>
        <row r="803">
          <cell r="A803">
            <v>52381</v>
          </cell>
          <cell r="B803" t="str">
            <v>LA FLORIDA</v>
          </cell>
          <cell r="C803" t="str">
            <v>NARIÑO</v>
          </cell>
          <cell r="D803" t="str">
            <v>PASTO</v>
          </cell>
          <cell r="E803" t="str">
            <v>INTERMEDIA</v>
          </cell>
          <cell r="F803" t="str">
            <v>TERRESTRE</v>
          </cell>
        </row>
        <row r="804">
          <cell r="A804">
            <v>52385</v>
          </cell>
          <cell r="B804" t="str">
            <v>LA LLANADA</v>
          </cell>
          <cell r="C804" t="str">
            <v>NARIÑO</v>
          </cell>
          <cell r="D804" t="str">
            <v>PASTO</v>
          </cell>
          <cell r="E804" t="str">
            <v>LEJANA</v>
          </cell>
          <cell r="F804" t="str">
            <v>TERRESTRE</v>
          </cell>
        </row>
        <row r="805">
          <cell r="A805">
            <v>52390</v>
          </cell>
          <cell r="B805" t="str">
            <v>LA TOLA</v>
          </cell>
          <cell r="C805" t="str">
            <v>NARIÑO</v>
          </cell>
          <cell r="D805" t="str">
            <v>PASTO</v>
          </cell>
          <cell r="E805" t="str">
            <v>LEJANA</v>
          </cell>
          <cell r="F805" t="str">
            <v>FLUVIAL</v>
          </cell>
        </row>
        <row r="806">
          <cell r="A806">
            <v>52405</v>
          </cell>
          <cell r="B806" t="str">
            <v>LEIVA</v>
          </cell>
          <cell r="C806" t="str">
            <v>NARIÑO</v>
          </cell>
          <cell r="D806" t="str">
            <v>PASTO</v>
          </cell>
          <cell r="E806" t="str">
            <v>LEJANA</v>
          </cell>
          <cell r="F806" t="str">
            <v>TERRESTRE</v>
          </cell>
        </row>
        <row r="807">
          <cell r="A807">
            <v>52411</v>
          </cell>
          <cell r="B807" t="str">
            <v>LINARES</v>
          </cell>
          <cell r="C807" t="str">
            <v>NARIÑO</v>
          </cell>
          <cell r="D807" t="str">
            <v>PASTO</v>
          </cell>
          <cell r="E807" t="str">
            <v>LEJANA</v>
          </cell>
          <cell r="F807" t="str">
            <v>TERRESTRE</v>
          </cell>
        </row>
        <row r="808">
          <cell r="A808">
            <v>52418</v>
          </cell>
          <cell r="B808" t="str">
            <v>LOS ANDES</v>
          </cell>
          <cell r="C808" t="str">
            <v>NARIÑO</v>
          </cell>
          <cell r="D808" t="str">
            <v>PASTO</v>
          </cell>
          <cell r="E808" t="str">
            <v>LEJANA</v>
          </cell>
          <cell r="F808" t="str">
            <v>TERRESTRE</v>
          </cell>
        </row>
        <row r="809">
          <cell r="A809">
            <v>52427</v>
          </cell>
          <cell r="B809" t="str">
            <v>MAGUI</v>
          </cell>
          <cell r="C809" t="str">
            <v>NARIÑO</v>
          </cell>
          <cell r="D809" t="str">
            <v>PASTO</v>
          </cell>
          <cell r="E809" t="str">
            <v>LEJANA</v>
          </cell>
          <cell r="F809" t="str">
            <v>FLUVIAL</v>
          </cell>
        </row>
        <row r="810">
          <cell r="A810">
            <v>52435</v>
          </cell>
          <cell r="B810" t="str">
            <v>MALLAMA</v>
          </cell>
          <cell r="C810" t="str">
            <v>NARIÑO</v>
          </cell>
          <cell r="D810" t="str">
            <v>PASTO</v>
          </cell>
          <cell r="E810" t="str">
            <v>LEJANA</v>
          </cell>
          <cell r="F810" t="str">
            <v>TERRESTRE</v>
          </cell>
        </row>
        <row r="811">
          <cell r="A811">
            <v>52490</v>
          </cell>
          <cell r="B811" t="str">
            <v>OLAYA HERRERA</v>
          </cell>
          <cell r="C811" t="str">
            <v>NARIÑO</v>
          </cell>
          <cell r="D811" t="str">
            <v>PASTO</v>
          </cell>
          <cell r="E811" t="str">
            <v>LEJANA</v>
          </cell>
          <cell r="F811" t="str">
            <v>FLUVIAL</v>
          </cell>
        </row>
        <row r="812">
          <cell r="A812">
            <v>52506</v>
          </cell>
          <cell r="B812" t="str">
            <v>OSPINA</v>
          </cell>
          <cell r="C812" t="str">
            <v>NARIÑO</v>
          </cell>
          <cell r="D812" t="str">
            <v>PASTO</v>
          </cell>
          <cell r="E812" t="str">
            <v>INTERMEDIA</v>
          </cell>
          <cell r="F812" t="str">
            <v>TERRESTRE</v>
          </cell>
        </row>
        <row r="813">
          <cell r="A813">
            <v>52001</v>
          </cell>
          <cell r="B813" t="str">
            <v>PASTO</v>
          </cell>
          <cell r="C813" t="str">
            <v>NARIÑO</v>
          </cell>
          <cell r="D813" t="str">
            <v>PASTO</v>
          </cell>
          <cell r="E813" t="str">
            <v>PRINCIPAL</v>
          </cell>
          <cell r="F813" t="str">
            <v>TERRESTRE</v>
          </cell>
        </row>
        <row r="814">
          <cell r="A814">
            <v>52540</v>
          </cell>
          <cell r="B814" t="str">
            <v>POLICARPA</v>
          </cell>
          <cell r="C814" t="str">
            <v>NARIÑO</v>
          </cell>
          <cell r="D814" t="str">
            <v>PASTO</v>
          </cell>
          <cell r="E814" t="str">
            <v>LEJANA</v>
          </cell>
          <cell r="F814" t="str">
            <v>TERRESTRE</v>
          </cell>
        </row>
        <row r="815">
          <cell r="A815">
            <v>52560</v>
          </cell>
          <cell r="B815" t="str">
            <v>POTOSI</v>
          </cell>
          <cell r="C815" t="str">
            <v>NARIÑO</v>
          </cell>
          <cell r="D815" t="str">
            <v>PASTO</v>
          </cell>
          <cell r="E815" t="str">
            <v>INTERMEDIA</v>
          </cell>
          <cell r="F815" t="str">
            <v>TERRESTRE</v>
          </cell>
        </row>
        <row r="816">
          <cell r="A816">
            <v>52573</v>
          </cell>
          <cell r="B816" t="str">
            <v>PUERRES</v>
          </cell>
          <cell r="C816" t="str">
            <v>NARIÑO</v>
          </cell>
          <cell r="D816" t="str">
            <v>PASTO</v>
          </cell>
          <cell r="E816" t="str">
            <v>INTERMEDIA</v>
          </cell>
          <cell r="F816" t="str">
            <v>TERRESTRE</v>
          </cell>
        </row>
        <row r="817">
          <cell r="A817">
            <v>52585</v>
          </cell>
          <cell r="B817" t="str">
            <v>PUPIALES</v>
          </cell>
          <cell r="C817" t="str">
            <v>NARIÑO</v>
          </cell>
          <cell r="D817" t="str">
            <v>PASTO</v>
          </cell>
          <cell r="E817" t="str">
            <v>INTERMEDIA</v>
          </cell>
          <cell r="F817" t="str">
            <v>TERRESTRE</v>
          </cell>
        </row>
        <row r="818">
          <cell r="A818">
            <v>52621</v>
          </cell>
          <cell r="B818" t="str">
            <v>ROBERTO PAYAN</v>
          </cell>
          <cell r="C818" t="str">
            <v>NARIÑO</v>
          </cell>
          <cell r="D818" t="str">
            <v>PASTO</v>
          </cell>
          <cell r="E818" t="str">
            <v>LEJANA</v>
          </cell>
          <cell r="F818" t="str">
            <v>FLUVIAL</v>
          </cell>
        </row>
        <row r="819">
          <cell r="A819">
            <v>52678</v>
          </cell>
          <cell r="B819" t="str">
            <v>SAMANIEGO</v>
          </cell>
          <cell r="C819" t="str">
            <v>NARIÑO</v>
          </cell>
          <cell r="D819" t="str">
            <v>PASTO</v>
          </cell>
          <cell r="E819" t="str">
            <v>LEJANA</v>
          </cell>
          <cell r="F819" t="str">
            <v>TERRESTRE</v>
          </cell>
        </row>
        <row r="820">
          <cell r="A820">
            <v>52835</v>
          </cell>
          <cell r="B820" t="str">
            <v>SAN ANDRES DE TUMACO</v>
          </cell>
          <cell r="C820" t="str">
            <v>NARIÑO</v>
          </cell>
          <cell r="D820" t="str">
            <v>PASTO</v>
          </cell>
          <cell r="E820" t="str">
            <v>LEJANA</v>
          </cell>
          <cell r="F820" t="str">
            <v>TERRESTRE</v>
          </cell>
        </row>
        <row r="821">
          <cell r="A821">
            <v>52687</v>
          </cell>
          <cell r="B821" t="str">
            <v>SAN LORENZO</v>
          </cell>
          <cell r="C821" t="str">
            <v>NARIÑO</v>
          </cell>
          <cell r="D821" t="str">
            <v>PASTO</v>
          </cell>
          <cell r="E821" t="str">
            <v>INTERMEDIA</v>
          </cell>
          <cell r="F821" t="str">
            <v>TERRESTRE</v>
          </cell>
        </row>
        <row r="822">
          <cell r="A822">
            <v>52694</v>
          </cell>
          <cell r="B822" t="str">
            <v>SAN PEDRO DE CARTAGO</v>
          </cell>
          <cell r="C822" t="str">
            <v>NARIÑO</v>
          </cell>
          <cell r="D822" t="str">
            <v>PASTO</v>
          </cell>
          <cell r="E822" t="str">
            <v>INTERMEDIA</v>
          </cell>
          <cell r="F822" t="str">
            <v>TERRESTRE</v>
          </cell>
        </row>
        <row r="823">
          <cell r="A823">
            <v>52683</v>
          </cell>
          <cell r="B823" t="str">
            <v>SANDONA</v>
          </cell>
          <cell r="C823" t="str">
            <v>NARIÑO</v>
          </cell>
          <cell r="D823" t="str">
            <v>PASTO</v>
          </cell>
          <cell r="E823" t="str">
            <v>INTERMEDIA</v>
          </cell>
          <cell r="F823" t="str">
            <v>TERRESTRE</v>
          </cell>
        </row>
        <row r="824">
          <cell r="A824">
            <v>52699</v>
          </cell>
          <cell r="B824" t="str">
            <v>SANTACRUZ</v>
          </cell>
          <cell r="C824" t="str">
            <v>NARIÑO</v>
          </cell>
          <cell r="D824" t="str">
            <v>PASTO</v>
          </cell>
          <cell r="E824" t="str">
            <v>LEJANA</v>
          </cell>
          <cell r="F824" t="str">
            <v>TERRESTRE</v>
          </cell>
        </row>
        <row r="825">
          <cell r="A825">
            <v>52720</v>
          </cell>
          <cell r="B825" t="str">
            <v>SAPUYES</v>
          </cell>
          <cell r="C825" t="str">
            <v>NARIÑO</v>
          </cell>
          <cell r="D825" t="str">
            <v>PASTO</v>
          </cell>
          <cell r="E825" t="str">
            <v>INTERMEDIA</v>
          </cell>
          <cell r="F825" t="str">
            <v>TERRESTRE</v>
          </cell>
        </row>
        <row r="826">
          <cell r="A826">
            <v>52786</v>
          </cell>
          <cell r="B826" t="str">
            <v>TAMINANGO</v>
          </cell>
          <cell r="C826" t="str">
            <v>NARIÑO</v>
          </cell>
          <cell r="D826" t="str">
            <v>PASTO</v>
          </cell>
          <cell r="E826" t="str">
            <v>INTERMEDIA</v>
          </cell>
          <cell r="F826" t="str">
            <v>TERRESTRE</v>
          </cell>
        </row>
        <row r="827">
          <cell r="A827">
            <v>52788</v>
          </cell>
          <cell r="B827" t="str">
            <v>TANGUA</v>
          </cell>
          <cell r="C827" t="str">
            <v>NARIÑO</v>
          </cell>
          <cell r="D827" t="str">
            <v>PASTO</v>
          </cell>
          <cell r="E827" t="str">
            <v>INTERMEDIA</v>
          </cell>
          <cell r="F827" t="str">
            <v>TERRESTRE</v>
          </cell>
        </row>
        <row r="828">
          <cell r="A828">
            <v>52838</v>
          </cell>
          <cell r="B828" t="str">
            <v>TUQUERRES</v>
          </cell>
          <cell r="C828" t="str">
            <v>NARIÑO</v>
          </cell>
          <cell r="D828" t="str">
            <v>PASTO</v>
          </cell>
          <cell r="E828" t="str">
            <v>INTERMEDIA</v>
          </cell>
          <cell r="F828" t="str">
            <v>TERRESTRE</v>
          </cell>
        </row>
        <row r="829">
          <cell r="A829">
            <v>52885</v>
          </cell>
          <cell r="B829" t="str">
            <v>YACUANQUER</v>
          </cell>
          <cell r="C829" t="str">
            <v>NARIÑO</v>
          </cell>
          <cell r="D829" t="str">
            <v>PASTO</v>
          </cell>
          <cell r="E829" t="str">
            <v>INTERMEDIA</v>
          </cell>
          <cell r="F829" t="str">
            <v>TERRESTRE</v>
          </cell>
        </row>
        <row r="830">
          <cell r="A830">
            <v>54553</v>
          </cell>
          <cell r="B830" t="str">
            <v>PUERTO SANTANDER</v>
          </cell>
          <cell r="C830" t="str">
            <v>NORTE DE SANTANDER</v>
          </cell>
          <cell r="D830" t="str">
            <v>CUCUTA</v>
          </cell>
          <cell r="E830" t="str">
            <v>INTERMEDIA</v>
          </cell>
          <cell r="F830" t="str">
            <v>TERRESTRE</v>
          </cell>
        </row>
        <row r="831">
          <cell r="A831">
            <v>54673</v>
          </cell>
          <cell r="B831" t="str">
            <v>SAN CAYETANO</v>
          </cell>
          <cell r="C831" t="str">
            <v>NORTE DE SANTANDER</v>
          </cell>
          <cell r="D831" t="str">
            <v>CUCUTA</v>
          </cell>
          <cell r="E831" t="str">
            <v>INTERMEDIA</v>
          </cell>
          <cell r="F831" t="str">
            <v>TERRESTRE</v>
          </cell>
        </row>
        <row r="832">
          <cell r="A832">
            <v>54680</v>
          </cell>
          <cell r="B832" t="str">
            <v>SANTIAGO</v>
          </cell>
          <cell r="C832" t="str">
            <v>NORTE DE SANTANDER</v>
          </cell>
          <cell r="D832" t="str">
            <v>CUCUTA</v>
          </cell>
          <cell r="E832" t="str">
            <v>INTERMEDIA</v>
          </cell>
          <cell r="F832" t="str">
            <v>TERRESTRE</v>
          </cell>
        </row>
        <row r="833">
          <cell r="A833">
            <v>54820</v>
          </cell>
          <cell r="B833" t="str">
            <v>TOLEDO</v>
          </cell>
          <cell r="C833" t="str">
            <v>NORTE DE SANTANDER</v>
          </cell>
          <cell r="D833" t="str">
            <v>CUCUTA</v>
          </cell>
          <cell r="E833" t="str">
            <v>LEJANA</v>
          </cell>
          <cell r="F833" t="str">
            <v>TERRESTRE</v>
          </cell>
        </row>
        <row r="834">
          <cell r="A834">
            <v>54003</v>
          </cell>
          <cell r="B834" t="str">
            <v>ABREGO</v>
          </cell>
          <cell r="C834" t="str">
            <v>NORTE DE SANTANDER</v>
          </cell>
          <cell r="D834" t="str">
            <v>CUCUTA</v>
          </cell>
          <cell r="E834" t="str">
            <v>LEJANA</v>
          </cell>
          <cell r="F834" t="str">
            <v>TERRESTRE</v>
          </cell>
        </row>
        <row r="835">
          <cell r="A835">
            <v>54051</v>
          </cell>
          <cell r="B835" t="str">
            <v>ARBOLEDAS</v>
          </cell>
          <cell r="C835" t="str">
            <v>NORTE DE SANTANDER</v>
          </cell>
          <cell r="D835" t="str">
            <v>CUCUTA</v>
          </cell>
          <cell r="E835" t="str">
            <v>LEJANA</v>
          </cell>
          <cell r="F835" t="str">
            <v>TERRESTRE</v>
          </cell>
        </row>
        <row r="836">
          <cell r="A836">
            <v>54099</v>
          </cell>
          <cell r="B836" t="str">
            <v>BOCHALEMA</v>
          </cell>
          <cell r="C836" t="str">
            <v>NORTE DE SANTANDER</v>
          </cell>
          <cell r="D836" t="str">
            <v>CUCUTA</v>
          </cell>
          <cell r="E836" t="str">
            <v>INTERMEDIA</v>
          </cell>
          <cell r="F836" t="str">
            <v>TERRESTRE</v>
          </cell>
        </row>
        <row r="837">
          <cell r="A837">
            <v>54109</v>
          </cell>
          <cell r="B837" t="str">
            <v>BUCARASICA</v>
          </cell>
          <cell r="C837" t="str">
            <v>NORTE DE SANTANDER</v>
          </cell>
          <cell r="D837" t="str">
            <v>CUCUTA</v>
          </cell>
          <cell r="E837" t="str">
            <v>LEJANA</v>
          </cell>
          <cell r="F837" t="str">
            <v>TERRESTRE</v>
          </cell>
        </row>
        <row r="838">
          <cell r="A838">
            <v>54128</v>
          </cell>
          <cell r="B838" t="str">
            <v>CACHIRA</v>
          </cell>
          <cell r="C838" t="str">
            <v>NORTE DE SANTANDER</v>
          </cell>
          <cell r="D838" t="str">
            <v>CUCUTA</v>
          </cell>
          <cell r="E838" t="str">
            <v>LEJANA</v>
          </cell>
          <cell r="F838" t="str">
            <v>TERRESTRE</v>
          </cell>
        </row>
        <row r="839">
          <cell r="A839">
            <v>54125</v>
          </cell>
          <cell r="B839" t="str">
            <v>CACOTA</v>
          </cell>
          <cell r="C839" t="str">
            <v>NORTE DE SANTANDER</v>
          </cell>
          <cell r="D839" t="str">
            <v>CUCUTA</v>
          </cell>
          <cell r="E839" t="str">
            <v>LEJANA</v>
          </cell>
          <cell r="F839" t="str">
            <v>TERRESTRE</v>
          </cell>
        </row>
        <row r="840">
          <cell r="A840">
            <v>54172</v>
          </cell>
          <cell r="B840" t="str">
            <v>CHINACOTA</v>
          </cell>
          <cell r="C840" t="str">
            <v>NORTE DE SANTANDER</v>
          </cell>
          <cell r="D840" t="str">
            <v>CUCUTA</v>
          </cell>
          <cell r="E840" t="str">
            <v>INTERMEDIA</v>
          </cell>
          <cell r="F840" t="str">
            <v>TERRESTRE</v>
          </cell>
        </row>
        <row r="841">
          <cell r="A841">
            <v>54174</v>
          </cell>
          <cell r="B841" t="str">
            <v>CHITAGA</v>
          </cell>
          <cell r="C841" t="str">
            <v>NORTE DE SANTANDER</v>
          </cell>
          <cell r="D841" t="str">
            <v>CUCUTA</v>
          </cell>
          <cell r="E841" t="str">
            <v>LEJANA</v>
          </cell>
          <cell r="F841" t="str">
            <v>TERRESTRE</v>
          </cell>
        </row>
        <row r="842">
          <cell r="A842">
            <v>54206</v>
          </cell>
          <cell r="B842" t="str">
            <v>CONVENCION</v>
          </cell>
          <cell r="C842" t="str">
            <v>NORTE DE SANTANDER</v>
          </cell>
          <cell r="D842" t="str">
            <v>CUCUTA</v>
          </cell>
          <cell r="E842" t="str">
            <v>LEJANA</v>
          </cell>
          <cell r="F842" t="str">
            <v>TERRESTRE</v>
          </cell>
        </row>
        <row r="843">
          <cell r="A843">
            <v>54001</v>
          </cell>
          <cell r="B843" t="str">
            <v>CUCUTA</v>
          </cell>
          <cell r="C843" t="str">
            <v>NORTE DE SANTANDER</v>
          </cell>
          <cell r="D843" t="str">
            <v>CUCUTA</v>
          </cell>
          <cell r="E843" t="str">
            <v>PRINCIPAL</v>
          </cell>
          <cell r="F843" t="str">
            <v>TERRESTRE</v>
          </cell>
        </row>
        <row r="844">
          <cell r="A844">
            <v>54223</v>
          </cell>
          <cell r="B844" t="str">
            <v>CUCUTILLA</v>
          </cell>
          <cell r="C844" t="str">
            <v>NORTE DE SANTANDER</v>
          </cell>
          <cell r="D844" t="str">
            <v>CUCUTA</v>
          </cell>
          <cell r="E844" t="str">
            <v>LEJANA</v>
          </cell>
          <cell r="F844" t="str">
            <v>TERRESTRE</v>
          </cell>
        </row>
        <row r="845">
          <cell r="A845">
            <v>54239</v>
          </cell>
          <cell r="B845" t="str">
            <v>DURANIA</v>
          </cell>
          <cell r="C845" t="str">
            <v>NORTE DE SANTANDER</v>
          </cell>
          <cell r="D845" t="str">
            <v>CUCUTA</v>
          </cell>
          <cell r="E845" t="str">
            <v>INTERMEDIA</v>
          </cell>
          <cell r="F845" t="str">
            <v>TERRESTRE</v>
          </cell>
        </row>
        <row r="846">
          <cell r="A846">
            <v>54245</v>
          </cell>
          <cell r="B846" t="str">
            <v>EL CARMEN</v>
          </cell>
          <cell r="C846" t="str">
            <v>NORTE DE SANTANDER</v>
          </cell>
          <cell r="D846" t="str">
            <v>CUCUTA</v>
          </cell>
          <cell r="E846" t="str">
            <v>LEJANA</v>
          </cell>
          <cell r="F846" t="str">
            <v>TERRESTRE</v>
          </cell>
        </row>
        <row r="847">
          <cell r="A847">
            <v>54250</v>
          </cell>
          <cell r="B847" t="str">
            <v>EL TARRA</v>
          </cell>
          <cell r="C847" t="str">
            <v>NORTE DE SANTANDER</v>
          </cell>
          <cell r="D847" t="str">
            <v>CUCUTA</v>
          </cell>
          <cell r="E847" t="str">
            <v>LEJANA</v>
          </cell>
          <cell r="F847" t="str">
            <v>TERRESTRE</v>
          </cell>
        </row>
        <row r="848">
          <cell r="A848">
            <v>54261</v>
          </cell>
          <cell r="B848" t="str">
            <v>EL ZULIA</v>
          </cell>
          <cell r="C848" t="str">
            <v>NORTE DE SANTANDER</v>
          </cell>
          <cell r="D848" t="str">
            <v>CUCUTA</v>
          </cell>
          <cell r="E848" t="str">
            <v>INTERMEDIA</v>
          </cell>
          <cell r="F848" t="str">
            <v>TERRESTRE</v>
          </cell>
        </row>
        <row r="849">
          <cell r="A849">
            <v>54313</v>
          </cell>
          <cell r="B849" t="str">
            <v>GRAMALOTE</v>
          </cell>
          <cell r="C849" t="str">
            <v>NORTE DE SANTANDER</v>
          </cell>
          <cell r="D849" t="str">
            <v>CUCUTA</v>
          </cell>
          <cell r="E849" t="str">
            <v>INTERMEDIA</v>
          </cell>
          <cell r="F849" t="str">
            <v>TERRESTRE</v>
          </cell>
        </row>
        <row r="850">
          <cell r="A850">
            <v>54344</v>
          </cell>
          <cell r="B850" t="str">
            <v>HACARI</v>
          </cell>
          <cell r="C850" t="str">
            <v>NORTE DE SANTANDER</v>
          </cell>
          <cell r="D850" t="str">
            <v>CUCUTA</v>
          </cell>
          <cell r="E850" t="str">
            <v>LEJANA</v>
          </cell>
          <cell r="F850" t="str">
            <v>TERRESTRE</v>
          </cell>
        </row>
        <row r="851">
          <cell r="A851">
            <v>54347</v>
          </cell>
          <cell r="B851" t="str">
            <v>HERRAN</v>
          </cell>
          <cell r="C851" t="str">
            <v>NORTE DE SANTANDER</v>
          </cell>
          <cell r="D851" t="str">
            <v>CUCUTA</v>
          </cell>
          <cell r="E851" t="str">
            <v>LEJANA</v>
          </cell>
          <cell r="F851" t="str">
            <v>TERRESTRE</v>
          </cell>
        </row>
        <row r="852">
          <cell r="A852">
            <v>54385</v>
          </cell>
          <cell r="B852" t="str">
            <v>LA ESPERANZA</v>
          </cell>
          <cell r="C852" t="str">
            <v>NORTE DE SANTANDER</v>
          </cell>
          <cell r="D852" t="str">
            <v>BUCARAMANGA</v>
          </cell>
          <cell r="E852" t="str">
            <v>LEJANA</v>
          </cell>
          <cell r="F852" t="str">
            <v>TERRESTRE</v>
          </cell>
        </row>
        <row r="853">
          <cell r="A853">
            <v>54398</v>
          </cell>
          <cell r="B853" t="str">
            <v>LA PLAYA</v>
          </cell>
          <cell r="C853" t="str">
            <v>NORTE DE SANTANDER</v>
          </cell>
          <cell r="D853" t="str">
            <v>CUCUTA</v>
          </cell>
          <cell r="E853" t="str">
            <v>LEJANA</v>
          </cell>
          <cell r="F853" t="str">
            <v>TERRESTRE</v>
          </cell>
        </row>
        <row r="854">
          <cell r="A854">
            <v>54377</v>
          </cell>
          <cell r="B854" t="str">
            <v>LABATECA</v>
          </cell>
          <cell r="C854" t="str">
            <v>NORTE DE SANTANDER</v>
          </cell>
          <cell r="D854" t="str">
            <v>CUCUTA</v>
          </cell>
          <cell r="E854" t="str">
            <v>LEJANA</v>
          </cell>
          <cell r="F854" t="str">
            <v>TERRESTRE</v>
          </cell>
        </row>
        <row r="855">
          <cell r="A855">
            <v>54405</v>
          </cell>
          <cell r="B855" t="str">
            <v>LOS PATIOS</v>
          </cell>
          <cell r="C855" t="str">
            <v>NORTE DE SANTANDER</v>
          </cell>
          <cell r="D855" t="str">
            <v>CUCUTA</v>
          </cell>
          <cell r="E855" t="str">
            <v>PRINCIPAL</v>
          </cell>
          <cell r="F855" t="str">
            <v>TERRESTRE</v>
          </cell>
        </row>
        <row r="856">
          <cell r="A856">
            <v>54418</v>
          </cell>
          <cell r="B856" t="str">
            <v>LOURDES</v>
          </cell>
          <cell r="C856" t="str">
            <v>NORTE DE SANTANDER</v>
          </cell>
          <cell r="D856" t="str">
            <v>CUCUTA</v>
          </cell>
          <cell r="E856" t="str">
            <v>LEJANA</v>
          </cell>
          <cell r="F856" t="str">
            <v>TERRESTRE</v>
          </cell>
        </row>
        <row r="857">
          <cell r="A857">
            <v>54480</v>
          </cell>
          <cell r="B857" t="str">
            <v>MUTISCUA</v>
          </cell>
          <cell r="C857" t="str">
            <v>NORTE DE SANTANDER</v>
          </cell>
          <cell r="D857" t="str">
            <v>CUCUTA</v>
          </cell>
          <cell r="E857" t="str">
            <v>LEJANA</v>
          </cell>
          <cell r="F857" t="str">
            <v>TERRESTRE</v>
          </cell>
        </row>
        <row r="858">
          <cell r="A858">
            <v>54498</v>
          </cell>
          <cell r="B858" t="str">
            <v>OCAÑA</v>
          </cell>
          <cell r="C858" t="str">
            <v>NORTE DE SANTANDER</v>
          </cell>
          <cell r="D858" t="str">
            <v>CUCUTA</v>
          </cell>
          <cell r="E858" t="str">
            <v>LEJANA</v>
          </cell>
          <cell r="F858" t="str">
            <v>TERRESTRE</v>
          </cell>
        </row>
        <row r="859">
          <cell r="A859">
            <v>54518</v>
          </cell>
          <cell r="B859" t="str">
            <v>PAMPLONA</v>
          </cell>
          <cell r="C859" t="str">
            <v>NORTE DE SANTANDER</v>
          </cell>
          <cell r="D859" t="str">
            <v>CUCUTA</v>
          </cell>
          <cell r="E859" t="str">
            <v>LEJANA</v>
          </cell>
          <cell r="F859" t="str">
            <v>TERRESTRE</v>
          </cell>
        </row>
        <row r="860">
          <cell r="A860">
            <v>54520</v>
          </cell>
          <cell r="B860" t="str">
            <v>PAMPLONITA</v>
          </cell>
          <cell r="C860" t="str">
            <v>NORTE DE SANTANDER</v>
          </cell>
          <cell r="D860" t="str">
            <v>CUCUTA</v>
          </cell>
          <cell r="E860" t="str">
            <v>LEJANA</v>
          </cell>
          <cell r="F860" t="str">
            <v>TERRESTRE</v>
          </cell>
        </row>
        <row r="861">
          <cell r="A861">
            <v>54599</v>
          </cell>
          <cell r="B861" t="str">
            <v>RAGONVALIA</v>
          </cell>
          <cell r="C861" t="str">
            <v>NORTE DE SANTANDER</v>
          </cell>
          <cell r="D861" t="str">
            <v>CUCUTA</v>
          </cell>
          <cell r="E861" t="str">
            <v>LEJANA</v>
          </cell>
          <cell r="F861" t="str">
            <v>TERRESTRE</v>
          </cell>
        </row>
        <row r="862">
          <cell r="A862">
            <v>54660</v>
          </cell>
          <cell r="B862" t="str">
            <v>SALAZAR</v>
          </cell>
          <cell r="C862" t="str">
            <v>NORTE DE SANTANDER</v>
          </cell>
          <cell r="D862" t="str">
            <v>CUCUTA</v>
          </cell>
          <cell r="E862" t="str">
            <v>INTERMEDIA</v>
          </cell>
          <cell r="F862" t="str">
            <v>TERRESTRE</v>
          </cell>
        </row>
        <row r="863">
          <cell r="A863">
            <v>54670</v>
          </cell>
          <cell r="B863" t="str">
            <v>SAN CALIXTO</v>
          </cell>
          <cell r="C863" t="str">
            <v>NORTE DE SANTANDER</v>
          </cell>
          <cell r="D863" t="str">
            <v>CUCUTA</v>
          </cell>
          <cell r="E863" t="str">
            <v>LEJANA</v>
          </cell>
          <cell r="F863" t="str">
            <v>TERRESTRE</v>
          </cell>
        </row>
        <row r="864">
          <cell r="A864">
            <v>54720</v>
          </cell>
          <cell r="B864" t="str">
            <v>SARDINATA</v>
          </cell>
          <cell r="C864" t="str">
            <v>NORTE DE SANTANDER</v>
          </cell>
          <cell r="D864" t="str">
            <v>CUCUTA</v>
          </cell>
          <cell r="E864" t="str">
            <v>INTERMEDIA</v>
          </cell>
          <cell r="F864" t="str">
            <v>TERRESTRE</v>
          </cell>
        </row>
        <row r="865">
          <cell r="A865">
            <v>54743</v>
          </cell>
          <cell r="B865" t="str">
            <v>SILOS</v>
          </cell>
          <cell r="C865" t="str">
            <v>NORTE DE SANTANDER</v>
          </cell>
          <cell r="D865" t="str">
            <v>CUCUTA</v>
          </cell>
          <cell r="E865" t="str">
            <v>LEJANA</v>
          </cell>
          <cell r="F865" t="str">
            <v>TERRESTRE</v>
          </cell>
        </row>
        <row r="866">
          <cell r="A866">
            <v>54800</v>
          </cell>
          <cell r="B866" t="str">
            <v>TEORAMA</v>
          </cell>
          <cell r="C866" t="str">
            <v>NORTE DE SANTANDER</v>
          </cell>
          <cell r="D866" t="str">
            <v>CUCUTA</v>
          </cell>
          <cell r="E866" t="str">
            <v>LEJANA</v>
          </cell>
          <cell r="F866" t="str">
            <v>TERRESTRE</v>
          </cell>
        </row>
        <row r="867">
          <cell r="A867">
            <v>54810</v>
          </cell>
          <cell r="B867" t="str">
            <v>TIBU</v>
          </cell>
          <cell r="C867" t="str">
            <v>NORTE DE SANTANDER</v>
          </cell>
          <cell r="D867" t="str">
            <v>CUCUTA</v>
          </cell>
          <cell r="E867" t="str">
            <v>LEJANA</v>
          </cell>
          <cell r="F867" t="str">
            <v>TERRESTRE</v>
          </cell>
        </row>
        <row r="868">
          <cell r="A868">
            <v>54871</v>
          </cell>
          <cell r="B868" t="str">
            <v>VILLA CARO</v>
          </cell>
          <cell r="C868" t="str">
            <v>NORTE DE SANTANDER</v>
          </cell>
          <cell r="D868" t="str">
            <v>CUCUTA</v>
          </cell>
          <cell r="E868" t="str">
            <v>LEJANA</v>
          </cell>
          <cell r="F868" t="str">
            <v>TERRESTRE</v>
          </cell>
        </row>
        <row r="869">
          <cell r="A869">
            <v>54874</v>
          </cell>
          <cell r="B869" t="str">
            <v>VILLA DEL ROSARIO</v>
          </cell>
          <cell r="C869" t="str">
            <v>NORTE DE SANTANDER</v>
          </cell>
          <cell r="D869" t="str">
            <v>CUCUTA</v>
          </cell>
          <cell r="E869" t="str">
            <v>PRINCIPAL</v>
          </cell>
          <cell r="F869" t="str">
            <v>TERRESTRE</v>
          </cell>
        </row>
        <row r="870">
          <cell r="A870">
            <v>86219</v>
          </cell>
          <cell r="B870" t="str">
            <v>COLON</v>
          </cell>
          <cell r="C870" t="str">
            <v>PUTUMAYO</v>
          </cell>
          <cell r="D870" t="str">
            <v>PASTO</v>
          </cell>
          <cell r="E870" t="str">
            <v>INTERMEDIA</v>
          </cell>
          <cell r="F870" t="str">
            <v>TERRESTRE</v>
          </cell>
        </row>
        <row r="871">
          <cell r="A871">
            <v>86755</v>
          </cell>
          <cell r="B871" t="str">
            <v>SAN FRANCISCO</v>
          </cell>
          <cell r="C871" t="str">
            <v>PUTUMAYO</v>
          </cell>
          <cell r="D871" t="str">
            <v>PASTO</v>
          </cell>
          <cell r="E871" t="str">
            <v>LEJANA</v>
          </cell>
          <cell r="F871" t="str">
            <v>TERRESTRE</v>
          </cell>
        </row>
        <row r="872">
          <cell r="A872">
            <v>86757</v>
          </cell>
          <cell r="B872" t="str">
            <v>SAN MIGUEL</v>
          </cell>
          <cell r="C872" t="str">
            <v>PUTUMAYO</v>
          </cell>
          <cell r="D872" t="str">
            <v>PASTO</v>
          </cell>
          <cell r="E872" t="str">
            <v>LEJANA</v>
          </cell>
          <cell r="F872" t="str">
            <v>TERRESTRE</v>
          </cell>
        </row>
        <row r="873">
          <cell r="A873">
            <v>86760</v>
          </cell>
          <cell r="B873" t="str">
            <v>SANTIAGO</v>
          </cell>
          <cell r="C873" t="str">
            <v>PUTUMAYO</v>
          </cell>
          <cell r="D873" t="str">
            <v>PASTO</v>
          </cell>
          <cell r="E873" t="str">
            <v>INTERMEDIA</v>
          </cell>
          <cell r="F873" t="str">
            <v>TERRESTRE</v>
          </cell>
        </row>
        <row r="874">
          <cell r="A874">
            <v>86573</v>
          </cell>
          <cell r="B874" t="str">
            <v>LEGUIZAMO</v>
          </cell>
          <cell r="C874" t="str">
            <v>PUTUMAYO</v>
          </cell>
          <cell r="D874" t="str">
            <v>PASTO</v>
          </cell>
          <cell r="E874" t="str">
            <v>LEJANA</v>
          </cell>
          <cell r="F874" t="str">
            <v>AEREO</v>
          </cell>
        </row>
        <row r="875">
          <cell r="A875">
            <v>86001</v>
          </cell>
          <cell r="B875" t="str">
            <v>MOCOA</v>
          </cell>
          <cell r="C875" t="str">
            <v>PUTUMAYO</v>
          </cell>
          <cell r="D875" t="str">
            <v>PASTO</v>
          </cell>
          <cell r="E875" t="str">
            <v>LEJANA</v>
          </cell>
          <cell r="F875" t="str">
            <v>TERRESTRE</v>
          </cell>
        </row>
        <row r="876">
          <cell r="A876">
            <v>86320</v>
          </cell>
          <cell r="B876" t="str">
            <v>ORITO</v>
          </cell>
          <cell r="C876" t="str">
            <v>PUTUMAYO</v>
          </cell>
          <cell r="D876" t="str">
            <v>PASTO</v>
          </cell>
          <cell r="E876" t="str">
            <v>LEJANA</v>
          </cell>
          <cell r="F876" t="str">
            <v>TERRESTRE</v>
          </cell>
        </row>
        <row r="877">
          <cell r="A877">
            <v>86568</v>
          </cell>
          <cell r="B877" t="str">
            <v>PUERTO ASIS</v>
          </cell>
          <cell r="C877" t="str">
            <v>PUTUMAYO</v>
          </cell>
          <cell r="D877" t="str">
            <v>PASTO</v>
          </cell>
          <cell r="E877" t="str">
            <v>LEJANA</v>
          </cell>
          <cell r="F877" t="str">
            <v>TERRESTRE</v>
          </cell>
        </row>
        <row r="878">
          <cell r="A878">
            <v>86569</v>
          </cell>
          <cell r="B878" t="str">
            <v>PUERTO CAICEDO</v>
          </cell>
          <cell r="C878" t="str">
            <v>PUTUMAYO</v>
          </cell>
          <cell r="D878" t="str">
            <v>PASTO</v>
          </cell>
          <cell r="E878" t="str">
            <v>LEJANA</v>
          </cell>
          <cell r="F878" t="str">
            <v>TERRESTRE</v>
          </cell>
        </row>
        <row r="879">
          <cell r="A879">
            <v>86571</v>
          </cell>
          <cell r="B879" t="str">
            <v>PUERTO GUZMAN</v>
          </cell>
          <cell r="C879" t="str">
            <v>PUTUMAYO</v>
          </cell>
          <cell r="D879" t="str">
            <v>PASTO</v>
          </cell>
          <cell r="E879" t="str">
            <v>LEJANA</v>
          </cell>
          <cell r="F879" t="str">
            <v>TERRESTRE</v>
          </cell>
        </row>
        <row r="880">
          <cell r="A880">
            <v>86749</v>
          </cell>
          <cell r="B880" t="str">
            <v>SIBUNDOY</v>
          </cell>
          <cell r="C880" t="str">
            <v>PUTUMAYO</v>
          </cell>
          <cell r="D880" t="str">
            <v>PASTO</v>
          </cell>
          <cell r="E880" t="str">
            <v>LEJANA</v>
          </cell>
          <cell r="F880" t="str">
            <v>TERRESTRE</v>
          </cell>
        </row>
        <row r="881">
          <cell r="A881">
            <v>86865</v>
          </cell>
          <cell r="B881" t="str">
            <v>VALLE DEL GUAMUEZ</v>
          </cell>
          <cell r="C881" t="str">
            <v>PUTUMAYO</v>
          </cell>
          <cell r="D881" t="str">
            <v>PASTO</v>
          </cell>
          <cell r="E881" t="str">
            <v>LEJANA</v>
          </cell>
          <cell r="F881" t="str">
            <v>TERRESTRE</v>
          </cell>
        </row>
        <row r="882">
          <cell r="A882">
            <v>86885</v>
          </cell>
          <cell r="B882" t="str">
            <v>VILLAGARZON</v>
          </cell>
          <cell r="C882" t="str">
            <v>PUTUMAYO</v>
          </cell>
          <cell r="D882" t="str">
            <v>PASTO</v>
          </cell>
          <cell r="E882" t="str">
            <v>LEJANA</v>
          </cell>
          <cell r="F882" t="str">
            <v>TERRESTRE</v>
          </cell>
        </row>
        <row r="883">
          <cell r="A883">
            <v>63001</v>
          </cell>
          <cell r="B883" t="str">
            <v>ARMENIA</v>
          </cell>
          <cell r="C883" t="str">
            <v>QUINDIO</v>
          </cell>
          <cell r="D883" t="str">
            <v>PEREIRA</v>
          </cell>
          <cell r="E883" t="str">
            <v>INTERMEDIA</v>
          </cell>
          <cell r="F883" t="str">
            <v>TERRESTRE</v>
          </cell>
        </row>
        <row r="884">
          <cell r="A884">
            <v>63111</v>
          </cell>
          <cell r="B884" t="str">
            <v>BUENAVISTA</v>
          </cell>
          <cell r="C884" t="str">
            <v>QUINDIO</v>
          </cell>
          <cell r="D884" t="str">
            <v>PEREIRA</v>
          </cell>
          <cell r="E884" t="str">
            <v>INTERMEDIA</v>
          </cell>
          <cell r="F884" t="str">
            <v>TERRESTRE</v>
          </cell>
        </row>
        <row r="885">
          <cell r="A885">
            <v>63212</v>
          </cell>
          <cell r="B885" t="str">
            <v>CORDOBA</v>
          </cell>
          <cell r="C885" t="str">
            <v>QUINDIO</v>
          </cell>
          <cell r="D885" t="str">
            <v>PEREIRA</v>
          </cell>
          <cell r="E885" t="str">
            <v>INTERMEDIA</v>
          </cell>
          <cell r="F885" t="str">
            <v>TERRESTRE</v>
          </cell>
        </row>
        <row r="886">
          <cell r="A886">
            <v>63130</v>
          </cell>
          <cell r="B886" t="str">
            <v>CALARCA</v>
          </cell>
          <cell r="C886" t="str">
            <v>QUINDIO</v>
          </cell>
          <cell r="D886" t="str">
            <v>PEREIRA</v>
          </cell>
          <cell r="E886" t="str">
            <v>INTERMEDIA</v>
          </cell>
          <cell r="F886" t="str">
            <v>TERRESTRE</v>
          </cell>
        </row>
        <row r="887">
          <cell r="A887">
            <v>63190</v>
          </cell>
          <cell r="B887" t="str">
            <v>CIRCASIA</v>
          </cell>
          <cell r="C887" t="str">
            <v>QUINDIO</v>
          </cell>
          <cell r="D887" t="str">
            <v>PEREIRA</v>
          </cell>
          <cell r="E887" t="str">
            <v>INTERMEDIA</v>
          </cell>
          <cell r="F887" t="str">
            <v>TERRESTRE</v>
          </cell>
        </row>
        <row r="888">
          <cell r="A888">
            <v>63272</v>
          </cell>
          <cell r="B888" t="str">
            <v>FILANDIA</v>
          </cell>
          <cell r="C888" t="str">
            <v>QUINDIO</v>
          </cell>
          <cell r="D888" t="str">
            <v>PEREIRA</v>
          </cell>
          <cell r="E888" t="str">
            <v>INTERMEDIA</v>
          </cell>
          <cell r="F888" t="str">
            <v>TERRESTRE</v>
          </cell>
        </row>
        <row r="889">
          <cell r="A889">
            <v>63302</v>
          </cell>
          <cell r="B889" t="str">
            <v>GENOVA</v>
          </cell>
          <cell r="C889" t="str">
            <v>QUINDIO</v>
          </cell>
          <cell r="D889" t="str">
            <v>PEREIRA</v>
          </cell>
          <cell r="E889" t="str">
            <v>LEJANA</v>
          </cell>
          <cell r="F889" t="str">
            <v>TERRESTRE</v>
          </cell>
        </row>
        <row r="890">
          <cell r="A890">
            <v>63401</v>
          </cell>
          <cell r="B890" t="str">
            <v>LA TEBAIDA</v>
          </cell>
          <cell r="C890" t="str">
            <v>QUINDIO</v>
          </cell>
          <cell r="D890" t="str">
            <v>PEREIRA</v>
          </cell>
          <cell r="E890" t="str">
            <v>INTERMEDIA</v>
          </cell>
          <cell r="F890" t="str">
            <v>TERRESTRE</v>
          </cell>
        </row>
        <row r="891">
          <cell r="A891">
            <v>63470</v>
          </cell>
          <cell r="B891" t="str">
            <v>MONTENEGRO</v>
          </cell>
          <cell r="C891" t="str">
            <v>QUINDIO</v>
          </cell>
          <cell r="D891" t="str">
            <v>PEREIRA</v>
          </cell>
          <cell r="E891" t="str">
            <v>INTERMEDIA</v>
          </cell>
          <cell r="F891" t="str">
            <v>TERRESTRE</v>
          </cell>
        </row>
        <row r="892">
          <cell r="A892">
            <v>63548</v>
          </cell>
          <cell r="B892" t="str">
            <v>PIJAO</v>
          </cell>
          <cell r="C892" t="str">
            <v>QUINDIO</v>
          </cell>
          <cell r="D892" t="str">
            <v>PEREIRA</v>
          </cell>
          <cell r="E892" t="str">
            <v>LEJANA</v>
          </cell>
          <cell r="F892" t="str">
            <v>TERRESTRE</v>
          </cell>
        </row>
        <row r="893">
          <cell r="A893">
            <v>63594</v>
          </cell>
          <cell r="B893" t="str">
            <v>QUIMBAYA</v>
          </cell>
          <cell r="C893" t="str">
            <v>QUINDIO</v>
          </cell>
          <cell r="D893" t="str">
            <v>PEREIRA</v>
          </cell>
          <cell r="E893" t="str">
            <v>INTERMEDIA</v>
          </cell>
          <cell r="F893" t="str">
            <v>TERRESTRE</v>
          </cell>
        </row>
        <row r="894">
          <cell r="A894">
            <v>63690</v>
          </cell>
          <cell r="B894" t="str">
            <v>SALENTO</v>
          </cell>
          <cell r="C894" t="str">
            <v>QUINDIO</v>
          </cell>
          <cell r="D894" t="str">
            <v>PEREIRA</v>
          </cell>
          <cell r="E894" t="str">
            <v>INTERMEDIA</v>
          </cell>
          <cell r="F894" t="str">
            <v>TERRESTRE</v>
          </cell>
        </row>
        <row r="895">
          <cell r="A895">
            <v>66075</v>
          </cell>
          <cell r="B895" t="str">
            <v>BALBOA</v>
          </cell>
          <cell r="C895" t="str">
            <v>RISARALDA</v>
          </cell>
          <cell r="D895" t="str">
            <v>PEREIRA</v>
          </cell>
          <cell r="E895" t="str">
            <v>INTERMEDIA</v>
          </cell>
          <cell r="F895" t="str">
            <v>TERRESTRE</v>
          </cell>
        </row>
        <row r="896">
          <cell r="A896">
            <v>66045</v>
          </cell>
          <cell r="B896" t="str">
            <v>APIA</v>
          </cell>
          <cell r="C896" t="str">
            <v>RISARALDA</v>
          </cell>
          <cell r="D896" t="str">
            <v>PEREIRA</v>
          </cell>
          <cell r="E896" t="str">
            <v>INTERMEDIA</v>
          </cell>
          <cell r="F896" t="str">
            <v>TERRESTRE</v>
          </cell>
        </row>
        <row r="897">
          <cell r="A897">
            <v>66088</v>
          </cell>
          <cell r="B897" t="str">
            <v>BELEN DE UMBRIA</v>
          </cell>
          <cell r="C897" t="str">
            <v>RISARALDA</v>
          </cell>
          <cell r="D897" t="str">
            <v>PEREIRA</v>
          </cell>
          <cell r="E897" t="str">
            <v>INTERMEDIA</v>
          </cell>
          <cell r="F897" t="str">
            <v>TERRESTRE</v>
          </cell>
        </row>
        <row r="898">
          <cell r="A898">
            <v>66170</v>
          </cell>
          <cell r="B898" t="str">
            <v>DOSQUEBRADAS</v>
          </cell>
          <cell r="C898" t="str">
            <v>RISARALDA</v>
          </cell>
          <cell r="D898" t="str">
            <v>PEREIRA</v>
          </cell>
          <cell r="E898" t="str">
            <v>PRINCIPAL</v>
          </cell>
          <cell r="F898" t="str">
            <v>TERRESTRE</v>
          </cell>
        </row>
        <row r="899">
          <cell r="A899">
            <v>66318</v>
          </cell>
          <cell r="B899" t="str">
            <v>GUATICA</v>
          </cell>
          <cell r="C899" t="str">
            <v>RISARALDA</v>
          </cell>
          <cell r="D899" t="str">
            <v>PEREIRA</v>
          </cell>
          <cell r="E899" t="str">
            <v>INTERMEDIA</v>
          </cell>
          <cell r="F899" t="str">
            <v>TERRESTRE</v>
          </cell>
        </row>
        <row r="900">
          <cell r="A900">
            <v>66383</v>
          </cell>
          <cell r="B900" t="str">
            <v>LA CELIA</v>
          </cell>
          <cell r="C900" t="str">
            <v>RISARALDA</v>
          </cell>
          <cell r="D900" t="str">
            <v>PEREIRA</v>
          </cell>
          <cell r="E900" t="str">
            <v>INTERMEDIA</v>
          </cell>
          <cell r="F900" t="str">
            <v>TERRESTRE</v>
          </cell>
        </row>
        <row r="901">
          <cell r="A901">
            <v>66400</v>
          </cell>
          <cell r="B901" t="str">
            <v>LA VIRGINIA</v>
          </cell>
          <cell r="C901" t="str">
            <v>RISARALDA</v>
          </cell>
          <cell r="D901" t="str">
            <v>PEREIRA</v>
          </cell>
          <cell r="E901" t="str">
            <v>PRINCIPAL</v>
          </cell>
          <cell r="F901" t="str">
            <v>TERRESTRE</v>
          </cell>
        </row>
        <row r="902">
          <cell r="A902">
            <v>66440</v>
          </cell>
          <cell r="B902" t="str">
            <v>MARSELLA</v>
          </cell>
          <cell r="C902" t="str">
            <v>RISARALDA</v>
          </cell>
          <cell r="D902" t="str">
            <v>PEREIRA</v>
          </cell>
          <cell r="E902" t="str">
            <v>INTERMEDIA</v>
          </cell>
          <cell r="F902" t="str">
            <v>TERRESTRE</v>
          </cell>
        </row>
        <row r="903">
          <cell r="A903">
            <v>66456</v>
          </cell>
          <cell r="B903" t="str">
            <v>MISTRATO</v>
          </cell>
          <cell r="C903" t="str">
            <v>RISARALDA</v>
          </cell>
          <cell r="D903" t="str">
            <v>PEREIRA</v>
          </cell>
          <cell r="E903" t="str">
            <v>INTERMEDIA</v>
          </cell>
          <cell r="F903" t="str">
            <v>TERRESTRE</v>
          </cell>
        </row>
        <row r="904">
          <cell r="A904">
            <v>66001</v>
          </cell>
          <cell r="B904" t="str">
            <v>PEREIRA</v>
          </cell>
          <cell r="C904" t="str">
            <v>RISARALDA</v>
          </cell>
          <cell r="D904" t="str">
            <v>PEREIRA</v>
          </cell>
          <cell r="E904" t="str">
            <v>PRINCIPAL</v>
          </cell>
          <cell r="F904" t="str">
            <v>TERRESTRE</v>
          </cell>
        </row>
        <row r="905">
          <cell r="A905">
            <v>66572</v>
          </cell>
          <cell r="B905" t="str">
            <v>PUEBLO RICO</v>
          </cell>
          <cell r="C905" t="str">
            <v>RISARALDA</v>
          </cell>
          <cell r="D905" t="str">
            <v>PEREIRA</v>
          </cell>
          <cell r="E905" t="str">
            <v>INTERMEDIA</v>
          </cell>
          <cell r="F905" t="str">
            <v>TERRESTRE</v>
          </cell>
        </row>
        <row r="906">
          <cell r="A906">
            <v>66594</v>
          </cell>
          <cell r="B906" t="str">
            <v>QUINCHIA</v>
          </cell>
          <cell r="C906" t="str">
            <v>RISARALDA</v>
          </cell>
          <cell r="D906" t="str">
            <v>PEREIRA</v>
          </cell>
          <cell r="E906" t="str">
            <v>INTERMEDIA</v>
          </cell>
          <cell r="F906" t="str">
            <v>TERRESTRE</v>
          </cell>
        </row>
        <row r="907">
          <cell r="A907">
            <v>66682</v>
          </cell>
          <cell r="B907" t="str">
            <v>SANTA ROSA DE CABAL</v>
          </cell>
          <cell r="C907" t="str">
            <v>RISARALDA</v>
          </cell>
          <cell r="D907" t="str">
            <v>PEREIRA</v>
          </cell>
          <cell r="E907" t="str">
            <v>PRINCIPAL</v>
          </cell>
          <cell r="F907" t="str">
            <v>TERRESTRE</v>
          </cell>
        </row>
        <row r="908">
          <cell r="A908">
            <v>66687</v>
          </cell>
          <cell r="B908" t="str">
            <v>SANTUARIO</v>
          </cell>
          <cell r="C908" t="str">
            <v>RISARALDA</v>
          </cell>
          <cell r="D908" t="str">
            <v>PEREIRA</v>
          </cell>
          <cell r="E908" t="str">
            <v>INTERMEDIA</v>
          </cell>
          <cell r="F908" t="str">
            <v>TERRESTRE</v>
          </cell>
        </row>
        <row r="909">
          <cell r="A909">
            <v>88564</v>
          </cell>
          <cell r="B909" t="str">
            <v>PROVIDENCIA</v>
          </cell>
          <cell r="C909" t="str">
            <v>ARCHIPIELAGO DE SAN ANDRES Y PROVIDENCIA</v>
          </cell>
          <cell r="D909" t="str">
            <v>BARRANQUILLA</v>
          </cell>
          <cell r="E909" t="str">
            <v>LEJANA</v>
          </cell>
          <cell r="F909" t="str">
            <v>AEREO</v>
          </cell>
        </row>
        <row r="910">
          <cell r="A910">
            <v>88001</v>
          </cell>
          <cell r="B910" t="str">
            <v>SAN ANDRES</v>
          </cell>
          <cell r="C910" t="str">
            <v>ARCHIPIELAGO DE SAN ANDRES Y PROVIDENCIA</v>
          </cell>
          <cell r="D910" t="str">
            <v>BARRANQUILLA</v>
          </cell>
          <cell r="E910" t="str">
            <v>LEJANA</v>
          </cell>
          <cell r="F910" t="str">
            <v>AEREO</v>
          </cell>
        </row>
        <row r="911">
          <cell r="A911">
            <v>68020</v>
          </cell>
          <cell r="B911" t="str">
            <v>ALBANIA</v>
          </cell>
          <cell r="C911" t="str">
            <v>SANTANDER</v>
          </cell>
          <cell r="D911" t="str">
            <v>TUNJA</v>
          </cell>
          <cell r="E911" t="str">
            <v>LEJANA</v>
          </cell>
          <cell r="F911" t="str">
            <v>TERRESTRE</v>
          </cell>
        </row>
        <row r="912">
          <cell r="A912">
            <v>68077</v>
          </cell>
          <cell r="B912" t="str">
            <v>BARBOSA</v>
          </cell>
          <cell r="C912" t="str">
            <v>SANTANDER</v>
          </cell>
          <cell r="D912" t="str">
            <v>TUNJA</v>
          </cell>
          <cell r="E912" t="str">
            <v>INTERMEDIA</v>
          </cell>
          <cell r="F912" t="str">
            <v>TERRESTRE</v>
          </cell>
        </row>
        <row r="913">
          <cell r="A913">
            <v>68092</v>
          </cell>
          <cell r="B913" t="str">
            <v>BETULIA</v>
          </cell>
          <cell r="C913" t="str">
            <v>SANTANDER</v>
          </cell>
          <cell r="D913" t="str">
            <v>BUCARAMANGA</v>
          </cell>
          <cell r="E913" t="str">
            <v>LEJANA</v>
          </cell>
          <cell r="F913" t="str">
            <v>TERRESTRE</v>
          </cell>
        </row>
        <row r="914">
          <cell r="A914">
            <v>68101</v>
          </cell>
          <cell r="B914" t="str">
            <v>BOLIVAR</v>
          </cell>
          <cell r="C914" t="str">
            <v>SANTANDER</v>
          </cell>
          <cell r="D914" t="str">
            <v>TUNJA</v>
          </cell>
          <cell r="E914" t="str">
            <v>LEJANA</v>
          </cell>
          <cell r="F914" t="str">
            <v>TERRESTRE</v>
          </cell>
        </row>
        <row r="915">
          <cell r="A915">
            <v>68121</v>
          </cell>
          <cell r="B915" t="str">
            <v>CABRERA</v>
          </cell>
          <cell r="C915" t="str">
            <v>SANTANDER</v>
          </cell>
          <cell r="D915" t="str">
            <v>BUCARAMANGA</v>
          </cell>
          <cell r="E915" t="str">
            <v>LEJANA</v>
          </cell>
          <cell r="F915" t="str">
            <v>TERRESTRE</v>
          </cell>
        </row>
        <row r="916">
          <cell r="A916">
            <v>68176</v>
          </cell>
          <cell r="B916" t="str">
            <v>CHIMA</v>
          </cell>
          <cell r="C916" t="str">
            <v>SANTANDER</v>
          </cell>
          <cell r="D916" t="str">
            <v>BUCARAMANGA</v>
          </cell>
          <cell r="E916" t="str">
            <v>LEJANA</v>
          </cell>
          <cell r="F916" t="str">
            <v>TERRESTRE</v>
          </cell>
        </row>
        <row r="917">
          <cell r="A917">
            <v>68207</v>
          </cell>
          <cell r="B917" t="str">
            <v>CONCEPCION</v>
          </cell>
          <cell r="C917" t="str">
            <v>SANTANDER</v>
          </cell>
          <cell r="D917" t="str">
            <v>BUCARAMANGA</v>
          </cell>
          <cell r="E917" t="str">
            <v>LEJANA</v>
          </cell>
          <cell r="F917" t="str">
            <v>TERRESTRE</v>
          </cell>
        </row>
        <row r="918">
          <cell r="A918">
            <v>68250</v>
          </cell>
          <cell r="B918" t="str">
            <v>EL PEÑON</v>
          </cell>
          <cell r="C918" t="str">
            <v>SANTANDER</v>
          </cell>
          <cell r="D918" t="str">
            <v>BUCARAMANGA</v>
          </cell>
          <cell r="E918" t="str">
            <v>LEJANA</v>
          </cell>
          <cell r="F918" t="str">
            <v>TERRESTRE</v>
          </cell>
        </row>
        <row r="919">
          <cell r="A919">
            <v>68320</v>
          </cell>
          <cell r="B919" t="str">
            <v>GUADALUPE</v>
          </cell>
          <cell r="C919" t="str">
            <v>SANTANDER</v>
          </cell>
          <cell r="D919" t="str">
            <v>BUCARAMANGA</v>
          </cell>
          <cell r="E919" t="str">
            <v>LEJANA</v>
          </cell>
          <cell r="F919" t="str">
            <v>TERRESTRE</v>
          </cell>
        </row>
        <row r="920">
          <cell r="A920">
            <v>68397</v>
          </cell>
          <cell r="B920" t="str">
            <v>LA PAZ</v>
          </cell>
          <cell r="C920" t="str">
            <v>SANTANDER</v>
          </cell>
          <cell r="D920" t="str">
            <v>BUCARAMANGA</v>
          </cell>
          <cell r="E920" t="str">
            <v>LEJANA</v>
          </cell>
          <cell r="F920" t="str">
            <v>TERRESTRE</v>
          </cell>
        </row>
        <row r="921">
          <cell r="A921">
            <v>68615</v>
          </cell>
          <cell r="B921" t="str">
            <v>RIONEGRO</v>
          </cell>
          <cell r="C921" t="str">
            <v>SANTANDER</v>
          </cell>
          <cell r="D921" t="str">
            <v>BUCARAMANGA</v>
          </cell>
          <cell r="E921" t="str">
            <v>INTERMEDIA</v>
          </cell>
          <cell r="F921" t="str">
            <v>TERRESTRE</v>
          </cell>
        </row>
        <row r="922">
          <cell r="A922">
            <v>68669</v>
          </cell>
          <cell r="B922" t="str">
            <v>SAN ANDRES</v>
          </cell>
          <cell r="C922" t="str">
            <v>SANTANDER</v>
          </cell>
          <cell r="D922" t="str">
            <v>BUCARAMANGA</v>
          </cell>
          <cell r="E922" t="str">
            <v>LEJANA</v>
          </cell>
          <cell r="F922" t="str">
            <v>TERRESTRE</v>
          </cell>
        </row>
        <row r="923">
          <cell r="A923">
            <v>68686</v>
          </cell>
          <cell r="B923" t="str">
            <v>SAN MIGUEL</v>
          </cell>
          <cell r="C923" t="str">
            <v>SANTANDER</v>
          </cell>
          <cell r="D923" t="str">
            <v>TUNJA</v>
          </cell>
          <cell r="E923" t="str">
            <v>LEJANA</v>
          </cell>
          <cell r="F923" t="str">
            <v>TERRESTRE</v>
          </cell>
        </row>
        <row r="924">
          <cell r="A924">
            <v>68705</v>
          </cell>
          <cell r="B924" t="str">
            <v>SANTA BARBARA</v>
          </cell>
          <cell r="C924" t="str">
            <v>SANTANDER</v>
          </cell>
          <cell r="D924" t="str">
            <v>BUCARAMANGA</v>
          </cell>
          <cell r="E924" t="str">
            <v>INTERMEDIA</v>
          </cell>
          <cell r="F924" t="str">
            <v>TERRESTRE</v>
          </cell>
        </row>
        <row r="925">
          <cell r="A925">
            <v>68773</v>
          </cell>
          <cell r="B925" t="str">
            <v>SUCRE</v>
          </cell>
          <cell r="C925" t="str">
            <v>SANTANDER</v>
          </cell>
          <cell r="D925" t="str">
            <v>TUNJA</v>
          </cell>
          <cell r="E925" t="str">
            <v>LEJANA</v>
          </cell>
          <cell r="F925" t="str">
            <v>TERRESTRE</v>
          </cell>
        </row>
        <row r="926">
          <cell r="A926">
            <v>68872</v>
          </cell>
          <cell r="B926" t="str">
            <v>VILLANUEVA</v>
          </cell>
          <cell r="C926" t="str">
            <v>SANTANDER</v>
          </cell>
          <cell r="D926" t="str">
            <v>BUCARAMANGA</v>
          </cell>
          <cell r="E926" t="str">
            <v>LEJANA</v>
          </cell>
          <cell r="F926" t="str">
            <v>TERRESTRE</v>
          </cell>
        </row>
        <row r="927">
          <cell r="A927">
            <v>68013</v>
          </cell>
          <cell r="B927" t="str">
            <v>AGUADA</v>
          </cell>
          <cell r="C927" t="str">
            <v>SANTANDER</v>
          </cell>
          <cell r="D927" t="str">
            <v>BUCARAMANGA</v>
          </cell>
          <cell r="E927" t="str">
            <v>LEJANA</v>
          </cell>
          <cell r="F927" t="str">
            <v>TERRESTRE</v>
          </cell>
        </row>
        <row r="928">
          <cell r="A928">
            <v>68051</v>
          </cell>
          <cell r="B928" t="str">
            <v>ARATOCA</v>
          </cell>
          <cell r="C928" t="str">
            <v>SANTANDER</v>
          </cell>
          <cell r="D928" t="str">
            <v>BUCARAMANGA</v>
          </cell>
          <cell r="E928" t="str">
            <v>INTERMEDIA</v>
          </cell>
          <cell r="F928" t="str">
            <v>TERRESTRE</v>
          </cell>
        </row>
        <row r="929">
          <cell r="A929">
            <v>68079</v>
          </cell>
          <cell r="B929" t="str">
            <v>BARICHARA</v>
          </cell>
          <cell r="C929" t="str">
            <v>SANTANDER</v>
          </cell>
          <cell r="D929" t="str">
            <v>BUCARAMANGA</v>
          </cell>
          <cell r="E929" t="str">
            <v>LEJANA</v>
          </cell>
          <cell r="F929" t="str">
            <v>TERRESTRE</v>
          </cell>
        </row>
        <row r="930">
          <cell r="A930">
            <v>68081</v>
          </cell>
          <cell r="B930" t="str">
            <v>BARRANCABERMEJA</v>
          </cell>
          <cell r="C930" t="str">
            <v>SANTANDER</v>
          </cell>
          <cell r="D930" t="str">
            <v>BUCARAMANGA</v>
          </cell>
          <cell r="E930" t="str">
            <v>LEJANA</v>
          </cell>
          <cell r="F930" t="str">
            <v>TERRESTRE</v>
          </cell>
        </row>
        <row r="931">
          <cell r="A931">
            <v>68001</v>
          </cell>
          <cell r="B931" t="str">
            <v>BUCARAMANGA</v>
          </cell>
          <cell r="C931" t="str">
            <v>SANTANDER</v>
          </cell>
          <cell r="D931" t="str">
            <v>BUCARAMANGA</v>
          </cell>
          <cell r="E931" t="str">
            <v>PRINCIPAL</v>
          </cell>
          <cell r="F931" t="str">
            <v>TERRESTRE</v>
          </cell>
        </row>
        <row r="932">
          <cell r="A932">
            <v>68132</v>
          </cell>
          <cell r="B932" t="str">
            <v>CALIFORNIA</v>
          </cell>
          <cell r="C932" t="str">
            <v>SANTANDER</v>
          </cell>
          <cell r="D932" t="str">
            <v>BUCARAMANGA</v>
          </cell>
          <cell r="E932" t="str">
            <v>LEJANA</v>
          </cell>
          <cell r="F932" t="str">
            <v>TERRESTRE</v>
          </cell>
        </row>
        <row r="933">
          <cell r="A933">
            <v>68147</v>
          </cell>
          <cell r="B933" t="str">
            <v>CAPITANEJO</v>
          </cell>
          <cell r="C933" t="str">
            <v>SANTANDER</v>
          </cell>
          <cell r="D933" t="str">
            <v>BUCARAMANGA</v>
          </cell>
          <cell r="E933" t="str">
            <v>LEJANA</v>
          </cell>
          <cell r="F933" t="str">
            <v>TERRESTRE</v>
          </cell>
        </row>
        <row r="934">
          <cell r="A934">
            <v>68152</v>
          </cell>
          <cell r="B934" t="str">
            <v>CARCASI</v>
          </cell>
          <cell r="C934" t="str">
            <v>SANTANDER</v>
          </cell>
          <cell r="D934" t="str">
            <v>BUCARAMANGA</v>
          </cell>
          <cell r="E934" t="str">
            <v>LEJANA</v>
          </cell>
          <cell r="F934" t="str">
            <v>TERRESTRE</v>
          </cell>
        </row>
        <row r="935">
          <cell r="A935">
            <v>68160</v>
          </cell>
          <cell r="B935" t="str">
            <v>CEPITA</v>
          </cell>
          <cell r="C935" t="str">
            <v>SANTANDER</v>
          </cell>
          <cell r="D935" t="str">
            <v>BUCARAMANGA</v>
          </cell>
          <cell r="E935" t="str">
            <v>LEJANA</v>
          </cell>
          <cell r="F935" t="str">
            <v>TERRESTRE</v>
          </cell>
        </row>
        <row r="936">
          <cell r="A936">
            <v>68162</v>
          </cell>
          <cell r="B936" t="str">
            <v>CERRITO</v>
          </cell>
          <cell r="C936" t="str">
            <v>SANTANDER</v>
          </cell>
          <cell r="D936" t="str">
            <v>BUCARAMANGA</v>
          </cell>
          <cell r="E936" t="str">
            <v>LEJANA</v>
          </cell>
          <cell r="F936" t="str">
            <v>TERRESTRE</v>
          </cell>
        </row>
        <row r="937">
          <cell r="A937">
            <v>68167</v>
          </cell>
          <cell r="B937" t="str">
            <v>CHARALA</v>
          </cell>
          <cell r="C937" t="str">
            <v>SANTANDER</v>
          </cell>
          <cell r="D937" t="str">
            <v>BUCARAMANGA</v>
          </cell>
          <cell r="E937" t="str">
            <v>LEJANA</v>
          </cell>
          <cell r="F937" t="str">
            <v>TERRESTRE</v>
          </cell>
        </row>
        <row r="938">
          <cell r="A938">
            <v>68169</v>
          </cell>
          <cell r="B938" t="str">
            <v>CHARTA</v>
          </cell>
          <cell r="C938" t="str">
            <v>SANTANDER</v>
          </cell>
          <cell r="D938" t="str">
            <v>BUCARAMANGA</v>
          </cell>
          <cell r="E938" t="str">
            <v>INTERMEDIA</v>
          </cell>
          <cell r="F938" t="str">
            <v>TERRESTRE</v>
          </cell>
        </row>
        <row r="939">
          <cell r="A939">
            <v>68179</v>
          </cell>
          <cell r="B939" t="str">
            <v>CHIPATA</v>
          </cell>
          <cell r="C939" t="str">
            <v>SANTANDER</v>
          </cell>
          <cell r="D939" t="str">
            <v>TUNJA</v>
          </cell>
          <cell r="E939" t="str">
            <v>LEJANA</v>
          </cell>
          <cell r="F939" t="str">
            <v>TERRESTRE</v>
          </cell>
        </row>
        <row r="940">
          <cell r="A940">
            <v>68190</v>
          </cell>
          <cell r="B940" t="str">
            <v>CIMITARRA</v>
          </cell>
          <cell r="C940" t="str">
            <v>SANTANDER</v>
          </cell>
          <cell r="D940" t="str">
            <v>BUCARAMANGA</v>
          </cell>
          <cell r="E940" t="str">
            <v>LEJANA</v>
          </cell>
          <cell r="F940" t="str">
            <v>TERRESTRE</v>
          </cell>
        </row>
        <row r="941">
          <cell r="A941">
            <v>68209</v>
          </cell>
          <cell r="B941" t="str">
            <v>CONFINES</v>
          </cell>
          <cell r="C941" t="str">
            <v>SANTANDER</v>
          </cell>
          <cell r="D941" t="str">
            <v>BUCARAMANGA</v>
          </cell>
          <cell r="E941" t="str">
            <v>LEJANA</v>
          </cell>
          <cell r="F941" t="str">
            <v>TERRESTRE</v>
          </cell>
        </row>
        <row r="942">
          <cell r="A942">
            <v>68211</v>
          </cell>
          <cell r="B942" t="str">
            <v>CONTRATACION</v>
          </cell>
          <cell r="C942" t="str">
            <v>SANTANDER</v>
          </cell>
          <cell r="D942" t="str">
            <v>BUCARAMANGA</v>
          </cell>
          <cell r="E942" t="str">
            <v>LEJANA</v>
          </cell>
          <cell r="F942" t="str">
            <v>TERRESTRE</v>
          </cell>
        </row>
        <row r="943">
          <cell r="A943">
            <v>68217</v>
          </cell>
          <cell r="B943" t="str">
            <v>COROMORO</v>
          </cell>
          <cell r="C943" t="str">
            <v>SANTANDER</v>
          </cell>
          <cell r="D943" t="str">
            <v>BUCARAMANGA</v>
          </cell>
          <cell r="E943" t="str">
            <v>LEJANA</v>
          </cell>
          <cell r="F943" t="str">
            <v>TERRESTRE</v>
          </cell>
        </row>
        <row r="944">
          <cell r="A944">
            <v>68229</v>
          </cell>
          <cell r="B944" t="str">
            <v>CURITI</v>
          </cell>
          <cell r="C944" t="str">
            <v>SANTANDER</v>
          </cell>
          <cell r="D944" t="str">
            <v>BUCARAMANGA</v>
          </cell>
          <cell r="E944" t="str">
            <v>INTERMEDIA</v>
          </cell>
          <cell r="F944" t="str">
            <v>TERRESTRE</v>
          </cell>
        </row>
        <row r="945">
          <cell r="A945">
            <v>68235</v>
          </cell>
          <cell r="B945" t="str">
            <v>EL CARMEN DE CHUCURI</v>
          </cell>
          <cell r="C945" t="str">
            <v>SANTANDER</v>
          </cell>
          <cell r="D945" t="str">
            <v>BUCARAMANGA</v>
          </cell>
          <cell r="E945" t="str">
            <v>LEJANA</v>
          </cell>
          <cell r="F945" t="str">
            <v>TERRESTRE</v>
          </cell>
        </row>
        <row r="946">
          <cell r="A946">
            <v>68245</v>
          </cell>
          <cell r="B946" t="str">
            <v>EL GUACAMAYO</v>
          </cell>
          <cell r="C946" t="str">
            <v>SANTANDER</v>
          </cell>
          <cell r="D946" t="str">
            <v>BUCARAMANGA</v>
          </cell>
          <cell r="E946" t="str">
            <v>LEJANA</v>
          </cell>
          <cell r="F946" t="str">
            <v>TERRESTRE</v>
          </cell>
        </row>
        <row r="947">
          <cell r="A947">
            <v>68255</v>
          </cell>
          <cell r="B947" t="str">
            <v>EL PLAYON</v>
          </cell>
          <cell r="C947" t="str">
            <v>SANTANDER</v>
          </cell>
          <cell r="D947" t="str">
            <v>BUCARAMANGA</v>
          </cell>
          <cell r="E947" t="str">
            <v>INTERMEDIA</v>
          </cell>
          <cell r="F947" t="str">
            <v>TERRESTRE</v>
          </cell>
        </row>
        <row r="948">
          <cell r="A948">
            <v>68264</v>
          </cell>
          <cell r="B948" t="str">
            <v>ENCINO</v>
          </cell>
          <cell r="C948" t="str">
            <v>SANTANDER</v>
          </cell>
          <cell r="D948" t="str">
            <v>BUCARAMANGA</v>
          </cell>
          <cell r="E948" t="str">
            <v>LEJANA</v>
          </cell>
          <cell r="F948" t="str">
            <v>TERRESTRE</v>
          </cell>
        </row>
        <row r="949">
          <cell r="A949">
            <v>68266</v>
          </cell>
          <cell r="B949" t="str">
            <v>ENCISO</v>
          </cell>
          <cell r="C949" t="str">
            <v>SANTANDER</v>
          </cell>
          <cell r="D949" t="str">
            <v>BUCARAMANGA</v>
          </cell>
          <cell r="E949" t="str">
            <v>LEJANA</v>
          </cell>
          <cell r="F949" t="str">
            <v>TERRESTRE</v>
          </cell>
        </row>
        <row r="950">
          <cell r="A950">
            <v>68271</v>
          </cell>
          <cell r="B950" t="str">
            <v>FLORIAN</v>
          </cell>
          <cell r="C950" t="str">
            <v>SANTANDER</v>
          </cell>
          <cell r="D950" t="str">
            <v>TUNJA</v>
          </cell>
          <cell r="E950" t="str">
            <v>LEJANA</v>
          </cell>
          <cell r="F950" t="str">
            <v>TERRESTRE</v>
          </cell>
        </row>
        <row r="951">
          <cell r="A951">
            <v>68276</v>
          </cell>
          <cell r="B951" t="str">
            <v>FLORIDABLANCA</v>
          </cell>
          <cell r="C951" t="str">
            <v>SANTANDER</v>
          </cell>
          <cell r="D951" t="str">
            <v>BUCARAMANGA</v>
          </cell>
          <cell r="E951" t="str">
            <v>PRINCIPAL</v>
          </cell>
          <cell r="F951" t="str">
            <v>TERRESTRE</v>
          </cell>
        </row>
        <row r="952">
          <cell r="A952">
            <v>68296</v>
          </cell>
          <cell r="B952" t="str">
            <v>GALAN</v>
          </cell>
          <cell r="C952" t="str">
            <v>SANTANDER</v>
          </cell>
          <cell r="D952" t="str">
            <v>BUCARAMANGA</v>
          </cell>
          <cell r="E952" t="str">
            <v>LEJANA</v>
          </cell>
          <cell r="F952" t="str">
            <v>TERRESTRE</v>
          </cell>
        </row>
        <row r="953">
          <cell r="A953">
            <v>68298</v>
          </cell>
          <cell r="B953" t="str">
            <v>GAMBITA</v>
          </cell>
          <cell r="C953" t="str">
            <v>SANTANDER</v>
          </cell>
          <cell r="D953" t="str">
            <v>BUCARAMANGA</v>
          </cell>
          <cell r="E953" t="str">
            <v>LEJANA</v>
          </cell>
          <cell r="F953" t="str">
            <v>TERRESTRE</v>
          </cell>
        </row>
        <row r="954">
          <cell r="A954">
            <v>68307</v>
          </cell>
          <cell r="B954" t="str">
            <v>GIRON</v>
          </cell>
          <cell r="C954" t="str">
            <v>SANTANDER</v>
          </cell>
          <cell r="D954" t="str">
            <v>BUCARAMANGA</v>
          </cell>
          <cell r="E954" t="str">
            <v>PRINCIPAL</v>
          </cell>
          <cell r="F954" t="str">
            <v>TERRESTRE</v>
          </cell>
        </row>
        <row r="955">
          <cell r="A955">
            <v>68318</v>
          </cell>
          <cell r="B955" t="str">
            <v>GUACA</v>
          </cell>
          <cell r="C955" t="str">
            <v>SANTANDER</v>
          </cell>
          <cell r="D955" t="str">
            <v>BUCARAMANGA</v>
          </cell>
          <cell r="E955" t="str">
            <v>LEJANA</v>
          </cell>
          <cell r="F955" t="str">
            <v>TERRESTRE</v>
          </cell>
        </row>
        <row r="956">
          <cell r="A956">
            <v>68322</v>
          </cell>
          <cell r="B956" t="str">
            <v>GUAPOTA</v>
          </cell>
          <cell r="C956" t="str">
            <v>SANTANDER</v>
          </cell>
          <cell r="D956" t="str">
            <v>BUCARAMANGA</v>
          </cell>
          <cell r="E956" t="str">
            <v>LEJANA</v>
          </cell>
          <cell r="F956" t="str">
            <v>TERRESTRE</v>
          </cell>
        </row>
        <row r="957">
          <cell r="A957">
            <v>68324</v>
          </cell>
          <cell r="B957" t="str">
            <v>GUAVATA</v>
          </cell>
          <cell r="C957" t="str">
            <v>SANTANDER</v>
          </cell>
          <cell r="D957" t="str">
            <v>BUCARAMANGA</v>
          </cell>
          <cell r="E957" t="str">
            <v>LEJANA</v>
          </cell>
          <cell r="F957" t="str">
            <v>TERRESTRE</v>
          </cell>
        </row>
        <row r="958">
          <cell r="A958">
            <v>68327</v>
          </cell>
          <cell r="B958" t="str">
            <v>GUEPSA</v>
          </cell>
          <cell r="C958" t="str">
            <v>SANTANDER</v>
          </cell>
          <cell r="D958" t="str">
            <v>BUCARAMANGA</v>
          </cell>
          <cell r="E958" t="str">
            <v>LEJANA</v>
          </cell>
          <cell r="F958" t="str">
            <v>TERRESTRE</v>
          </cell>
        </row>
        <row r="959">
          <cell r="A959">
            <v>68344</v>
          </cell>
          <cell r="B959" t="str">
            <v>HATO</v>
          </cell>
          <cell r="C959" t="str">
            <v>SANTANDER</v>
          </cell>
          <cell r="D959" t="str">
            <v>BUCARAMANGA</v>
          </cell>
          <cell r="E959" t="str">
            <v>LEJANA</v>
          </cell>
          <cell r="F959" t="str">
            <v>TERRESTRE</v>
          </cell>
        </row>
        <row r="960">
          <cell r="A960">
            <v>68368</v>
          </cell>
          <cell r="B960" t="str">
            <v>JESUS MARIA</v>
          </cell>
          <cell r="C960" t="str">
            <v>SANTANDER</v>
          </cell>
          <cell r="D960" t="str">
            <v>TUNJA</v>
          </cell>
          <cell r="E960" t="str">
            <v>LEJANA</v>
          </cell>
          <cell r="F960" t="str">
            <v>TERRESTRE</v>
          </cell>
        </row>
        <row r="961">
          <cell r="A961">
            <v>68370</v>
          </cell>
          <cell r="B961" t="str">
            <v>JORDAN</v>
          </cell>
          <cell r="C961" t="str">
            <v>SANTANDER</v>
          </cell>
          <cell r="D961" t="str">
            <v>BUCARAMANGA</v>
          </cell>
          <cell r="E961" t="str">
            <v>LEJANA</v>
          </cell>
          <cell r="F961" t="str">
            <v>TERRESTRE</v>
          </cell>
        </row>
        <row r="962">
          <cell r="A962">
            <v>68377</v>
          </cell>
          <cell r="B962" t="str">
            <v>LA BELLEZA</v>
          </cell>
          <cell r="C962" t="str">
            <v>SANTANDER</v>
          </cell>
          <cell r="D962" t="str">
            <v>TUNJA</v>
          </cell>
          <cell r="E962" t="str">
            <v>LEJANA</v>
          </cell>
          <cell r="F962" t="str">
            <v>TERRESTRE</v>
          </cell>
        </row>
        <row r="963">
          <cell r="A963">
            <v>68385</v>
          </cell>
          <cell r="B963" t="str">
            <v>LANDAZURI</v>
          </cell>
          <cell r="C963" t="str">
            <v>SANTANDER</v>
          </cell>
          <cell r="D963" t="str">
            <v>TUNJA</v>
          </cell>
          <cell r="E963" t="str">
            <v>LEJANA</v>
          </cell>
          <cell r="F963" t="str">
            <v>TERRESTRE</v>
          </cell>
        </row>
        <row r="964">
          <cell r="A964">
            <v>68406</v>
          </cell>
          <cell r="B964" t="str">
            <v>LEBRIJA</v>
          </cell>
          <cell r="C964" t="str">
            <v>SANTANDER</v>
          </cell>
          <cell r="D964" t="str">
            <v>BUCARAMANGA</v>
          </cell>
          <cell r="E964" t="str">
            <v>INTERMEDIA</v>
          </cell>
          <cell r="F964" t="str">
            <v>TERRESTRE</v>
          </cell>
        </row>
        <row r="965">
          <cell r="A965">
            <v>68418</v>
          </cell>
          <cell r="B965" t="str">
            <v>LOS SANTOS</v>
          </cell>
          <cell r="C965" t="str">
            <v>SANTANDER</v>
          </cell>
          <cell r="D965" t="str">
            <v>BUCARAMANGA</v>
          </cell>
          <cell r="E965" t="str">
            <v>INTERMEDIA</v>
          </cell>
          <cell r="F965" t="str">
            <v>TERRESTRE</v>
          </cell>
        </row>
        <row r="966">
          <cell r="A966">
            <v>68425</v>
          </cell>
          <cell r="B966" t="str">
            <v>MACARAVITA</v>
          </cell>
          <cell r="C966" t="str">
            <v>SANTANDER</v>
          </cell>
          <cell r="D966" t="str">
            <v>BUCARAMANGA</v>
          </cell>
          <cell r="E966" t="str">
            <v>LEJANA</v>
          </cell>
          <cell r="F966" t="str">
            <v>TERRESTRE</v>
          </cell>
        </row>
        <row r="967">
          <cell r="A967">
            <v>68432</v>
          </cell>
          <cell r="B967" t="str">
            <v>MALAGA</v>
          </cell>
          <cell r="C967" t="str">
            <v>SANTANDER</v>
          </cell>
          <cell r="D967" t="str">
            <v>BUCARAMANGA</v>
          </cell>
          <cell r="E967" t="str">
            <v>LEJANA</v>
          </cell>
          <cell r="F967" t="str">
            <v>TERRESTRE</v>
          </cell>
        </row>
        <row r="968">
          <cell r="A968">
            <v>68444</v>
          </cell>
          <cell r="B968" t="str">
            <v>MATANZA</v>
          </cell>
          <cell r="C968" t="str">
            <v>SANTANDER</v>
          </cell>
          <cell r="D968" t="str">
            <v>BUCARAMANGA</v>
          </cell>
          <cell r="E968" t="str">
            <v>LEJANA</v>
          </cell>
          <cell r="F968" t="str">
            <v>TERRESTRE</v>
          </cell>
        </row>
        <row r="969">
          <cell r="A969">
            <v>68464</v>
          </cell>
          <cell r="B969" t="str">
            <v>MOGOTES</v>
          </cell>
          <cell r="C969" t="str">
            <v>SANTANDER</v>
          </cell>
          <cell r="D969" t="str">
            <v>BUCARAMANGA</v>
          </cell>
          <cell r="E969" t="str">
            <v>LEJANA</v>
          </cell>
          <cell r="F969" t="str">
            <v>TERRESTRE</v>
          </cell>
        </row>
        <row r="970">
          <cell r="A970">
            <v>68468</v>
          </cell>
          <cell r="B970" t="str">
            <v>MOLAGAVITA</v>
          </cell>
          <cell r="C970" t="str">
            <v>SANTANDER</v>
          </cell>
          <cell r="D970" t="str">
            <v>BUCARAMANGA</v>
          </cell>
          <cell r="E970" t="str">
            <v>LEJANA</v>
          </cell>
          <cell r="F970" t="str">
            <v>TERRESTRE</v>
          </cell>
        </row>
        <row r="971">
          <cell r="A971">
            <v>68498</v>
          </cell>
          <cell r="B971" t="str">
            <v>OCAMONTE</v>
          </cell>
          <cell r="C971" t="str">
            <v>SANTANDER</v>
          </cell>
          <cell r="D971" t="str">
            <v>BUCARAMANGA</v>
          </cell>
          <cell r="E971" t="str">
            <v>LEJANA</v>
          </cell>
          <cell r="F971" t="str">
            <v>TERRESTRE</v>
          </cell>
        </row>
        <row r="972">
          <cell r="A972">
            <v>68500</v>
          </cell>
          <cell r="B972" t="str">
            <v>OIBA</v>
          </cell>
          <cell r="C972" t="str">
            <v>SANTANDER</v>
          </cell>
          <cell r="D972" t="str">
            <v>BUCARAMANGA</v>
          </cell>
          <cell r="E972" t="str">
            <v>LEJANA</v>
          </cell>
          <cell r="F972" t="str">
            <v>TERRESTRE</v>
          </cell>
        </row>
        <row r="973">
          <cell r="A973">
            <v>68502</v>
          </cell>
          <cell r="B973" t="str">
            <v>ONZAGA</v>
          </cell>
          <cell r="C973" t="str">
            <v>SANTANDER</v>
          </cell>
          <cell r="D973" t="str">
            <v>BUCARAMANGA</v>
          </cell>
          <cell r="E973" t="str">
            <v>LEJANA</v>
          </cell>
          <cell r="F973" t="str">
            <v>TERRESTRE</v>
          </cell>
        </row>
        <row r="974">
          <cell r="A974">
            <v>68522</v>
          </cell>
          <cell r="B974" t="str">
            <v>PALMAR</v>
          </cell>
          <cell r="C974" t="str">
            <v>SANTANDER</v>
          </cell>
          <cell r="D974" t="str">
            <v>BUCARAMANGA</v>
          </cell>
          <cell r="E974" t="str">
            <v>LEJANA</v>
          </cell>
          <cell r="F974" t="str">
            <v>TERRESTRE</v>
          </cell>
        </row>
        <row r="975">
          <cell r="A975">
            <v>68524</v>
          </cell>
          <cell r="B975" t="str">
            <v>PALMAS DEL SOCORRO</v>
          </cell>
          <cell r="C975" t="str">
            <v>SANTANDER</v>
          </cell>
          <cell r="D975" t="str">
            <v>BUCARAMANGA</v>
          </cell>
          <cell r="E975" t="str">
            <v>LEJANA</v>
          </cell>
          <cell r="F975" t="str">
            <v>TERRESTRE</v>
          </cell>
        </row>
        <row r="976">
          <cell r="A976">
            <v>68533</v>
          </cell>
          <cell r="B976" t="str">
            <v>PARAMO</v>
          </cell>
          <cell r="C976" t="str">
            <v>SANTANDER</v>
          </cell>
          <cell r="D976" t="str">
            <v>BUCARAMANGA</v>
          </cell>
          <cell r="E976" t="str">
            <v>LEJANA</v>
          </cell>
          <cell r="F976" t="str">
            <v>TERRESTRE</v>
          </cell>
        </row>
        <row r="977">
          <cell r="A977">
            <v>68547</v>
          </cell>
          <cell r="B977" t="str">
            <v>PIEDECUESTA</v>
          </cell>
          <cell r="C977" t="str">
            <v>SANTANDER</v>
          </cell>
          <cell r="D977" t="str">
            <v>BUCARAMANGA</v>
          </cell>
          <cell r="E977" t="str">
            <v>INTERMEDIA</v>
          </cell>
          <cell r="F977" t="str">
            <v>TERRESTRE</v>
          </cell>
        </row>
        <row r="978">
          <cell r="A978">
            <v>68549</v>
          </cell>
          <cell r="B978" t="str">
            <v>PINCHOTE</v>
          </cell>
          <cell r="C978" t="str">
            <v>SANTANDER</v>
          </cell>
          <cell r="D978" t="str">
            <v>BUCARAMANGA</v>
          </cell>
          <cell r="E978" t="str">
            <v>LEJANA</v>
          </cell>
          <cell r="F978" t="str">
            <v>TERRESTRE</v>
          </cell>
        </row>
        <row r="979">
          <cell r="A979">
            <v>68572</v>
          </cell>
          <cell r="B979" t="str">
            <v>PUENTE NACIONAL</v>
          </cell>
          <cell r="C979" t="str">
            <v>SANTANDER</v>
          </cell>
          <cell r="D979" t="str">
            <v>TUNJA</v>
          </cell>
          <cell r="E979" t="str">
            <v>INTERMEDIA</v>
          </cell>
          <cell r="F979" t="str">
            <v>TERRESTRE</v>
          </cell>
        </row>
        <row r="980">
          <cell r="A980">
            <v>68573</v>
          </cell>
          <cell r="B980" t="str">
            <v>PUERTO PARRA</v>
          </cell>
          <cell r="C980" t="str">
            <v>SANTANDER</v>
          </cell>
          <cell r="D980" t="str">
            <v>BUCARAMANGA</v>
          </cell>
          <cell r="E980" t="str">
            <v>LEJANA</v>
          </cell>
          <cell r="F980" t="str">
            <v>TERRESTRE</v>
          </cell>
        </row>
        <row r="981">
          <cell r="A981">
            <v>68575</v>
          </cell>
          <cell r="B981" t="str">
            <v>PUERTO WILCHES</v>
          </cell>
          <cell r="C981" t="str">
            <v>SANTANDER</v>
          </cell>
          <cell r="D981" t="str">
            <v>BUCARAMANGA</v>
          </cell>
          <cell r="E981" t="str">
            <v>LEJANA</v>
          </cell>
          <cell r="F981" t="str">
            <v>TERRESTRE</v>
          </cell>
        </row>
        <row r="982">
          <cell r="A982">
            <v>68655</v>
          </cell>
          <cell r="B982" t="str">
            <v>SABANA DE TORRES</v>
          </cell>
          <cell r="C982" t="str">
            <v>SANTANDER</v>
          </cell>
          <cell r="D982" t="str">
            <v>BUCARAMANGA</v>
          </cell>
          <cell r="E982" t="str">
            <v>LEJANA</v>
          </cell>
          <cell r="F982" t="str">
            <v>TERRESTRE</v>
          </cell>
        </row>
        <row r="983">
          <cell r="A983">
            <v>68673</v>
          </cell>
          <cell r="B983" t="str">
            <v>SAN BENITO</v>
          </cell>
          <cell r="C983" t="str">
            <v>SANTANDER</v>
          </cell>
          <cell r="D983" t="str">
            <v>BUCARAMANGA</v>
          </cell>
          <cell r="E983" t="str">
            <v>LEJANA</v>
          </cell>
          <cell r="F983" t="str">
            <v>TERRESTRE</v>
          </cell>
        </row>
        <row r="984">
          <cell r="A984">
            <v>68679</v>
          </cell>
          <cell r="B984" t="str">
            <v>SAN GIL</v>
          </cell>
          <cell r="C984" t="str">
            <v>SANTANDER</v>
          </cell>
          <cell r="D984" t="str">
            <v>BUCARAMANGA</v>
          </cell>
          <cell r="E984" t="str">
            <v>INTERMEDIA</v>
          </cell>
          <cell r="F984" t="str">
            <v>TERRESTRE</v>
          </cell>
        </row>
        <row r="985">
          <cell r="A985">
            <v>68682</v>
          </cell>
          <cell r="B985" t="str">
            <v>SAN JOAQUIN</v>
          </cell>
          <cell r="C985" t="str">
            <v>SANTANDER</v>
          </cell>
          <cell r="D985" t="str">
            <v>BUCARAMANGA</v>
          </cell>
          <cell r="E985" t="str">
            <v>LEJANA</v>
          </cell>
          <cell r="F985" t="str">
            <v>TERRESTRE</v>
          </cell>
        </row>
        <row r="986">
          <cell r="A986">
            <v>68684</v>
          </cell>
          <cell r="B986" t="str">
            <v>SAN JOSE DE MIRANDA</v>
          </cell>
          <cell r="C986" t="str">
            <v>SANTANDER</v>
          </cell>
          <cell r="D986" t="str">
            <v>BUCARAMANGA</v>
          </cell>
          <cell r="E986" t="str">
            <v>LEJANA</v>
          </cell>
          <cell r="F986" t="str">
            <v>TERRESTRE</v>
          </cell>
        </row>
        <row r="987">
          <cell r="A987">
            <v>68689</v>
          </cell>
          <cell r="B987" t="str">
            <v>SAN VICENTE DE CHUCURI</v>
          </cell>
          <cell r="C987" t="str">
            <v>SANTANDER</v>
          </cell>
          <cell r="D987" t="str">
            <v>BUCARAMANGA</v>
          </cell>
          <cell r="E987" t="str">
            <v>LEJANA</v>
          </cell>
          <cell r="F987" t="str">
            <v>TERRESTRE</v>
          </cell>
        </row>
        <row r="988">
          <cell r="A988">
            <v>68720</v>
          </cell>
          <cell r="B988" t="str">
            <v>SANTA HELENA DEL OPON</v>
          </cell>
          <cell r="C988" t="str">
            <v>SANTANDER</v>
          </cell>
          <cell r="D988" t="str">
            <v>BUCARAMANGA</v>
          </cell>
          <cell r="E988" t="str">
            <v>LEJANA</v>
          </cell>
          <cell r="F988" t="str">
            <v>TERRESTRE</v>
          </cell>
        </row>
        <row r="989">
          <cell r="A989">
            <v>68745</v>
          </cell>
          <cell r="B989" t="str">
            <v>SIMACOTA</v>
          </cell>
          <cell r="C989" t="str">
            <v>SANTANDER</v>
          </cell>
          <cell r="D989" t="str">
            <v>BUCARAMANGA</v>
          </cell>
          <cell r="E989" t="str">
            <v>LEJANA</v>
          </cell>
          <cell r="F989" t="str">
            <v>TERRESTRE</v>
          </cell>
        </row>
        <row r="990">
          <cell r="A990">
            <v>68755</v>
          </cell>
          <cell r="B990" t="str">
            <v>SOCORRO</v>
          </cell>
          <cell r="C990" t="str">
            <v>SANTANDER</v>
          </cell>
          <cell r="D990" t="str">
            <v>BUCARAMANGA</v>
          </cell>
          <cell r="E990" t="str">
            <v>LEJANA</v>
          </cell>
          <cell r="F990" t="str">
            <v>TERRESTRE</v>
          </cell>
        </row>
        <row r="991">
          <cell r="A991">
            <v>68770</v>
          </cell>
          <cell r="B991" t="str">
            <v>SUAITA</v>
          </cell>
          <cell r="C991" t="str">
            <v>SANTANDER</v>
          </cell>
          <cell r="D991" t="str">
            <v>BUCARAMANGA</v>
          </cell>
          <cell r="E991" t="str">
            <v>LEJANA</v>
          </cell>
          <cell r="F991" t="str">
            <v>TERRESTRE</v>
          </cell>
        </row>
        <row r="992">
          <cell r="A992">
            <v>68780</v>
          </cell>
          <cell r="B992" t="str">
            <v>SURATA</v>
          </cell>
          <cell r="C992" t="str">
            <v>SANTANDER</v>
          </cell>
          <cell r="D992" t="str">
            <v>BUCARAMANGA</v>
          </cell>
          <cell r="E992" t="str">
            <v>LEJANA</v>
          </cell>
          <cell r="F992" t="str">
            <v>TERRESTRE</v>
          </cell>
        </row>
        <row r="993">
          <cell r="A993">
            <v>68820</v>
          </cell>
          <cell r="B993" t="str">
            <v>TONA</v>
          </cell>
          <cell r="C993" t="str">
            <v>SANTANDER</v>
          </cell>
          <cell r="D993" t="str">
            <v>BUCARAMANGA</v>
          </cell>
          <cell r="E993" t="str">
            <v>INTERMEDIA</v>
          </cell>
          <cell r="F993" t="str">
            <v>TERRESTRE</v>
          </cell>
        </row>
        <row r="994">
          <cell r="A994">
            <v>68855</v>
          </cell>
          <cell r="B994" t="str">
            <v>VALLE DE SAN JOSE</v>
          </cell>
          <cell r="C994" t="str">
            <v>SANTANDER</v>
          </cell>
          <cell r="D994" t="str">
            <v>BUCARAMANGA</v>
          </cell>
          <cell r="E994" t="str">
            <v>LEJANA</v>
          </cell>
          <cell r="F994" t="str">
            <v>TERRESTRE</v>
          </cell>
        </row>
        <row r="995">
          <cell r="A995">
            <v>68861</v>
          </cell>
          <cell r="B995" t="str">
            <v>VELEZ</v>
          </cell>
          <cell r="C995" t="str">
            <v>SANTANDER</v>
          </cell>
          <cell r="D995" t="str">
            <v>TUNJA</v>
          </cell>
          <cell r="E995" t="str">
            <v>INTERMEDIA</v>
          </cell>
          <cell r="F995" t="str">
            <v>TERRESTRE</v>
          </cell>
        </row>
        <row r="996">
          <cell r="A996">
            <v>68867</v>
          </cell>
          <cell r="B996" t="str">
            <v>VETAS</v>
          </cell>
          <cell r="C996" t="str">
            <v>SANTANDER</v>
          </cell>
          <cell r="D996" t="str">
            <v>CUCUTA</v>
          </cell>
          <cell r="E996" t="str">
            <v>LEJANA</v>
          </cell>
          <cell r="F996" t="str">
            <v>TERRESTRE</v>
          </cell>
        </row>
        <row r="997">
          <cell r="A997">
            <v>68895</v>
          </cell>
          <cell r="B997" t="str">
            <v>ZAPATOCA</v>
          </cell>
          <cell r="C997" t="str">
            <v>SANTANDER</v>
          </cell>
          <cell r="D997" t="str">
            <v>BUCARAMANGA</v>
          </cell>
          <cell r="E997" t="str">
            <v>LEJANA</v>
          </cell>
          <cell r="F997" t="str">
            <v>TERRESTRE</v>
          </cell>
        </row>
        <row r="998">
          <cell r="A998">
            <v>70110</v>
          </cell>
          <cell r="B998" t="str">
            <v>BUENAVISTA</v>
          </cell>
          <cell r="C998" t="str">
            <v>SUCRE</v>
          </cell>
          <cell r="D998" t="str">
            <v>SINCELEJO</v>
          </cell>
          <cell r="E998" t="str">
            <v>INTERMEDIA</v>
          </cell>
          <cell r="F998" t="str">
            <v>TERRESTRE</v>
          </cell>
        </row>
        <row r="999">
          <cell r="A999">
            <v>70400</v>
          </cell>
          <cell r="B999" t="str">
            <v>LA UNION</v>
          </cell>
          <cell r="C999" t="str">
            <v>SUCRE</v>
          </cell>
          <cell r="D999" t="str">
            <v>SINCELEJO</v>
          </cell>
          <cell r="E999" t="str">
            <v>INTERMEDIA</v>
          </cell>
          <cell r="F999" t="str">
            <v>TERRESTRE</v>
          </cell>
        </row>
        <row r="1000">
          <cell r="A1000">
            <v>70717</v>
          </cell>
          <cell r="B1000" t="str">
            <v>SAN PEDRO</v>
          </cell>
          <cell r="C1000" t="str">
            <v>SUCRE</v>
          </cell>
          <cell r="D1000" t="str">
            <v>SINCELEJO</v>
          </cell>
          <cell r="E1000" t="str">
            <v>INTERMEDIA</v>
          </cell>
          <cell r="F1000" t="str">
            <v>TERRESTRE</v>
          </cell>
        </row>
        <row r="1001">
          <cell r="A1001">
            <v>70771</v>
          </cell>
          <cell r="B1001" t="str">
            <v>SUCRE</v>
          </cell>
          <cell r="C1001" t="str">
            <v>SUCRE</v>
          </cell>
          <cell r="D1001" t="str">
            <v>SINCELEJO</v>
          </cell>
          <cell r="E1001" t="str">
            <v>LEJANA</v>
          </cell>
          <cell r="F1001" t="str">
            <v>TERRESTRE</v>
          </cell>
        </row>
        <row r="1002">
          <cell r="A1002">
            <v>70124</v>
          </cell>
          <cell r="B1002" t="str">
            <v>CAIMITO</v>
          </cell>
          <cell r="C1002" t="str">
            <v>SUCRE</v>
          </cell>
          <cell r="D1002" t="str">
            <v>SINCELEJO</v>
          </cell>
          <cell r="E1002" t="str">
            <v>LEJANA</v>
          </cell>
          <cell r="F1002" t="str">
            <v>TERRESTRE</v>
          </cell>
        </row>
        <row r="1003">
          <cell r="A1003">
            <v>70230</v>
          </cell>
          <cell r="B1003" t="str">
            <v>CHALAN</v>
          </cell>
          <cell r="C1003" t="str">
            <v>SUCRE</v>
          </cell>
          <cell r="D1003" t="str">
            <v>SINCELEJO</v>
          </cell>
          <cell r="E1003" t="str">
            <v>LEJANA</v>
          </cell>
          <cell r="F1003" t="str">
            <v>TERRESTRE</v>
          </cell>
        </row>
        <row r="1004">
          <cell r="A1004">
            <v>70204</v>
          </cell>
          <cell r="B1004" t="str">
            <v>COLOSO</v>
          </cell>
          <cell r="C1004" t="str">
            <v>SUCRE</v>
          </cell>
          <cell r="D1004" t="str">
            <v>SINCELEJO</v>
          </cell>
          <cell r="E1004" t="str">
            <v>LEJANA</v>
          </cell>
          <cell r="F1004" t="str">
            <v>TERRESTRE</v>
          </cell>
        </row>
        <row r="1005">
          <cell r="A1005">
            <v>70215</v>
          </cell>
          <cell r="B1005" t="str">
            <v>COROZAL</v>
          </cell>
          <cell r="C1005" t="str">
            <v>SUCRE</v>
          </cell>
          <cell r="D1005" t="str">
            <v>SINCELEJO</v>
          </cell>
          <cell r="E1005" t="str">
            <v>INTERMEDIA</v>
          </cell>
          <cell r="F1005" t="str">
            <v>TERRESTRE</v>
          </cell>
        </row>
        <row r="1006">
          <cell r="A1006">
            <v>70221</v>
          </cell>
          <cell r="B1006" t="str">
            <v>COVEÑAS</v>
          </cell>
          <cell r="C1006" t="str">
            <v>SUCRE</v>
          </cell>
          <cell r="D1006" t="str">
            <v>SINCELEJO</v>
          </cell>
          <cell r="E1006" t="str">
            <v>INTERMEDIA</v>
          </cell>
          <cell r="F1006" t="str">
            <v>TERRESTRE</v>
          </cell>
        </row>
        <row r="1007">
          <cell r="A1007">
            <v>70233</v>
          </cell>
          <cell r="B1007" t="str">
            <v>EL ROBLE</v>
          </cell>
          <cell r="C1007" t="str">
            <v>SUCRE</v>
          </cell>
          <cell r="D1007" t="str">
            <v>SINCELEJO</v>
          </cell>
          <cell r="E1007" t="str">
            <v>INTERMEDIA</v>
          </cell>
          <cell r="F1007" t="str">
            <v>TERRESTRE</v>
          </cell>
        </row>
        <row r="1008">
          <cell r="A1008">
            <v>70235</v>
          </cell>
          <cell r="B1008" t="str">
            <v>GALERAS</v>
          </cell>
          <cell r="C1008" t="str">
            <v>SUCRE</v>
          </cell>
          <cell r="D1008" t="str">
            <v>SINCELEJO</v>
          </cell>
          <cell r="E1008" t="str">
            <v>INTERMEDIA</v>
          </cell>
          <cell r="F1008" t="str">
            <v>TERRESTRE</v>
          </cell>
        </row>
        <row r="1009">
          <cell r="A1009">
            <v>70265</v>
          </cell>
          <cell r="B1009" t="str">
            <v>GUARANDA</v>
          </cell>
          <cell r="C1009" t="str">
            <v>SUCRE</v>
          </cell>
          <cell r="D1009" t="str">
            <v>SINCELEJO</v>
          </cell>
          <cell r="E1009" t="str">
            <v>LEJANA</v>
          </cell>
          <cell r="F1009" t="str">
            <v>TERRESTRE</v>
          </cell>
        </row>
        <row r="1010">
          <cell r="A1010">
            <v>70418</v>
          </cell>
          <cell r="B1010" t="str">
            <v>LOS PALMITOS</v>
          </cell>
          <cell r="C1010" t="str">
            <v>SUCRE</v>
          </cell>
          <cell r="D1010" t="str">
            <v>SINCELEJO</v>
          </cell>
          <cell r="E1010" t="str">
            <v>INTERMEDIA</v>
          </cell>
          <cell r="F1010" t="str">
            <v>TERRESTRE</v>
          </cell>
        </row>
        <row r="1011">
          <cell r="A1011">
            <v>70429</v>
          </cell>
          <cell r="B1011" t="str">
            <v>MAJAGUAL</v>
          </cell>
          <cell r="C1011" t="str">
            <v>SUCRE</v>
          </cell>
          <cell r="D1011" t="str">
            <v>SINCELEJO</v>
          </cell>
          <cell r="E1011" t="str">
            <v>LEJANA</v>
          </cell>
          <cell r="F1011" t="str">
            <v>FLUVIAL</v>
          </cell>
        </row>
        <row r="1012">
          <cell r="A1012">
            <v>70473</v>
          </cell>
          <cell r="B1012" t="str">
            <v>MORROA</v>
          </cell>
          <cell r="C1012" t="str">
            <v>SUCRE</v>
          </cell>
          <cell r="D1012" t="str">
            <v>SINCELEJO</v>
          </cell>
          <cell r="E1012" t="str">
            <v>INTERMEDIA</v>
          </cell>
          <cell r="F1012" t="str">
            <v>TERRESTRE</v>
          </cell>
        </row>
        <row r="1013">
          <cell r="A1013">
            <v>70508</v>
          </cell>
          <cell r="B1013" t="str">
            <v>OVEJAS</v>
          </cell>
          <cell r="C1013" t="str">
            <v>SUCRE</v>
          </cell>
          <cell r="D1013" t="str">
            <v>SINCELEJO</v>
          </cell>
          <cell r="E1013" t="str">
            <v>INTERMEDIA</v>
          </cell>
          <cell r="F1013" t="str">
            <v>TERRESTRE</v>
          </cell>
        </row>
        <row r="1014">
          <cell r="A1014">
            <v>70523</v>
          </cell>
          <cell r="B1014" t="str">
            <v>PALMITO</v>
          </cell>
          <cell r="C1014" t="str">
            <v>SUCRE</v>
          </cell>
          <cell r="D1014" t="str">
            <v>SINCELEJO</v>
          </cell>
          <cell r="E1014" t="str">
            <v>INTERMEDIA</v>
          </cell>
          <cell r="F1014" t="str">
            <v>TERRESTRE</v>
          </cell>
        </row>
        <row r="1015">
          <cell r="A1015">
            <v>70670</v>
          </cell>
          <cell r="B1015" t="str">
            <v>SAMPUES</v>
          </cell>
          <cell r="C1015" t="str">
            <v>SUCRE</v>
          </cell>
          <cell r="D1015" t="str">
            <v>SINCELEJO</v>
          </cell>
          <cell r="E1015" t="str">
            <v>INTERMEDIA</v>
          </cell>
          <cell r="F1015" t="str">
            <v>TERRESTRE</v>
          </cell>
        </row>
        <row r="1016">
          <cell r="A1016">
            <v>70678</v>
          </cell>
          <cell r="B1016" t="str">
            <v>SAN BENITO ABAD</v>
          </cell>
          <cell r="C1016" t="str">
            <v>SUCRE</v>
          </cell>
          <cell r="D1016" t="str">
            <v>SINCELEJO</v>
          </cell>
          <cell r="E1016" t="str">
            <v>INTERMEDIA</v>
          </cell>
          <cell r="F1016" t="str">
            <v>TERRESTRE</v>
          </cell>
        </row>
        <row r="1017">
          <cell r="A1017">
            <v>70702</v>
          </cell>
          <cell r="B1017" t="str">
            <v>SAN JUAN DE BETULIA</v>
          </cell>
          <cell r="C1017" t="str">
            <v>SUCRE</v>
          </cell>
          <cell r="D1017" t="str">
            <v>SINCELEJO</v>
          </cell>
          <cell r="E1017" t="str">
            <v>INTERMEDIA</v>
          </cell>
          <cell r="F1017" t="str">
            <v>TERRESTRE</v>
          </cell>
        </row>
        <row r="1018">
          <cell r="A1018">
            <v>70742</v>
          </cell>
          <cell r="B1018" t="str">
            <v>SAN LUIS DE SINCE</v>
          </cell>
          <cell r="C1018" t="str">
            <v>SUCRE</v>
          </cell>
          <cell r="D1018" t="str">
            <v>SINCELEJO</v>
          </cell>
          <cell r="E1018" t="str">
            <v>INTERMEDIA</v>
          </cell>
          <cell r="F1018" t="str">
            <v>TERRESTRE</v>
          </cell>
        </row>
        <row r="1019">
          <cell r="A1019">
            <v>70708</v>
          </cell>
          <cell r="B1019" t="str">
            <v>SAN MARCOS</v>
          </cell>
          <cell r="C1019" t="str">
            <v>SUCRE</v>
          </cell>
          <cell r="D1019" t="str">
            <v>SINCELEJO</v>
          </cell>
          <cell r="E1019" t="str">
            <v>LEJANA</v>
          </cell>
          <cell r="F1019" t="str">
            <v>TERRESTRE</v>
          </cell>
        </row>
        <row r="1020">
          <cell r="A1020">
            <v>70713</v>
          </cell>
          <cell r="B1020" t="str">
            <v>SAN ONOFRE</v>
          </cell>
          <cell r="C1020" t="str">
            <v>SUCRE</v>
          </cell>
          <cell r="D1020" t="str">
            <v>SINCELEJO</v>
          </cell>
          <cell r="E1020" t="str">
            <v>INTERMEDIA</v>
          </cell>
          <cell r="F1020" t="str">
            <v>TERRESTRE</v>
          </cell>
        </row>
        <row r="1021">
          <cell r="A1021">
            <v>70820</v>
          </cell>
          <cell r="B1021" t="str">
            <v>SANTIAGO DE TOLU</v>
          </cell>
          <cell r="C1021" t="str">
            <v>SUCRE</v>
          </cell>
          <cell r="D1021" t="str">
            <v>SINCELEJO</v>
          </cell>
          <cell r="E1021" t="str">
            <v>INTERMEDIA</v>
          </cell>
          <cell r="F1021" t="str">
            <v>TERRESTRE</v>
          </cell>
        </row>
        <row r="1022">
          <cell r="A1022">
            <v>70001</v>
          </cell>
          <cell r="B1022" t="str">
            <v>SINCELEJO</v>
          </cell>
          <cell r="C1022" t="str">
            <v>SUCRE</v>
          </cell>
          <cell r="D1022" t="str">
            <v>SINCELEJO</v>
          </cell>
          <cell r="E1022" t="str">
            <v>PRINCIPAL</v>
          </cell>
          <cell r="F1022" t="str">
            <v>TERRESTRE</v>
          </cell>
        </row>
        <row r="1023">
          <cell r="A1023">
            <v>70823</v>
          </cell>
          <cell r="B1023" t="str">
            <v>TOLU VIEJO</v>
          </cell>
          <cell r="C1023" t="str">
            <v>SUCRE</v>
          </cell>
          <cell r="D1023" t="str">
            <v>SINCELEJO</v>
          </cell>
          <cell r="E1023" t="str">
            <v>INTERMEDIA</v>
          </cell>
          <cell r="F1023" t="str">
            <v>TERRESTRE</v>
          </cell>
        </row>
        <row r="1024">
          <cell r="A1024">
            <v>73678</v>
          </cell>
          <cell r="B1024" t="str">
            <v>SAN LUIS</v>
          </cell>
          <cell r="C1024" t="str">
            <v>TOLIMA</v>
          </cell>
          <cell r="D1024" t="str">
            <v>IBAGUE</v>
          </cell>
          <cell r="E1024" t="str">
            <v>INTERMEDIA</v>
          </cell>
          <cell r="F1024" t="str">
            <v>TERRESTRE</v>
          </cell>
        </row>
        <row r="1025">
          <cell r="A1025">
            <v>73770</v>
          </cell>
          <cell r="B1025" t="str">
            <v>SUAREZ</v>
          </cell>
          <cell r="C1025" t="str">
            <v>TOLIMA</v>
          </cell>
          <cell r="D1025" t="str">
            <v>IBAGUE</v>
          </cell>
          <cell r="E1025" t="str">
            <v>INTERMEDIA</v>
          </cell>
          <cell r="F1025" t="str">
            <v>TERRESTRE</v>
          </cell>
        </row>
        <row r="1026">
          <cell r="A1026">
            <v>73024</v>
          </cell>
          <cell r="B1026" t="str">
            <v>ALPUJARRA</v>
          </cell>
          <cell r="C1026" t="str">
            <v>TOLIMA</v>
          </cell>
          <cell r="D1026" t="str">
            <v>IBAGUE</v>
          </cell>
          <cell r="E1026" t="str">
            <v>LEJANA</v>
          </cell>
          <cell r="F1026" t="str">
            <v>TERRESTRE</v>
          </cell>
        </row>
        <row r="1027">
          <cell r="A1027">
            <v>73026</v>
          </cell>
          <cell r="B1027" t="str">
            <v>ALVARADO</v>
          </cell>
          <cell r="C1027" t="str">
            <v>TOLIMA</v>
          </cell>
          <cell r="D1027" t="str">
            <v>IBAGUE</v>
          </cell>
          <cell r="E1027" t="str">
            <v>INTERMEDIA</v>
          </cell>
          <cell r="F1027" t="str">
            <v>TERRESTRE</v>
          </cell>
        </row>
        <row r="1028">
          <cell r="A1028">
            <v>73030</v>
          </cell>
          <cell r="B1028" t="str">
            <v>AMBALEMA</v>
          </cell>
          <cell r="C1028" t="str">
            <v>TOLIMA</v>
          </cell>
          <cell r="D1028" t="str">
            <v>IBAGUE</v>
          </cell>
          <cell r="E1028" t="str">
            <v>INTERMEDIA</v>
          </cell>
          <cell r="F1028" t="str">
            <v>TERRESTRE</v>
          </cell>
        </row>
        <row r="1029">
          <cell r="A1029">
            <v>73043</v>
          </cell>
          <cell r="B1029" t="str">
            <v>ANZOATEGUI</v>
          </cell>
          <cell r="C1029" t="str">
            <v>TOLIMA</v>
          </cell>
          <cell r="D1029" t="str">
            <v>IBAGUE</v>
          </cell>
          <cell r="E1029" t="str">
            <v>INTERMEDIA</v>
          </cell>
          <cell r="F1029" t="str">
            <v>TERRESTRE</v>
          </cell>
        </row>
        <row r="1030">
          <cell r="A1030">
            <v>73055</v>
          </cell>
          <cell r="B1030" t="str">
            <v>ARMERO</v>
          </cell>
          <cell r="C1030" t="str">
            <v>TOLIMA</v>
          </cell>
          <cell r="D1030" t="str">
            <v>IBAGUE</v>
          </cell>
          <cell r="E1030" t="str">
            <v>INTERMEDIA</v>
          </cell>
          <cell r="F1030" t="str">
            <v>TERRESTRE</v>
          </cell>
        </row>
        <row r="1031">
          <cell r="A1031">
            <v>73067</v>
          </cell>
          <cell r="B1031" t="str">
            <v>ATACO</v>
          </cell>
          <cell r="C1031" t="str">
            <v>TOLIMA</v>
          </cell>
          <cell r="D1031" t="str">
            <v>IBAGUE</v>
          </cell>
          <cell r="E1031" t="str">
            <v>LEJANA</v>
          </cell>
          <cell r="F1031" t="str">
            <v>TERRESTRE</v>
          </cell>
        </row>
        <row r="1032">
          <cell r="A1032">
            <v>73124</v>
          </cell>
          <cell r="B1032" t="str">
            <v>CAJAMARCA</v>
          </cell>
          <cell r="C1032" t="str">
            <v>TOLIMA</v>
          </cell>
          <cell r="D1032" t="str">
            <v>IBAGUE</v>
          </cell>
          <cell r="E1032" t="str">
            <v>INTERMEDIA</v>
          </cell>
          <cell r="F1032" t="str">
            <v>TERRESTRE</v>
          </cell>
        </row>
        <row r="1033">
          <cell r="A1033">
            <v>73148</v>
          </cell>
          <cell r="B1033" t="str">
            <v>CARMEN DE APICALA</v>
          </cell>
          <cell r="C1033" t="str">
            <v>TOLIMA</v>
          </cell>
          <cell r="D1033" t="str">
            <v>BOGOTA</v>
          </cell>
          <cell r="E1033" t="str">
            <v>INTERMEDIA</v>
          </cell>
          <cell r="F1033" t="str">
            <v>TERRESTRE</v>
          </cell>
        </row>
        <row r="1034">
          <cell r="A1034">
            <v>73152</v>
          </cell>
          <cell r="B1034" t="str">
            <v>CASABIANCA</v>
          </cell>
          <cell r="C1034" t="str">
            <v>TOLIMA</v>
          </cell>
          <cell r="D1034" t="str">
            <v>IBAGUE</v>
          </cell>
          <cell r="E1034" t="str">
            <v>LEJANA</v>
          </cell>
          <cell r="F1034" t="str">
            <v>TERRESTRE</v>
          </cell>
        </row>
        <row r="1035">
          <cell r="A1035">
            <v>73168</v>
          </cell>
          <cell r="B1035" t="str">
            <v>CHAPARRAL</v>
          </cell>
          <cell r="C1035" t="str">
            <v>TOLIMA</v>
          </cell>
          <cell r="D1035" t="str">
            <v>IBAGUE</v>
          </cell>
          <cell r="E1035" t="str">
            <v>LEJANA</v>
          </cell>
          <cell r="F1035" t="str">
            <v>TERRESTRE</v>
          </cell>
        </row>
        <row r="1036">
          <cell r="A1036">
            <v>73200</v>
          </cell>
          <cell r="B1036" t="str">
            <v>COELLO</v>
          </cell>
          <cell r="C1036" t="str">
            <v>TOLIMA</v>
          </cell>
          <cell r="D1036" t="str">
            <v>IBAGUE</v>
          </cell>
          <cell r="E1036" t="str">
            <v>INTERMEDIA</v>
          </cell>
          <cell r="F1036" t="str">
            <v>TERRESTRE</v>
          </cell>
        </row>
        <row r="1037">
          <cell r="A1037">
            <v>73217</v>
          </cell>
          <cell r="B1037" t="str">
            <v>COYAIMA</v>
          </cell>
          <cell r="C1037" t="str">
            <v>TOLIMA</v>
          </cell>
          <cell r="D1037" t="str">
            <v>IBAGUE</v>
          </cell>
          <cell r="E1037" t="str">
            <v>LEJANA</v>
          </cell>
          <cell r="F1037" t="str">
            <v>TERRESTRE</v>
          </cell>
        </row>
        <row r="1038">
          <cell r="A1038">
            <v>73226</v>
          </cell>
          <cell r="B1038" t="str">
            <v>CUNDAY</v>
          </cell>
          <cell r="C1038" t="str">
            <v>TOLIMA</v>
          </cell>
          <cell r="D1038" t="str">
            <v>IBAGUE</v>
          </cell>
          <cell r="E1038" t="str">
            <v>INTERMEDIA</v>
          </cell>
          <cell r="F1038" t="str">
            <v>TERRESTRE</v>
          </cell>
        </row>
        <row r="1039">
          <cell r="A1039">
            <v>73236</v>
          </cell>
          <cell r="B1039" t="str">
            <v>DOLORES</v>
          </cell>
          <cell r="C1039" t="str">
            <v>TOLIMA</v>
          </cell>
          <cell r="D1039" t="str">
            <v>IBAGUE</v>
          </cell>
          <cell r="E1039" t="str">
            <v>LEJANA</v>
          </cell>
          <cell r="F1039" t="str">
            <v>TERRESTRE</v>
          </cell>
        </row>
        <row r="1040">
          <cell r="A1040">
            <v>73268</v>
          </cell>
          <cell r="B1040" t="str">
            <v>ESPINAL</v>
          </cell>
          <cell r="C1040" t="str">
            <v>TOLIMA</v>
          </cell>
          <cell r="D1040" t="str">
            <v>IBAGUE</v>
          </cell>
          <cell r="E1040" t="str">
            <v>INTERMEDIA</v>
          </cell>
          <cell r="F1040" t="str">
            <v>TERRESTRE</v>
          </cell>
        </row>
        <row r="1041">
          <cell r="A1041">
            <v>73270</v>
          </cell>
          <cell r="B1041" t="str">
            <v>FALAN</v>
          </cell>
          <cell r="C1041" t="str">
            <v>TOLIMA</v>
          </cell>
          <cell r="D1041" t="str">
            <v>IBAGUE</v>
          </cell>
          <cell r="E1041" t="str">
            <v>LEJANA</v>
          </cell>
          <cell r="F1041" t="str">
            <v>TERRESTRE</v>
          </cell>
        </row>
        <row r="1042">
          <cell r="A1042">
            <v>73275</v>
          </cell>
          <cell r="B1042" t="str">
            <v>FLANDES</v>
          </cell>
          <cell r="C1042" t="str">
            <v>TOLIMA</v>
          </cell>
          <cell r="D1042" t="str">
            <v>IBAGUE</v>
          </cell>
          <cell r="E1042" t="str">
            <v>INTERMEDIA</v>
          </cell>
          <cell r="F1042" t="str">
            <v>TERRESTRE</v>
          </cell>
        </row>
        <row r="1043">
          <cell r="A1043">
            <v>73283</v>
          </cell>
          <cell r="B1043" t="str">
            <v>FRESNO</v>
          </cell>
          <cell r="C1043" t="str">
            <v>TOLIMA</v>
          </cell>
          <cell r="D1043" t="str">
            <v>IBAGUE</v>
          </cell>
          <cell r="E1043" t="str">
            <v>LEJANA</v>
          </cell>
          <cell r="F1043" t="str">
            <v>TERRESTRE</v>
          </cell>
        </row>
        <row r="1044">
          <cell r="A1044">
            <v>73319</v>
          </cell>
          <cell r="B1044" t="str">
            <v>GUAMO</v>
          </cell>
          <cell r="C1044" t="str">
            <v>TOLIMA</v>
          </cell>
          <cell r="D1044" t="str">
            <v>IBAGUE</v>
          </cell>
          <cell r="E1044" t="str">
            <v>INTERMEDIA</v>
          </cell>
          <cell r="F1044" t="str">
            <v>TERRESTRE</v>
          </cell>
        </row>
        <row r="1045">
          <cell r="A1045">
            <v>73347</v>
          </cell>
          <cell r="B1045" t="str">
            <v>HERVEO</v>
          </cell>
          <cell r="C1045" t="str">
            <v>TOLIMA</v>
          </cell>
          <cell r="D1045" t="str">
            <v>MANIZALES</v>
          </cell>
          <cell r="E1045" t="str">
            <v>LEJANA</v>
          </cell>
          <cell r="F1045" t="str">
            <v>TERRESTRE</v>
          </cell>
        </row>
        <row r="1046">
          <cell r="A1046">
            <v>73349</v>
          </cell>
          <cell r="B1046" t="str">
            <v>HONDA</v>
          </cell>
          <cell r="C1046" t="str">
            <v>TOLIMA</v>
          </cell>
          <cell r="D1046" t="str">
            <v>IBAGUE</v>
          </cell>
          <cell r="E1046" t="str">
            <v>LEJANA</v>
          </cell>
          <cell r="F1046" t="str">
            <v>TERRESTRE</v>
          </cell>
        </row>
        <row r="1047">
          <cell r="A1047">
            <v>73001</v>
          </cell>
          <cell r="B1047" t="str">
            <v>IBAGUE</v>
          </cell>
          <cell r="C1047" t="str">
            <v>TOLIMA</v>
          </cell>
          <cell r="D1047" t="str">
            <v>IBAGUE</v>
          </cell>
          <cell r="E1047" t="str">
            <v>PRINCIPAL</v>
          </cell>
          <cell r="F1047" t="str">
            <v>TERRESTRE</v>
          </cell>
        </row>
        <row r="1048">
          <cell r="A1048">
            <v>73352</v>
          </cell>
          <cell r="B1048" t="str">
            <v>ICONONZO</v>
          </cell>
          <cell r="C1048" t="str">
            <v>TOLIMA</v>
          </cell>
          <cell r="D1048" t="str">
            <v>IBAGUE</v>
          </cell>
          <cell r="E1048" t="str">
            <v>LEJANA</v>
          </cell>
          <cell r="F1048" t="str">
            <v>TERRESTRE</v>
          </cell>
        </row>
        <row r="1049">
          <cell r="A1049">
            <v>73408</v>
          </cell>
          <cell r="B1049" t="str">
            <v>LERIDA</v>
          </cell>
          <cell r="C1049" t="str">
            <v>TOLIMA</v>
          </cell>
          <cell r="D1049" t="str">
            <v>IBAGUE</v>
          </cell>
          <cell r="E1049" t="str">
            <v>INTERMEDIA</v>
          </cell>
          <cell r="F1049" t="str">
            <v>TERRESTRE</v>
          </cell>
        </row>
        <row r="1050">
          <cell r="A1050">
            <v>73411</v>
          </cell>
          <cell r="B1050" t="str">
            <v>LIBANO</v>
          </cell>
          <cell r="C1050" t="str">
            <v>TOLIMA</v>
          </cell>
          <cell r="D1050" t="str">
            <v>IBAGUE</v>
          </cell>
          <cell r="E1050" t="str">
            <v>LEJANA</v>
          </cell>
          <cell r="F1050" t="str">
            <v>TERRESTRE</v>
          </cell>
        </row>
        <row r="1051">
          <cell r="A1051">
            <v>73443</v>
          </cell>
          <cell r="B1051" t="str">
            <v>MARIQUITA</v>
          </cell>
          <cell r="C1051" t="str">
            <v>TOLIMA</v>
          </cell>
          <cell r="D1051" t="str">
            <v>IBAGUE</v>
          </cell>
          <cell r="E1051" t="str">
            <v>LEJANA</v>
          </cell>
          <cell r="F1051" t="str">
            <v>TERRESTRE</v>
          </cell>
        </row>
        <row r="1052">
          <cell r="A1052">
            <v>73449</v>
          </cell>
          <cell r="B1052" t="str">
            <v>MELGAR</v>
          </cell>
          <cell r="C1052" t="str">
            <v>TOLIMA</v>
          </cell>
          <cell r="D1052" t="str">
            <v>BOGOTA</v>
          </cell>
          <cell r="E1052" t="str">
            <v>INTERMEDIA</v>
          </cell>
          <cell r="F1052" t="str">
            <v>TERRESTRE</v>
          </cell>
        </row>
        <row r="1053">
          <cell r="A1053">
            <v>73461</v>
          </cell>
          <cell r="B1053" t="str">
            <v>MURILLO</v>
          </cell>
          <cell r="C1053" t="str">
            <v>TOLIMA</v>
          </cell>
          <cell r="D1053" t="str">
            <v>IBAGUE</v>
          </cell>
          <cell r="E1053" t="str">
            <v>LEJANA</v>
          </cell>
          <cell r="F1053" t="str">
            <v>TERRESTRE</v>
          </cell>
        </row>
        <row r="1054">
          <cell r="A1054">
            <v>73483</v>
          </cell>
          <cell r="B1054" t="str">
            <v>NATAGAIMA</v>
          </cell>
          <cell r="C1054" t="str">
            <v>TOLIMA</v>
          </cell>
          <cell r="D1054" t="str">
            <v>NEIVA</v>
          </cell>
          <cell r="E1054" t="str">
            <v>INTERMEDIA</v>
          </cell>
          <cell r="F1054" t="str">
            <v>TERRESTRE</v>
          </cell>
        </row>
        <row r="1055">
          <cell r="A1055">
            <v>73504</v>
          </cell>
          <cell r="B1055" t="str">
            <v>ORTEGA</v>
          </cell>
          <cell r="C1055" t="str">
            <v>TOLIMA</v>
          </cell>
          <cell r="D1055" t="str">
            <v>IBAGUE</v>
          </cell>
          <cell r="E1055" t="str">
            <v>LEJANA</v>
          </cell>
          <cell r="F1055" t="str">
            <v>TERRESTRE</v>
          </cell>
        </row>
        <row r="1056">
          <cell r="A1056">
            <v>73520</v>
          </cell>
          <cell r="B1056" t="str">
            <v>PALOCABILDO</v>
          </cell>
          <cell r="C1056" t="str">
            <v>TOLIMA</v>
          </cell>
          <cell r="D1056" t="str">
            <v>IBAGUE</v>
          </cell>
          <cell r="E1056" t="str">
            <v>LEJANA</v>
          </cell>
          <cell r="F1056" t="str">
            <v>TERRESTRE</v>
          </cell>
        </row>
        <row r="1057">
          <cell r="A1057">
            <v>73547</v>
          </cell>
          <cell r="B1057" t="str">
            <v>PIEDRAS</v>
          </cell>
          <cell r="C1057" t="str">
            <v>TOLIMA</v>
          </cell>
          <cell r="D1057" t="str">
            <v>IBAGUE</v>
          </cell>
          <cell r="E1057" t="str">
            <v>INTERMEDIA</v>
          </cell>
          <cell r="F1057" t="str">
            <v>TERRESTRE</v>
          </cell>
        </row>
        <row r="1058">
          <cell r="A1058">
            <v>73555</v>
          </cell>
          <cell r="B1058" t="str">
            <v>PLANADAS</v>
          </cell>
          <cell r="C1058" t="str">
            <v>TOLIMA</v>
          </cell>
          <cell r="D1058" t="str">
            <v>IBAGUE</v>
          </cell>
          <cell r="E1058" t="str">
            <v>LEJANA</v>
          </cell>
          <cell r="F1058" t="str">
            <v>TERRESTRE</v>
          </cell>
        </row>
        <row r="1059">
          <cell r="A1059">
            <v>73563</v>
          </cell>
          <cell r="B1059" t="str">
            <v>PRADO</v>
          </cell>
          <cell r="C1059" t="str">
            <v>TOLIMA</v>
          </cell>
          <cell r="D1059" t="str">
            <v>IBAGUE</v>
          </cell>
          <cell r="E1059" t="str">
            <v>LEJANA</v>
          </cell>
          <cell r="F1059" t="str">
            <v>TERRESTRE</v>
          </cell>
        </row>
        <row r="1060">
          <cell r="A1060">
            <v>73585</v>
          </cell>
          <cell r="B1060" t="str">
            <v>PURIFICACION</v>
          </cell>
          <cell r="C1060" t="str">
            <v>TOLIMA</v>
          </cell>
          <cell r="D1060" t="str">
            <v>IBAGUE</v>
          </cell>
          <cell r="E1060" t="str">
            <v>INTERMEDIA</v>
          </cell>
          <cell r="F1060" t="str">
            <v>TERRESTRE</v>
          </cell>
        </row>
        <row r="1061">
          <cell r="A1061">
            <v>73616</v>
          </cell>
          <cell r="B1061" t="str">
            <v>RIOBLANCO</v>
          </cell>
          <cell r="C1061" t="str">
            <v>TOLIMA</v>
          </cell>
          <cell r="D1061" t="str">
            <v>IBAGUE</v>
          </cell>
          <cell r="E1061" t="str">
            <v>LEJANA</v>
          </cell>
          <cell r="F1061" t="str">
            <v>TERRESTRE</v>
          </cell>
        </row>
        <row r="1062">
          <cell r="A1062">
            <v>73622</v>
          </cell>
          <cell r="B1062" t="str">
            <v>RONCESVALLES</v>
          </cell>
          <cell r="C1062" t="str">
            <v>TOLIMA</v>
          </cell>
          <cell r="D1062" t="str">
            <v>IBAGUE</v>
          </cell>
          <cell r="E1062" t="str">
            <v>LEJANA</v>
          </cell>
          <cell r="F1062" t="str">
            <v>TERRESTRE</v>
          </cell>
        </row>
        <row r="1063">
          <cell r="A1063">
            <v>73624</v>
          </cell>
          <cell r="B1063" t="str">
            <v>ROVIRA</v>
          </cell>
          <cell r="C1063" t="str">
            <v>TOLIMA</v>
          </cell>
          <cell r="D1063" t="str">
            <v>IBAGUE</v>
          </cell>
          <cell r="E1063" t="str">
            <v>LEJANA</v>
          </cell>
          <cell r="F1063" t="str">
            <v>TERRESTRE</v>
          </cell>
        </row>
        <row r="1064">
          <cell r="A1064">
            <v>73671</v>
          </cell>
          <cell r="B1064" t="str">
            <v>SALDAÑA</v>
          </cell>
          <cell r="C1064" t="str">
            <v>TOLIMA</v>
          </cell>
          <cell r="D1064" t="str">
            <v>IBAGUE</v>
          </cell>
          <cell r="E1064" t="str">
            <v>INTERMEDIA</v>
          </cell>
          <cell r="F1064" t="str">
            <v>TERRESTRE</v>
          </cell>
        </row>
        <row r="1065">
          <cell r="A1065">
            <v>73675</v>
          </cell>
          <cell r="B1065" t="str">
            <v>SAN ANTONIO</v>
          </cell>
          <cell r="C1065" t="str">
            <v>TOLIMA</v>
          </cell>
          <cell r="D1065" t="str">
            <v>IBAGUE</v>
          </cell>
          <cell r="E1065" t="str">
            <v>LEJANA</v>
          </cell>
          <cell r="F1065" t="str">
            <v>TERRESTRE</v>
          </cell>
        </row>
        <row r="1066">
          <cell r="A1066">
            <v>73686</v>
          </cell>
          <cell r="B1066" t="str">
            <v>SANTA ISABEL</v>
          </cell>
          <cell r="C1066" t="str">
            <v>TOLIMA</v>
          </cell>
          <cell r="D1066" t="str">
            <v>IBAGUE</v>
          </cell>
          <cell r="E1066" t="str">
            <v>LEJANA</v>
          </cell>
          <cell r="F1066" t="str">
            <v>TERRESTRE</v>
          </cell>
        </row>
        <row r="1067">
          <cell r="A1067">
            <v>73854</v>
          </cell>
          <cell r="B1067" t="str">
            <v>VALLE DE SAN JUAN</v>
          </cell>
          <cell r="C1067" t="str">
            <v>TOLIMA</v>
          </cell>
          <cell r="D1067" t="str">
            <v>IBAGUE</v>
          </cell>
          <cell r="E1067" t="str">
            <v>INTERMEDIA</v>
          </cell>
          <cell r="F1067" t="str">
            <v>TERRESTRE</v>
          </cell>
        </row>
        <row r="1068">
          <cell r="A1068">
            <v>73861</v>
          </cell>
          <cell r="B1068" t="str">
            <v>VENADILLO</v>
          </cell>
          <cell r="C1068" t="str">
            <v>TOLIMA</v>
          </cell>
          <cell r="D1068" t="str">
            <v>IBAGUE</v>
          </cell>
          <cell r="E1068" t="str">
            <v>INTERMEDIA</v>
          </cell>
          <cell r="F1068" t="str">
            <v>TERRESTRE</v>
          </cell>
        </row>
        <row r="1069">
          <cell r="A1069">
            <v>73870</v>
          </cell>
          <cell r="B1069" t="str">
            <v>VILLAHERMOSA</v>
          </cell>
          <cell r="C1069" t="str">
            <v>TOLIMA</v>
          </cell>
          <cell r="D1069" t="str">
            <v>IBAGUE</v>
          </cell>
          <cell r="E1069" t="str">
            <v>LEJANA</v>
          </cell>
          <cell r="F1069" t="str">
            <v>TERRESTRE</v>
          </cell>
        </row>
        <row r="1070">
          <cell r="A1070">
            <v>73873</v>
          </cell>
          <cell r="B1070" t="str">
            <v>VILLARRICA</v>
          </cell>
          <cell r="C1070" t="str">
            <v>TOLIMA</v>
          </cell>
          <cell r="D1070" t="str">
            <v>IBAGUE</v>
          </cell>
          <cell r="E1070" t="str">
            <v>LEJANA</v>
          </cell>
          <cell r="F1070" t="str">
            <v>TERRESTRE</v>
          </cell>
        </row>
        <row r="1071">
          <cell r="A1071">
            <v>76054</v>
          </cell>
          <cell r="B1071" t="str">
            <v>ARGELIA</v>
          </cell>
          <cell r="C1071" t="str">
            <v>VALLE DEL CAUCA</v>
          </cell>
          <cell r="D1071" t="str">
            <v>PEREIRA</v>
          </cell>
          <cell r="E1071" t="str">
            <v>LEJANA</v>
          </cell>
          <cell r="F1071" t="str">
            <v>TERRESTRE</v>
          </cell>
        </row>
        <row r="1072">
          <cell r="A1072">
            <v>76100</v>
          </cell>
          <cell r="B1072" t="str">
            <v>BOLIVAR</v>
          </cell>
          <cell r="C1072" t="str">
            <v>VALLE DEL CAUCA</v>
          </cell>
          <cell r="D1072" t="str">
            <v>PEREIRA</v>
          </cell>
          <cell r="E1072" t="str">
            <v>INTERMEDIA</v>
          </cell>
          <cell r="F1072" t="str">
            <v>TERRESTRE</v>
          </cell>
        </row>
        <row r="1073">
          <cell r="A1073">
            <v>76130</v>
          </cell>
          <cell r="B1073" t="str">
            <v>CANDELARIA</v>
          </cell>
          <cell r="C1073" t="str">
            <v>VALLE DEL CAUCA</v>
          </cell>
          <cell r="D1073" t="str">
            <v>CALI</v>
          </cell>
          <cell r="E1073" t="str">
            <v>INTERMEDIA</v>
          </cell>
          <cell r="F1073" t="str">
            <v>TERRESTRE</v>
          </cell>
        </row>
        <row r="1074">
          <cell r="A1074">
            <v>76400</v>
          </cell>
          <cell r="B1074" t="str">
            <v>LA UNION</v>
          </cell>
          <cell r="C1074" t="str">
            <v>VALLE DEL CAUCA</v>
          </cell>
          <cell r="D1074" t="str">
            <v>PEREIRA</v>
          </cell>
          <cell r="E1074" t="str">
            <v>INTERMEDIA</v>
          </cell>
          <cell r="F1074" t="str">
            <v>TERRESTRE</v>
          </cell>
        </row>
        <row r="1075">
          <cell r="A1075">
            <v>76403</v>
          </cell>
          <cell r="B1075" t="str">
            <v>LA VICTORIA</v>
          </cell>
          <cell r="C1075" t="str">
            <v>VALLE DEL CAUCA</v>
          </cell>
          <cell r="D1075" t="str">
            <v>PEREIRA</v>
          </cell>
          <cell r="E1075" t="str">
            <v>INTERMEDIA</v>
          </cell>
          <cell r="F1075" t="str">
            <v>TERRESTRE</v>
          </cell>
        </row>
        <row r="1076">
          <cell r="A1076">
            <v>76606</v>
          </cell>
          <cell r="B1076" t="str">
            <v>RESTREPO</v>
          </cell>
          <cell r="C1076" t="str">
            <v>VALLE DEL CAUCA</v>
          </cell>
          <cell r="D1076" t="str">
            <v>CALI</v>
          </cell>
          <cell r="E1076" t="str">
            <v>INTERMEDIA</v>
          </cell>
          <cell r="F1076" t="str">
            <v>TERRESTRE</v>
          </cell>
        </row>
        <row r="1077">
          <cell r="A1077">
            <v>76670</v>
          </cell>
          <cell r="B1077" t="str">
            <v>SAN PEDRO</v>
          </cell>
          <cell r="C1077" t="str">
            <v>VALLE DEL CAUCA</v>
          </cell>
          <cell r="D1077" t="str">
            <v>CALI</v>
          </cell>
          <cell r="E1077" t="str">
            <v>INTERMEDIA</v>
          </cell>
          <cell r="F1077" t="str">
            <v>TERRESTRE</v>
          </cell>
        </row>
        <row r="1078">
          <cell r="A1078">
            <v>76020</v>
          </cell>
          <cell r="B1078" t="str">
            <v>ALCALA</v>
          </cell>
          <cell r="C1078" t="str">
            <v>VALLE DEL CAUCA</v>
          </cell>
          <cell r="D1078" t="str">
            <v>PEREIRA</v>
          </cell>
          <cell r="E1078" t="str">
            <v>INTERMEDIA</v>
          </cell>
          <cell r="F1078" t="str">
            <v>TERRESTRE</v>
          </cell>
        </row>
        <row r="1079">
          <cell r="A1079">
            <v>76036</v>
          </cell>
          <cell r="B1079" t="str">
            <v>ANDALUCIA</v>
          </cell>
          <cell r="C1079" t="str">
            <v>VALLE DEL CAUCA</v>
          </cell>
          <cell r="D1079" t="str">
            <v>CALI</v>
          </cell>
          <cell r="E1079" t="str">
            <v>INTERMEDIA</v>
          </cell>
          <cell r="F1079" t="str">
            <v>TERRESTRE</v>
          </cell>
        </row>
        <row r="1080">
          <cell r="A1080">
            <v>76041</v>
          </cell>
          <cell r="B1080" t="str">
            <v>ANSERMANUEVO</v>
          </cell>
          <cell r="C1080" t="str">
            <v>VALLE DEL CAUCA</v>
          </cell>
          <cell r="D1080" t="str">
            <v>PEREIRA</v>
          </cell>
          <cell r="E1080" t="str">
            <v>INTERMEDIA</v>
          </cell>
          <cell r="F1080" t="str">
            <v>TERRESTRE</v>
          </cell>
        </row>
        <row r="1081">
          <cell r="A1081">
            <v>76109</v>
          </cell>
          <cell r="B1081" t="str">
            <v>BUENAVENTURA</v>
          </cell>
          <cell r="C1081" t="str">
            <v>VALLE DEL CAUCA</v>
          </cell>
          <cell r="D1081" t="str">
            <v>CALI</v>
          </cell>
          <cell r="E1081" t="str">
            <v>LEJANA</v>
          </cell>
          <cell r="F1081" t="str">
            <v>TERRESTRE</v>
          </cell>
        </row>
        <row r="1082">
          <cell r="A1082">
            <v>76113</v>
          </cell>
          <cell r="B1082" t="str">
            <v>BUGALAGRANDE</v>
          </cell>
          <cell r="C1082" t="str">
            <v>VALLE DEL CAUCA</v>
          </cell>
          <cell r="D1082" t="str">
            <v>CALI</v>
          </cell>
          <cell r="E1082" t="str">
            <v>INTERMEDIA</v>
          </cell>
          <cell r="F1082" t="str">
            <v>TERRESTRE</v>
          </cell>
        </row>
        <row r="1083">
          <cell r="A1083">
            <v>76122</v>
          </cell>
          <cell r="B1083" t="str">
            <v>CAICEDONIA</v>
          </cell>
          <cell r="C1083" t="str">
            <v>VALLE DEL CAUCA</v>
          </cell>
          <cell r="D1083" t="str">
            <v>PEREIRA</v>
          </cell>
          <cell r="E1083" t="str">
            <v>INTERMEDIA</v>
          </cell>
          <cell r="F1083" t="str">
            <v>TERRESTRE</v>
          </cell>
        </row>
        <row r="1084">
          <cell r="A1084">
            <v>76001</v>
          </cell>
          <cell r="B1084" t="str">
            <v>CALI</v>
          </cell>
          <cell r="C1084" t="str">
            <v>VALLE DEL CAUCA</v>
          </cell>
          <cell r="D1084" t="str">
            <v>CALI</v>
          </cell>
          <cell r="E1084" t="str">
            <v>PRINCIPAL</v>
          </cell>
          <cell r="F1084" t="str">
            <v>TERRESTRE</v>
          </cell>
        </row>
        <row r="1085">
          <cell r="A1085">
            <v>76126</v>
          </cell>
          <cell r="B1085" t="str">
            <v>CALIMA</v>
          </cell>
          <cell r="C1085" t="str">
            <v>VALLE DEL CAUCA</v>
          </cell>
          <cell r="D1085" t="str">
            <v>CALI</v>
          </cell>
          <cell r="E1085" t="str">
            <v>INTERMEDIA</v>
          </cell>
          <cell r="F1085" t="str">
            <v>TERRESTRE</v>
          </cell>
        </row>
        <row r="1086">
          <cell r="A1086">
            <v>76147</v>
          </cell>
          <cell r="B1086" t="str">
            <v>CARTAGO</v>
          </cell>
          <cell r="C1086" t="str">
            <v>VALLE DEL CAUCA</v>
          </cell>
          <cell r="D1086" t="str">
            <v>PEREIRA</v>
          </cell>
          <cell r="E1086" t="str">
            <v>PRINCIPAL</v>
          </cell>
          <cell r="F1086" t="str">
            <v>TERRESTRE</v>
          </cell>
        </row>
        <row r="1087">
          <cell r="A1087">
            <v>76233</v>
          </cell>
          <cell r="B1087" t="str">
            <v>DAGUA</v>
          </cell>
          <cell r="C1087" t="str">
            <v>VALLE DEL CAUCA</v>
          </cell>
          <cell r="D1087" t="str">
            <v>CALI</v>
          </cell>
          <cell r="E1087" t="str">
            <v>INTERMEDIA</v>
          </cell>
          <cell r="F1087" t="str">
            <v>TERRESTRE</v>
          </cell>
        </row>
        <row r="1088">
          <cell r="A1088">
            <v>76243</v>
          </cell>
          <cell r="B1088" t="str">
            <v>EL AGUILA</v>
          </cell>
          <cell r="C1088" t="str">
            <v>VALLE DEL CAUCA</v>
          </cell>
          <cell r="D1088" t="str">
            <v>PEREIRA</v>
          </cell>
          <cell r="E1088" t="str">
            <v>LEJANA</v>
          </cell>
          <cell r="F1088" t="str">
            <v>TERRESTRE</v>
          </cell>
        </row>
        <row r="1089">
          <cell r="A1089">
            <v>76246</v>
          </cell>
          <cell r="B1089" t="str">
            <v>EL CAIRO</v>
          </cell>
          <cell r="C1089" t="str">
            <v>VALLE DEL CAUCA</v>
          </cell>
          <cell r="D1089" t="str">
            <v>PEREIRA</v>
          </cell>
          <cell r="E1089" t="str">
            <v>LEJANA</v>
          </cell>
          <cell r="F1089" t="str">
            <v>TERRESTRE</v>
          </cell>
        </row>
        <row r="1090">
          <cell r="A1090">
            <v>76248</v>
          </cell>
          <cell r="B1090" t="str">
            <v>EL CERRITO</v>
          </cell>
          <cell r="C1090" t="str">
            <v>VALLE DEL CAUCA</v>
          </cell>
          <cell r="D1090" t="str">
            <v>CALI</v>
          </cell>
          <cell r="E1090" t="str">
            <v>INTERMEDIA</v>
          </cell>
          <cell r="F1090" t="str">
            <v>TERRESTRE</v>
          </cell>
        </row>
        <row r="1091">
          <cell r="A1091">
            <v>76250</v>
          </cell>
          <cell r="B1091" t="str">
            <v>EL DOVIO</v>
          </cell>
          <cell r="C1091" t="str">
            <v>VALLE DEL CAUCA</v>
          </cell>
          <cell r="D1091" t="str">
            <v>PEREIRA</v>
          </cell>
          <cell r="E1091" t="str">
            <v>INTERMEDIA</v>
          </cell>
          <cell r="F1091" t="str">
            <v>TERRESTRE</v>
          </cell>
        </row>
        <row r="1092">
          <cell r="A1092">
            <v>76275</v>
          </cell>
          <cell r="B1092" t="str">
            <v>FLORIDA</v>
          </cell>
          <cell r="C1092" t="str">
            <v>VALLE DEL CAUCA</v>
          </cell>
          <cell r="D1092" t="str">
            <v>CALI</v>
          </cell>
          <cell r="E1092" t="str">
            <v>INTERMEDIA</v>
          </cell>
          <cell r="F1092" t="str">
            <v>TERRESTRE</v>
          </cell>
        </row>
        <row r="1093">
          <cell r="A1093">
            <v>76306</v>
          </cell>
          <cell r="B1093" t="str">
            <v>GINEBRA</v>
          </cell>
          <cell r="C1093" t="str">
            <v>VALLE DEL CAUCA</v>
          </cell>
          <cell r="D1093" t="str">
            <v>CALI</v>
          </cell>
          <cell r="E1093" t="str">
            <v>INTERMEDIA</v>
          </cell>
          <cell r="F1093" t="str">
            <v>TERRESTRE</v>
          </cell>
        </row>
        <row r="1094">
          <cell r="A1094">
            <v>76318</v>
          </cell>
          <cell r="B1094" t="str">
            <v>GUACARI</v>
          </cell>
          <cell r="C1094" t="str">
            <v>VALLE DEL CAUCA</v>
          </cell>
          <cell r="D1094" t="str">
            <v>CALI</v>
          </cell>
          <cell r="E1094" t="str">
            <v>INTERMEDIA</v>
          </cell>
          <cell r="F1094" t="str">
            <v>TERRESTRE</v>
          </cell>
        </row>
        <row r="1095">
          <cell r="A1095">
            <v>76111</v>
          </cell>
          <cell r="B1095" t="str">
            <v>GUADALAJARA DE BUGA</v>
          </cell>
          <cell r="C1095" t="str">
            <v>VALLE DEL CAUCA</v>
          </cell>
          <cell r="D1095" t="str">
            <v>CALI</v>
          </cell>
          <cell r="E1095" t="str">
            <v>INTERMEDIA</v>
          </cell>
          <cell r="F1095" t="str">
            <v>TERRESTRE</v>
          </cell>
        </row>
        <row r="1096">
          <cell r="A1096">
            <v>76364</v>
          </cell>
          <cell r="B1096" t="str">
            <v>JAMUNDI</v>
          </cell>
          <cell r="C1096" t="str">
            <v>VALLE DEL CAUCA</v>
          </cell>
          <cell r="D1096" t="str">
            <v>CALI</v>
          </cell>
          <cell r="E1096" t="str">
            <v>INTERMEDIA</v>
          </cell>
          <cell r="F1096" t="str">
            <v>TERRESTRE</v>
          </cell>
        </row>
        <row r="1097">
          <cell r="A1097">
            <v>76377</v>
          </cell>
          <cell r="B1097" t="str">
            <v>LA CUMBRE</v>
          </cell>
          <cell r="C1097" t="str">
            <v>VALLE DEL CAUCA</v>
          </cell>
          <cell r="D1097" t="str">
            <v>CALI</v>
          </cell>
          <cell r="E1097" t="str">
            <v>INTERMEDIA</v>
          </cell>
          <cell r="F1097" t="str">
            <v>TERRESTRE</v>
          </cell>
        </row>
        <row r="1098">
          <cell r="A1098">
            <v>76497</v>
          </cell>
          <cell r="B1098" t="str">
            <v>OBANDO</v>
          </cell>
          <cell r="C1098" t="str">
            <v>VALLE DEL CAUCA</v>
          </cell>
          <cell r="D1098" t="str">
            <v>PEREIRA</v>
          </cell>
          <cell r="E1098" t="str">
            <v>INTERMEDIA</v>
          </cell>
          <cell r="F1098" t="str">
            <v>TERRESTRE</v>
          </cell>
        </row>
        <row r="1099">
          <cell r="A1099">
            <v>76520</v>
          </cell>
          <cell r="B1099" t="str">
            <v>PALMIRA</v>
          </cell>
          <cell r="C1099" t="str">
            <v>VALLE DEL CAUCA</v>
          </cell>
          <cell r="D1099" t="str">
            <v>CALI</v>
          </cell>
          <cell r="E1099" t="str">
            <v>PRINCIPAL</v>
          </cell>
          <cell r="F1099" t="str">
            <v>TERRESTRE</v>
          </cell>
        </row>
        <row r="1100">
          <cell r="A1100">
            <v>76563</v>
          </cell>
          <cell r="B1100" t="str">
            <v>PRADERA</v>
          </cell>
          <cell r="C1100" t="str">
            <v>VALLE DEL CAUCA</v>
          </cell>
          <cell r="D1100" t="str">
            <v>CALI</v>
          </cell>
          <cell r="E1100" t="str">
            <v>INTERMEDIA</v>
          </cell>
          <cell r="F1100" t="str">
            <v>TERRESTRE</v>
          </cell>
        </row>
        <row r="1101">
          <cell r="A1101">
            <v>76616</v>
          </cell>
          <cell r="B1101" t="str">
            <v>RIOFRIO</v>
          </cell>
          <cell r="C1101" t="str">
            <v>VALLE DEL CAUCA</v>
          </cell>
          <cell r="D1101" t="str">
            <v>CALI</v>
          </cell>
          <cell r="E1101" t="str">
            <v>INTERMEDIA</v>
          </cell>
          <cell r="F1101" t="str">
            <v>TERRESTRE</v>
          </cell>
        </row>
        <row r="1102">
          <cell r="A1102">
            <v>76622</v>
          </cell>
          <cell r="B1102" t="str">
            <v>ROLDANILLO</v>
          </cell>
          <cell r="C1102" t="str">
            <v>VALLE DEL CAUCA</v>
          </cell>
          <cell r="D1102" t="str">
            <v>PEREIRA</v>
          </cell>
          <cell r="E1102" t="str">
            <v>LEJANA</v>
          </cell>
          <cell r="F1102" t="str">
            <v>TERRESTRE</v>
          </cell>
        </row>
        <row r="1103">
          <cell r="A1103">
            <v>76736</v>
          </cell>
          <cell r="B1103" t="str">
            <v>SEVILLA</v>
          </cell>
          <cell r="C1103" t="str">
            <v>VALLE DEL CAUCA</v>
          </cell>
          <cell r="D1103" t="str">
            <v>PEREIRA</v>
          </cell>
          <cell r="E1103" t="str">
            <v>INTERMEDIA</v>
          </cell>
          <cell r="F1103" t="str">
            <v>TERRESTRE</v>
          </cell>
        </row>
        <row r="1104">
          <cell r="A1104">
            <v>76823</v>
          </cell>
          <cell r="B1104" t="str">
            <v>TORO</v>
          </cell>
          <cell r="C1104" t="str">
            <v>VALLE DEL CAUCA</v>
          </cell>
          <cell r="D1104" t="str">
            <v>PEREIRA</v>
          </cell>
          <cell r="E1104" t="str">
            <v>INTERMEDIA</v>
          </cell>
          <cell r="F1104" t="str">
            <v>TERRESTRE</v>
          </cell>
        </row>
        <row r="1105">
          <cell r="A1105">
            <v>76828</v>
          </cell>
          <cell r="B1105" t="str">
            <v>TRUJILLO</v>
          </cell>
          <cell r="C1105" t="str">
            <v>VALLE DEL CAUCA</v>
          </cell>
          <cell r="D1105" t="str">
            <v>PEREIRA</v>
          </cell>
          <cell r="E1105" t="str">
            <v>INTERMEDIA</v>
          </cell>
          <cell r="F1105" t="str">
            <v>TERRESTRE</v>
          </cell>
        </row>
        <row r="1106">
          <cell r="A1106">
            <v>76834</v>
          </cell>
          <cell r="B1106" t="str">
            <v>TULUA</v>
          </cell>
          <cell r="C1106" t="str">
            <v>VALLE DEL CAUCA</v>
          </cell>
          <cell r="D1106" t="str">
            <v>CALI</v>
          </cell>
          <cell r="E1106" t="str">
            <v>INTERMEDIA</v>
          </cell>
          <cell r="F1106" t="str">
            <v>TERRESTRE</v>
          </cell>
        </row>
        <row r="1107">
          <cell r="A1107">
            <v>76845</v>
          </cell>
          <cell r="B1107" t="str">
            <v>ULLOA</v>
          </cell>
          <cell r="C1107" t="str">
            <v>VALLE DEL CAUCA</v>
          </cell>
          <cell r="D1107" t="str">
            <v>PEREIRA</v>
          </cell>
          <cell r="E1107" t="str">
            <v>INTERMEDIA</v>
          </cell>
          <cell r="F1107" t="str">
            <v>TERRESTRE</v>
          </cell>
        </row>
        <row r="1108">
          <cell r="A1108">
            <v>76863</v>
          </cell>
          <cell r="B1108" t="str">
            <v>VERSALLES</v>
          </cell>
          <cell r="C1108" t="str">
            <v>VALLE DEL CAUCA</v>
          </cell>
          <cell r="D1108" t="str">
            <v>PEREIRA</v>
          </cell>
          <cell r="E1108" t="str">
            <v>LEJANA</v>
          </cell>
          <cell r="F1108" t="str">
            <v>TERRESTRE</v>
          </cell>
        </row>
        <row r="1109">
          <cell r="A1109">
            <v>76869</v>
          </cell>
          <cell r="B1109" t="str">
            <v>VIJES</v>
          </cell>
          <cell r="C1109" t="str">
            <v>VALLE DEL CAUCA</v>
          </cell>
          <cell r="D1109" t="str">
            <v>CALI</v>
          </cell>
          <cell r="E1109" t="str">
            <v>INTERMEDIA</v>
          </cell>
          <cell r="F1109" t="str">
            <v>TERRESTRE</v>
          </cell>
        </row>
        <row r="1110">
          <cell r="A1110">
            <v>76890</v>
          </cell>
          <cell r="B1110" t="str">
            <v>YOTOCO</v>
          </cell>
          <cell r="C1110" t="str">
            <v>VALLE DEL CAUCA</v>
          </cell>
          <cell r="D1110" t="str">
            <v>CALI</v>
          </cell>
          <cell r="E1110" t="str">
            <v>INTERMEDIA</v>
          </cell>
          <cell r="F1110" t="str">
            <v>TERRESTRE</v>
          </cell>
        </row>
        <row r="1111">
          <cell r="A1111">
            <v>76892</v>
          </cell>
          <cell r="B1111" t="str">
            <v>YUMBO</v>
          </cell>
          <cell r="C1111" t="str">
            <v>VALLE DEL CAUCA</v>
          </cell>
          <cell r="D1111" t="str">
            <v>CALI</v>
          </cell>
          <cell r="E1111" t="str">
            <v>PRINCIPAL</v>
          </cell>
          <cell r="F1111" t="str">
            <v>TERRESTRE</v>
          </cell>
        </row>
        <row r="1112">
          <cell r="A1112">
            <v>76895</v>
          </cell>
          <cell r="B1112" t="str">
            <v>ZARZAL</v>
          </cell>
          <cell r="C1112" t="str">
            <v>VALLE DEL CAUCA</v>
          </cell>
          <cell r="D1112" t="str">
            <v>PEREIRA</v>
          </cell>
          <cell r="E1112" t="str">
            <v>LEJANA</v>
          </cell>
          <cell r="F1112" t="str">
            <v>TERRESTRE</v>
          </cell>
        </row>
        <row r="1113">
          <cell r="A1113">
            <v>97161</v>
          </cell>
          <cell r="B1113" t="str">
            <v>CARURU</v>
          </cell>
          <cell r="C1113" t="str">
            <v>VAUPES</v>
          </cell>
          <cell r="D1113" t="str">
            <v>VILLAVICENCIO</v>
          </cell>
          <cell r="E1113" t="str">
            <v>LEJANA</v>
          </cell>
          <cell r="F1113" t="str">
            <v>AEREO</v>
          </cell>
        </row>
        <row r="1114">
          <cell r="A1114">
            <v>97001</v>
          </cell>
          <cell r="B1114" t="str">
            <v>MITU</v>
          </cell>
          <cell r="C1114" t="str">
            <v>VAUPES</v>
          </cell>
          <cell r="D1114" t="str">
            <v>BOGOTA</v>
          </cell>
          <cell r="E1114" t="str">
            <v>LEJANA</v>
          </cell>
          <cell r="F1114" t="str">
            <v>AEREO</v>
          </cell>
        </row>
        <row r="1115">
          <cell r="A1115">
            <v>97511</v>
          </cell>
          <cell r="B1115" t="str">
            <v>PACOA</v>
          </cell>
          <cell r="C1115" t="str">
            <v>VAUPES</v>
          </cell>
          <cell r="D1115" t="str">
            <v>VILLAVICENCIO</v>
          </cell>
          <cell r="E1115" t="str">
            <v>LEJANA</v>
          </cell>
          <cell r="F1115" t="str">
            <v>AEREO</v>
          </cell>
        </row>
        <row r="1116">
          <cell r="A1116">
            <v>97777</v>
          </cell>
          <cell r="B1116" t="str">
            <v>PAPUNAUA</v>
          </cell>
          <cell r="C1116" t="str">
            <v>VAUPES</v>
          </cell>
          <cell r="D1116" t="str">
            <v>VILLAVICENCIO</v>
          </cell>
          <cell r="E1116" t="str">
            <v>LEJANA</v>
          </cell>
          <cell r="F1116" t="str">
            <v>AEREO</v>
          </cell>
        </row>
        <row r="1117">
          <cell r="A1117">
            <v>97666</v>
          </cell>
          <cell r="B1117" t="str">
            <v>TARAIRA</v>
          </cell>
          <cell r="C1117" t="str">
            <v>VAUPES</v>
          </cell>
          <cell r="D1117" t="str">
            <v>VILLAVICENCIO</v>
          </cell>
          <cell r="E1117" t="str">
            <v>LEJANA</v>
          </cell>
          <cell r="F1117" t="str">
            <v>AEREO</v>
          </cell>
        </row>
        <row r="1118">
          <cell r="A1118">
            <v>97889</v>
          </cell>
          <cell r="B1118" t="str">
            <v>YAVARATE</v>
          </cell>
          <cell r="C1118" t="str">
            <v>VAUPES</v>
          </cell>
          <cell r="D1118" t="str">
            <v>VILLAVICENCIO</v>
          </cell>
          <cell r="E1118" t="str">
            <v>LEJANA</v>
          </cell>
          <cell r="F1118" t="str">
            <v>AEREO</v>
          </cell>
        </row>
        <row r="1119">
          <cell r="A1119">
            <v>99773</v>
          </cell>
          <cell r="B1119" t="str">
            <v>CUMARIBO</v>
          </cell>
          <cell r="C1119" t="str">
            <v>VICHADA</v>
          </cell>
          <cell r="D1119" t="str">
            <v>VILLAVICENCIO</v>
          </cell>
          <cell r="E1119" t="str">
            <v>LEJANA</v>
          </cell>
          <cell r="F1119" t="str">
            <v>AEREO</v>
          </cell>
        </row>
        <row r="1120">
          <cell r="A1120">
            <v>99524</v>
          </cell>
          <cell r="B1120" t="str">
            <v>LA PRIMAVERA</v>
          </cell>
          <cell r="C1120" t="str">
            <v>VICHADA</v>
          </cell>
          <cell r="D1120" t="str">
            <v>VILLAVICENCIO</v>
          </cell>
          <cell r="E1120" t="str">
            <v>LEJANA</v>
          </cell>
          <cell r="F1120" t="str">
            <v>AEREO</v>
          </cell>
        </row>
        <row r="1121">
          <cell r="A1121">
            <v>99001</v>
          </cell>
          <cell r="B1121" t="str">
            <v>PUERTO CARREÑO</v>
          </cell>
          <cell r="C1121" t="str">
            <v>VICHADA</v>
          </cell>
          <cell r="D1121" t="str">
            <v>BOGOTA</v>
          </cell>
          <cell r="E1121" t="str">
            <v>LEJANA</v>
          </cell>
          <cell r="F1121" t="str">
            <v>AEREO</v>
          </cell>
        </row>
        <row r="1122">
          <cell r="A1122">
            <v>99624</v>
          </cell>
          <cell r="B1122" t="str">
            <v>SANTA ROSALIA</v>
          </cell>
          <cell r="C1122" t="str">
            <v>VICHADA</v>
          </cell>
          <cell r="D1122" t="str">
            <v>VILLAVICENCIO</v>
          </cell>
          <cell r="E1122" t="str">
            <v>LEJANA</v>
          </cell>
          <cell r="F1122" t="str">
            <v>AEREO</v>
          </cell>
        </row>
        <row r="1123">
          <cell r="A1123">
            <v>23815</v>
          </cell>
          <cell r="B1123" t="str">
            <v>TUCHIN</v>
          </cell>
          <cell r="C1123" t="str">
            <v>CORDOBA</v>
          </cell>
          <cell r="D1123" t="str">
            <v>MONTERIA</v>
          </cell>
          <cell r="E1123" t="str">
            <v>LEJANA</v>
          </cell>
          <cell r="F1123" t="str">
            <v>TERRESTRE</v>
          </cell>
        </row>
        <row r="1124">
          <cell r="A1124">
            <v>23682</v>
          </cell>
          <cell r="B1124" t="str">
            <v>SAN JOSE DE URE</v>
          </cell>
          <cell r="C1124" t="str">
            <v>CORDOBA</v>
          </cell>
          <cell r="D1124" t="str">
            <v>MONTERIA</v>
          </cell>
          <cell r="E1124" t="str">
            <v>LEJANA</v>
          </cell>
          <cell r="F1124" t="str">
            <v>TERRESTRE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i Hernández" refreshedDate="46036.626188773145" createdVersion="8" refreshedVersion="8" minRefreshableVersion="3" recordCount="785" xr:uid="{3732769B-D923-423A-A252-971DADF95940}">
  <cacheSource type="worksheet">
    <worksheetSource ref="A1:R1048576" sheet="ENTREGA DE ROLLOS EN BODEGAS"/>
  </cacheSource>
  <cacheFields count="18">
    <cacheField name="Codigo_Punto" numFmtId="0">
      <sharedItems containsString="0" containsBlank="1" containsNumber="1" containsInteger="1" minValue="10016" maxValue="81175"/>
    </cacheField>
    <cacheField name="Nombre_Punto" numFmtId="0">
      <sharedItems containsBlank="1"/>
    </cacheField>
    <cacheField name="Nit_CC_Persona" numFmtId="0">
      <sharedItems containsString="0" containsBlank="1" containsNumber="1" containsInteger="1" minValue="1034518" maxValue="2000010749"/>
    </cacheField>
    <cacheField name="TelefonoCB" numFmtId="0">
      <sharedItems containsBlank="1"/>
    </cacheField>
    <cacheField name="Celular_Contacto1" numFmtId="0">
      <sharedItems containsBlank="1"/>
    </cacheField>
    <cacheField name="Celular_dueno" numFmtId="0">
      <sharedItems containsBlank="1"/>
    </cacheField>
    <cacheField name="Dirección_Establecimiento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Departamento" numFmtId="0">
      <sharedItems containsBlank="1"/>
    </cacheField>
    <cacheField name="Municipio" numFmtId="0">
      <sharedItems containsBlank="1"/>
    </cacheField>
    <cacheField name="Corregimiento" numFmtId="0">
      <sharedItems containsBlank="1"/>
    </cacheField>
    <cacheField name="Codigo_Dane" numFmtId="0">
      <sharedItems containsString="0" containsBlank="1" containsNumber="1" containsInteger="1" minValue="5001" maxValue="86749"/>
    </cacheField>
    <cacheField name="Fecha_Migracion" numFmtId="0">
      <sharedItems containsBlank="1"/>
    </cacheField>
    <cacheField name="Cantidad de Rollos por CB" numFmtId="0">
      <sharedItems containsBlank="1" containsMixedTypes="1" containsNumber="1" containsInteger="1" minValue="8" maxValue="16"/>
    </cacheField>
    <cacheField name="Bodega" numFmtId="0">
      <sharedItems containsBlank="1"/>
    </cacheField>
    <cacheField name="Centro_de_Costos" numFmtId="0">
      <sharedItems containsBlank="1" count="8">
        <s v="WOMPI NOROCCIDENTE"/>
        <s v="WOMPI COSTA"/>
        <s v="WOMPI SANTANDERES"/>
        <s v="WOMPI ORIENTE"/>
        <s v="WOMPI CENTRO"/>
        <s v="WOMPI SUROCCIDENTE"/>
        <s v="WOMPI EJE CAFETERO"/>
        <m/>
      </sharedItems>
    </cacheField>
    <cacheField name="ENTREGA DE ROLLOS EN BODEGAS" numFmtId="0">
      <sharedItems containsString="0" containsBlank="1" containsNumber="1" minValue="15709.5" maxValue="17063658.899999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">
  <r>
    <n v="15190"/>
    <s v="BARRIO CALATRAVA ITAGUI"/>
    <n v="70786438"/>
    <s v="3762974"/>
    <s v="3147834317"/>
    <s v="3209825116"/>
    <s v=" CR 59A  57-04 CALATRAVA"/>
    <s v="6.1796942"/>
    <s v="-75.6092411"/>
    <s v="ANTIOQUIA"/>
    <s v="ITAGÜÍ"/>
    <s v="ITAGÜÍ"/>
    <n v="5360"/>
    <s v="2025-12-04"/>
    <n v="16"/>
    <s v="MEDELLIN"/>
    <x v="0"/>
    <n v="15709.5"/>
  </r>
  <r>
    <n v="78376"/>
    <s v="BARRIO PLAZA MAYORISTA ITAGUI  1"/>
    <n v="8353513"/>
    <s v="3116351859"/>
    <s v="3117912430"/>
    <s v="3192876016"/>
    <s v="CL 85 48 1 BL 8 LC 16,CENTRAL MAYORISTA DE ANTIOQUIA"/>
    <s v="6.1891746"/>
    <s v="-75.5914119"/>
    <s v="ANTIOQUIA"/>
    <s v="ITAGÜÍ"/>
    <s v="ITAGÜÍ"/>
    <n v="5360"/>
    <s v="2025-12-01"/>
    <n v="8"/>
    <s v="MEDELLIN"/>
    <x v="0"/>
    <n v="15709.5"/>
  </r>
  <r>
    <n v="77534"/>
    <s v="BARRIO SAN JOSE ITAGUI  2"/>
    <n v="901583748"/>
    <s v="0"/>
    <s v="3136046087"/>
    <s v="3104251385"/>
    <s v="CL 36 A 38 30,SAN JOSE"/>
    <s v="6.1660099"/>
    <s v="-75.6135985"/>
    <s v="ANTIOQUIA"/>
    <s v="ITAGÜÍ"/>
    <s v="ITAGÜÍ"/>
    <n v="5360"/>
    <s v="2025-12-01"/>
    <n v="8"/>
    <s v="MEDELLIN"/>
    <x v="0"/>
    <n v="15709.5"/>
  </r>
  <r>
    <n v="77399"/>
    <s v="BARRIO ITAGUI ITAGUI 28"/>
    <n v="28056870"/>
    <s v="3117713940"/>
    <s v="3117713940"/>
    <s v="3208484493"/>
    <s v="CR 50 85 153 LC 1,ITAGUI"/>
    <s v="6.191957"/>
    <s v=" -75.590091"/>
    <s v="ANTIOQUIA"/>
    <s v="ITAGÜÍ"/>
    <s v="ITAGÜÍ"/>
    <n v="5360"/>
    <s v="2025-12-01"/>
    <n v="8"/>
    <s v="MEDELLIN"/>
    <x v="0"/>
    <n v="15709.5"/>
  </r>
  <r>
    <n v="73721"/>
    <s v="BARRIO ITAGUI SANTA MARIA ITAGUI 1"/>
    <n v="1129508911"/>
    <s v="3192107219"/>
    <s v="3192107219"/>
    <s v="3192107219"/>
    <s v="CALLE 31 50 C 37,ITAGÜÍ SANTAMARÍA"/>
    <s v="6.1636230"/>
    <s v="-75.6242027"/>
    <s v="ANTIOQUIA"/>
    <s v="ITAGÜÍ"/>
    <s v="ITAGÜÍ"/>
    <n v="5360"/>
    <s v="2025-12-01"/>
    <n v="8"/>
    <s v="MEDELLIN"/>
    <x v="0"/>
    <n v="15709.5"/>
  </r>
  <r>
    <n v="72556"/>
    <s v="SAMARIA ITAGUI ANTIOQUIA"/>
    <n v="901340974"/>
    <s v="2776243"/>
    <s v="3136143749"/>
    <s v="3136143749"/>
    <s v="CALLE 34 A 54 A 64,SAMARIA"/>
    <s v="6.1679867"/>
    <s v="-75.6245184"/>
    <s v="ANTIOQUIA"/>
    <s v="ITAGÜÍ"/>
    <s v="ITAGÜÍ"/>
    <n v="5360"/>
    <s v="2025-12-03"/>
    <n v="8"/>
    <s v="MEDELLIN"/>
    <x v="0"/>
    <n v="15709.5"/>
  </r>
  <r>
    <n v="44132"/>
    <s v="BARRIO ITAGUI ITAGUI 4"/>
    <n v="800046457"/>
    <s v="4445499"/>
    <s v="3108442514"/>
    <s v="3103741199"/>
    <s v="CL 72  42 - 33 LC 101 CE Capri Centro BRR La Esmeralda"/>
    <s v="6.1790439"/>
    <s v="-75.5930340"/>
    <s v="ANTIOQUIA"/>
    <s v="ITAGÜÍ"/>
    <s v="ITAGÜÍ"/>
    <n v="5360"/>
    <s v="2025-12-01"/>
    <n v="8"/>
    <s v="MEDELLIN"/>
    <x v="0"/>
    <n v="15709.5"/>
  </r>
  <r>
    <n v="46735"/>
    <s v="BARRIO ITAGUI ITAGUI 8"/>
    <n v="900872708"/>
    <s v="3720051"/>
    <s v="3002919589"/>
    <s v="3002919589"/>
    <s v="CL 49 48 52,ITAGUI"/>
    <s v="6.1704157"/>
    <s v="-75.6100435"/>
    <s v="ANTIOQUIA"/>
    <s v="ITAGÜÍ"/>
    <s v="ITAGÜÍ"/>
    <n v="5360"/>
    <s v="2025-12-03"/>
    <n v="8"/>
    <s v="MEDELLIN"/>
    <x v="0"/>
    <n v="15709.5"/>
  </r>
  <r>
    <n v="44593"/>
    <s v="BARRIO SANTA MARIA MEDELLIN"/>
    <n v="901340974"/>
    <s v="2776243"/>
    <s v="3195730489"/>
    <s v="3195730489"/>
    <s v="CR 52 D 68 16,SANTA MARÍA"/>
    <s v="6.1828006"/>
    <s v="-75.6000425"/>
    <s v="ANTIOQUIA"/>
    <s v="ITAGÜÍ"/>
    <s v="ITAGÜÍ"/>
    <n v="5360"/>
    <s v="2025-12-04"/>
    <n v="16"/>
    <s v="MEDELLIN"/>
    <x v="0"/>
    <n v="15709.5"/>
  </r>
  <r>
    <n v="33798"/>
    <s v="BARRIO SAMARIA ITAGUI 2"/>
    <n v="900014642"/>
    <s v="3227815"/>
    <s v="3218122144"/>
    <s v="3217806471"/>
    <s v=" CL 75 A A SUR 52 G 36"/>
    <s v="6.1633840"/>
    <s v="-75.6351319"/>
    <s v="ANTIOQUIA"/>
    <s v="ITAGÜÍ"/>
    <s v="ITAGÜÍ"/>
    <n v="5360"/>
    <s v="2025-12-03"/>
    <n v="8"/>
    <s v="MEDELLIN"/>
    <x v="0"/>
    <n v="15709.5"/>
  </r>
  <r>
    <n v="37129"/>
    <s v="BARRIO ASTURIAS ITAGUI"/>
    <n v="10183532"/>
    <s v="6125923"/>
    <s v="3116266883"/>
    <s v="3116266883"/>
    <s v=" CL 47 48 13 ASTURIAS"/>
    <s v="6.16951777"/>
    <s v="-75.6110402"/>
    <s v="ANTIOQUIA"/>
    <s v="ITAGÜÍ"/>
    <s v="ITAGÜÍ"/>
    <n v="5360"/>
    <s v="2025-12-01"/>
    <n v="16"/>
    <s v="MEDELLIN"/>
    <x v="0"/>
    <n v="15709.5"/>
  </r>
  <r>
    <n v="34176"/>
    <s v="BARRIO PARQUE ITAGUI 5"/>
    <n v="1037586135"/>
    <s v="2819792"/>
    <s v="3015133808"/>
    <s v="3015133808"/>
    <s v=" CR 50 50 66 LC 124"/>
    <s v="6.1719033"/>
    <s v="-75.6090500"/>
    <s v="ANTIOQUIA"/>
    <s v="ITAGÜÍ"/>
    <s v="ITAGÜÍ"/>
    <n v="5360"/>
    <s v="2025-12-03"/>
    <n v="16"/>
    <s v="MEDELLIN"/>
    <x v="0"/>
    <n v="15709.5"/>
  </r>
  <r>
    <n v="35409"/>
    <s v="BARRIO CENTRO ITAGUI 2"/>
    <n v="1036600007"/>
    <s v="4483995"/>
    <s v="3117973595"/>
    <s v="3117973595"/>
    <s v=" CL 50 48 07"/>
    <s v="6.17042333"/>
    <s v="-75.60902"/>
    <s v="ANTIOQUIA"/>
    <s v="ITAGÜÍ"/>
    <s v="ITAGÜÍ"/>
    <n v="5360"/>
    <s v="2025-12-01"/>
    <n v="8"/>
    <s v="MEDELLIN"/>
    <x v="0"/>
    <n v="15709.5"/>
  </r>
  <r>
    <n v="24500"/>
    <s v="BARRIO CALATRAVA V - ITAGÜÍ"/>
    <n v="70786438"/>
    <s v="3726203"/>
    <s v="3223682116"/>
    <s v="3106783282"/>
    <s v=" CL 63  58DD-65"/>
    <s v="6.1813630"/>
    <s v="-75.6081392"/>
    <s v="ANTIOQUIA"/>
    <s v="ITAGÜÍ"/>
    <s v="ITAGÜÍ"/>
    <n v="5360"/>
    <s v="2025-12-04"/>
    <n v="16"/>
    <s v="MEDELLIN"/>
    <x v="0"/>
    <n v="15709.5"/>
  </r>
  <r>
    <n v="27731"/>
    <s v="BARRIO PARQUE ITAGUI 2 - ITAGÜÍ"/>
    <n v="900014642"/>
    <s v="2772553"/>
    <s v="3136866742"/>
    <s v="3136866742"/>
    <s v=" CL 50 50 35 OF 205"/>
    <s v="6.17209933"/>
    <s v="-75.60987801"/>
    <s v="ANTIOQUIA"/>
    <s v="ITAGÜÍ"/>
    <s v="ITAGÜÍ"/>
    <n v="5360"/>
    <s v="2025-12-01"/>
    <n v="8"/>
    <s v="MEDELLIN"/>
    <x v="0"/>
    <n v="15709.5"/>
  </r>
  <r>
    <n v="26969"/>
    <s v="BARRIO SIMON BOLIVAR  3 ITAGUI"/>
    <n v="43161222"/>
    <s v="5962262"/>
    <s v="3002069065"/>
    <s v="3002069065"/>
    <s v=" CR 45 A  63 32 ITAGUI ITAGUI ANTIOQUIA"/>
    <s v="6.1773678"/>
    <s v="-75.5982140"/>
    <s v="ANTIOQUIA"/>
    <s v="ITAGÜÍ"/>
    <s v="ITAGÜÍ"/>
    <n v="5360"/>
    <s v="2025-12-04"/>
    <n v="8"/>
    <s v="MEDELLIN"/>
    <x v="0"/>
    <n v="15709.5"/>
  </r>
  <r>
    <n v="18551"/>
    <s v="BARRIO SIMON BOLIVAR II ITAGUI"/>
    <n v="71992351"/>
    <s v="5992099"/>
    <s v="3116075486"/>
    <s v="3116075486"/>
    <s v=" CR 45 A 65 27 SIMON BOLIVAR"/>
    <s v="6.1784909"/>
    <s v="-75.5972578"/>
    <s v="ANTIOQUIA"/>
    <s v="ITAGÜÍ"/>
    <s v="ITAGÜÍ"/>
    <n v="5360"/>
    <s v="2025-12-04"/>
    <n v="16"/>
    <s v="MEDELLIN"/>
    <x v="0"/>
    <n v="15709.5"/>
  </r>
  <r>
    <n v="78777"/>
    <s v="BARRIO SAN PEDRO BARRANQUILLA"/>
    <n v="1046398325"/>
    <s v="3168688837"/>
    <s v="3168688837"/>
    <m/>
    <s v="CR 6 LC1 # 102 -04"/>
    <s v="10.9489988"/>
    <s v="-74.8329493"/>
    <s v="ATLÁNTICO"/>
    <s v="BARRANQUILLA"/>
    <s v="BARRANQUILLA"/>
    <n v="8001"/>
    <s v="2025-12-05"/>
    <n v="8"/>
    <s v="BARRANQUILLA"/>
    <x v="1"/>
    <n v="15709.5"/>
  </r>
  <r>
    <n v="77516"/>
    <s v="BARRIO GALAN BARRANQUILLA  6"/>
    <n v="1140896804"/>
    <s v="3022835339"/>
    <s v="3015567707"/>
    <s v="3022835339"/>
    <s v="CR 2 39 - 50 P1,GALAN"/>
    <s v="10.93495"/>
    <s v="-74.79484"/>
    <s v="ATLÁNTICO"/>
    <s v="BARRANQUILLA"/>
    <s v="BARRANQUILLA"/>
    <n v="8001"/>
    <s v="2025-12-03"/>
    <n v="16"/>
    <s v="BARRANQUILLA"/>
    <x v="1"/>
    <n v="15709.5"/>
  </r>
  <r>
    <n v="78064"/>
    <s v="BARRIO MERCEDES SUR BARRANQUILLA"/>
    <n v="8520914"/>
    <s v="3027089849"/>
    <s v="3027089849"/>
    <s v="3205770977"/>
    <s v="CR 35 C 76 - 101,MERCEDES SUR"/>
    <s v="10.98476"/>
    <s v="-74.81783"/>
    <s v="ATLÁNTICO"/>
    <s v="BARRANQUILLA"/>
    <s v="BARRANQUILLA"/>
    <n v="8001"/>
    <s v="2025-12-04"/>
    <n v="8"/>
    <s v="BARRANQUILLA"/>
    <x v="1"/>
    <n v="15709.5"/>
  </r>
  <r>
    <n v="77514"/>
    <s v="BARRIO CENTRO BARRANQUILLA  52"/>
    <n v="901526326"/>
    <s v="3002141697"/>
    <s v="3023702967"/>
    <s v="3002141697"/>
    <s v="CL 40 41 - 83,CENTRO"/>
    <s v="10.98167"/>
    <s v="-74.78207"/>
    <s v="ATLÁNTICO"/>
    <s v="BARRANQUILLA"/>
    <s v="BARRANQUILLA"/>
    <n v="8001"/>
    <s v="2025-12-04"/>
    <n v="16"/>
    <s v="BARRANQUILLA"/>
    <x v="1"/>
    <n v="15709.5"/>
  </r>
  <r>
    <n v="77194"/>
    <s v="BARRIO VILLANUEVA BARRANQUILLA 1"/>
    <n v="73550509"/>
    <s v="3157119627"/>
    <s v="3506423188"/>
    <s v="3126652819"/>
    <s v="CR 43 08 - 48,VILLANUEVA"/>
    <s v="10.98165"/>
    <s v="-74.77303"/>
    <s v="ATLÁNTICO"/>
    <s v="BARRANQUILLA"/>
    <s v="BARRANQUILLA"/>
    <n v="8001"/>
    <s v="2025-12-05"/>
    <n v="8"/>
    <s v="BARRANQUILLA"/>
    <x v="1"/>
    <n v="15709.5"/>
  </r>
  <r>
    <n v="77215"/>
    <s v="BARRIO NUEVA GRANADA BARRANQUILLA 1"/>
    <n v="8709578"/>
    <s v="3237879555"/>
    <s v="3237879555"/>
    <s v="3237879555"/>
    <s v="CL 68 32 - 7,NUEVA GRANADA"/>
    <s v="10.98102"/>
    <s v="-74.80477"/>
    <s v="ATLÁNTICO"/>
    <s v="BARRANQUILLA"/>
    <s v="BARRANQUILLA"/>
    <n v="8001"/>
    <s v="2025-12-04"/>
    <n v="16"/>
    <s v="BARRANQUILLA"/>
    <x v="1"/>
    <n v="15709.5"/>
  </r>
  <r>
    <n v="77298"/>
    <s v="BARRIO EVARISTO SOURDIS BARRANQUILLA"/>
    <n v="1143259355"/>
    <s v="3018014395"/>
    <s v="3018014395"/>
    <s v="3003610821"/>
    <s v="CR 9 G 70 C - 55,EVARISTO SOURDIS"/>
    <s v="10.95937"/>
    <s v="-74.82014"/>
    <s v="ATLÁNTICO"/>
    <s v="BARRANQUILLA"/>
    <s v="BARRANQUILLA"/>
    <n v="8001"/>
    <s v="2025-12-03"/>
    <n v="8"/>
    <s v="BARRANQUILLA"/>
    <x v="1"/>
    <n v="15709.5"/>
  </r>
  <r>
    <n v="76876"/>
    <s v="BARRIO 7 DE ABRIL BARRANQUILLA 3"/>
    <n v="1042472912"/>
    <s v="3245993871"/>
    <s v="3002690327"/>
    <s v="3245993871"/>
    <s v="CL 51 B 7 SUR - 44,7 DE ABRIL"/>
    <s v="10.92771"/>
    <s v="-74.81407"/>
    <s v="ATLÁNTICO"/>
    <s v="BARRANQUILLA"/>
    <s v="BARRANQUILLA"/>
    <n v="8001"/>
    <s v="2025-12-04"/>
    <n v="8"/>
    <s v="BARRANQUILLA"/>
    <x v="1"/>
    <n v="15709.5"/>
  </r>
  <r>
    <n v="74251"/>
    <s v="BARRIO ALTOS DEL PRADO BARRANQUILLA"/>
    <n v="901449900"/>
    <s v="3017292085"/>
    <s v="3245482276"/>
    <s v="3017292085"/>
    <s v="CR 53 75-87,ALTOS DEL PRADO"/>
    <s v="11.0017917"/>
    <s v="-74.8053730"/>
    <s v="ATLÁNTICO"/>
    <s v="BARRANQUILLA"/>
    <s v="BARRANQUILLA"/>
    <n v="8001"/>
    <s v="2025-12-04"/>
    <n v="8"/>
    <s v="BARRANQUILLA"/>
    <x v="1"/>
    <n v="15709.5"/>
  </r>
  <r>
    <n v="75412"/>
    <s v="BARRIO LAS MALVINAS BARRANQUILLA 3"/>
    <n v="72263142"/>
    <s v="3104266711"/>
    <s v="3004153169"/>
    <s v="3104266711"/>
    <s v="CL 99 C 9 E - 43,LAS MALVINAS"/>
    <s v="10.95687"/>
    <s v="-74.83266"/>
    <s v="ATLÁNTICO"/>
    <s v="BARRANQUILLA"/>
    <s v="BARRANQUILLA"/>
    <n v="8001"/>
    <s v="2025-12-03"/>
    <n v="8"/>
    <s v="BARRANQUILLA"/>
    <x v="1"/>
    <n v="15709.5"/>
  </r>
  <r>
    <n v="73101"/>
    <s v="BARRIO LAS NIEVES BARRANQUILLA 5"/>
    <n v="1129518575"/>
    <s v="3008865988"/>
    <s v="3004205276"/>
    <s v="3004205276"/>
    <s v="CL 26 21-27,LAS NIEVES"/>
    <s v="10.95885"/>
    <s v="-74.78160"/>
    <s v="ATLÁNTICO"/>
    <s v="BARRANQUILLA"/>
    <s v="BARRANQUILLA"/>
    <n v="8001"/>
    <s v="2025-12-02"/>
    <n v="16"/>
    <s v="BARRANQUILLA"/>
    <x v="1"/>
    <n v="15709.5"/>
  </r>
  <r>
    <n v="74121"/>
    <s v="BARRIO CIUDADELA 20 DE JULIO  BARRANQUILLA"/>
    <n v="1001945227"/>
    <s v="3013911818"/>
    <s v="3008093515"/>
    <s v="3008093515"/>
    <s v="CL 45 D 01 F - 21,CIUDADELA 20 DE JULIO"/>
    <s v="10.93235"/>
    <s v="-74.80072"/>
    <s v="ATLÁNTICO"/>
    <s v="BARRANQUILLA"/>
    <s v="BARRANQUILLA"/>
    <n v="8001"/>
    <s v="2025-12-02"/>
    <n v="8"/>
    <s v="BARRANQUILLA"/>
    <x v="1"/>
    <n v="15709.5"/>
  </r>
  <r>
    <n v="74522"/>
    <s v="BARRIO LAS NIEVES BARRANQUILLA  6"/>
    <n v="901678042"/>
    <s v="3106669192"/>
    <s v="3106669192"/>
    <s v="3106700410"/>
    <s v="CR 11 23-107,LAS NIEVES"/>
    <s v="10.95023"/>
    <s v="-74.77793"/>
    <s v="ATLÁNTICO"/>
    <s v="BARRANQUILLA"/>
    <s v="BARRANQUILLA"/>
    <n v="8001"/>
    <s v="2025-12-02"/>
    <n v="8"/>
    <s v="BARRANQUILLA"/>
    <x v="1"/>
    <n v="15709.5"/>
  </r>
  <r>
    <n v="69017"/>
    <s v="BARRIO VILLANUEVA BARRANQUILLA"/>
    <n v="900774104"/>
    <s v="3217799635"/>
    <s v="0"/>
    <s v="3103795178"/>
    <s v="CL 6 43 27,VILLANUEVA"/>
    <s v="10.9822823"/>
    <s v="-74.7701382"/>
    <s v="ATLÁNTICO"/>
    <s v="BARRANQUILLA"/>
    <s v="BARRANQUILLA"/>
    <n v="8001"/>
    <s v="2025-12-05"/>
    <n v="8"/>
    <s v="BARRANQUILLA"/>
    <x v="1"/>
    <n v="15709.5"/>
  </r>
  <r>
    <n v="69991"/>
    <s v="BARRIO GALAN BARRANQUILLA 3"/>
    <n v="901192464"/>
    <s v="3167482678"/>
    <s v="3167482678"/>
    <s v="3167482678"/>
    <s v="CR 4 35 B 67,GALAN"/>
    <s v="10.93878"/>
    <s v="-74.79106"/>
    <s v="ATLÁNTICO"/>
    <s v="BARRANQUILLA"/>
    <s v="BARRANQUILLA"/>
    <n v="8001"/>
    <s v="2025-12-03"/>
    <n v="16"/>
    <s v="BARRANQUILLA"/>
    <x v="1"/>
    <n v="15709.5"/>
  </r>
  <r>
    <n v="69804"/>
    <s v="BARRIO LA LUZ BARRANQUILLA  4"/>
    <n v="800010116"/>
    <s v="3182432796"/>
    <s v="0"/>
    <s v="3157222360"/>
    <s v="CL 17 18 96,LA LUZ"/>
    <s v="10.95725"/>
    <s v="-74.77412"/>
    <s v="ATLÁNTICO"/>
    <s v="BARRANQUILLA"/>
    <s v="BARRANQUILLA"/>
    <n v="8001"/>
    <s v="2025-12-02"/>
    <n v="8"/>
    <s v="BARRANQUILLA"/>
    <x v="1"/>
    <n v="15709.5"/>
  </r>
  <r>
    <n v="69230"/>
    <s v="BARRIO LA UNION BARRANQUILLA 2"/>
    <n v="1045674976"/>
    <s v="3136607428"/>
    <s v="0"/>
    <s v="3136607428"/>
    <s v="CL 12 12 68,SECTOR EL HOSPITAL"/>
    <s v="5.9741124"/>
    <s v="-75.3642466"/>
    <s v="ANTIOQUIA"/>
    <s v="LA UNIÓN"/>
    <s v="LA UNIÓN"/>
    <n v="5400"/>
    <s v="2025-11-07"/>
    <n v="8"/>
    <s v="MEDELLIN"/>
    <x v="0"/>
    <n v="15709.5"/>
  </r>
  <r>
    <n v="66702"/>
    <s v="BARRIO CENTRO BARRANQUILLA 44"/>
    <n v="1042440613"/>
    <s v="3163088919"/>
    <s v="3163088919"/>
    <m/>
    <s v="VRD QUIRBAQUIRA, SECTOR CASA BLANCA,VEREDA QUIRBAQUIRA"/>
    <s v="5.6912697"/>
    <s v="-73.3675628"/>
    <s v="BOYACÁ"/>
    <s v="ARCABUCO"/>
    <s v="ARCABUCO"/>
    <n v="15051"/>
    <s v="2025-11-05"/>
    <n v="16"/>
    <s v="TUNJA"/>
    <x v="2"/>
    <n v="28277.100000000002"/>
  </r>
  <r>
    <n v="64402"/>
    <s v="BARRIO GALAN BARRANQUILLA 2"/>
    <n v="901192464"/>
    <s v="3165362959"/>
    <s v="3165362959"/>
    <s v="3165362959"/>
    <s v="Carrera 5 # 3 - 31 Centro"/>
    <s v="5.454"/>
    <s v="-73.362"/>
    <s v="BOYACÁ"/>
    <s v="BOYACÁ"/>
    <s v="BOYACÁ"/>
    <n v="15104"/>
    <s v="2025-11-13"/>
    <n v="16"/>
    <s v="TUNJA"/>
    <x v="2"/>
    <n v="28277.100000000002"/>
  </r>
  <r>
    <n v="63348"/>
    <s v="BARRIO ZONA FRANCA BARRANQUILLA 1"/>
    <n v="33172327"/>
    <s v="3144233419"/>
    <s v="3144233419"/>
    <s v="3144233419"/>
    <s v="CR 4 A 3 85,CENTRO"/>
    <s v="5.4538173"/>
    <s v="-73.3630605"/>
    <s v="BOYACÁ"/>
    <s v="BOYACÁ"/>
    <s v="BOYACÁ"/>
    <n v="15104"/>
    <s v="2025-11-13"/>
    <n v="8"/>
    <s v="TUNJA"/>
    <x v="2"/>
    <n v="28277.100000000002"/>
  </r>
  <r>
    <n v="59489"/>
    <s v="BARRIO VILLA SAN PEDRO BARRANQUILLA 1"/>
    <n v="8708961"/>
    <s v="3225201619"/>
    <s v="3225201619"/>
    <s v="3225201619"/>
    <s v="CR 9 A 3 9,BOYACA BAJO"/>
    <s v="5.61052869"/>
    <s v="-73.82480853"/>
    <s v="BOYACÁ"/>
    <s v="CHIQUINQUIRÁ"/>
    <s v="CHIQUINQUIRÁ"/>
    <n v="15176"/>
    <s v="2025-11-14"/>
    <n v="8"/>
    <s v="TUNJA"/>
    <x v="2"/>
    <n v="28277.100000000002"/>
  </r>
  <r>
    <n v="54423"/>
    <s v="BARRIO CIUDADELA 20 DE JULIO BARRANQUILLA 10"/>
    <n v="1042440613"/>
    <s v="0"/>
    <s v="3103830426"/>
    <s v="3103830426"/>
    <s v="CL 42 A NR0. 8 -6 BRR LLERAS"/>
    <s v="6.4860518"/>
    <s v="-74.4055606"/>
    <s v="ANTIOQUIA"/>
    <s v="PUERTO BERRÍO"/>
    <s v="PUERTO BERRÍO"/>
    <n v="5579"/>
    <s v="2025-11-06"/>
    <n v="8"/>
    <s v="MEDELLIN"/>
    <x v="0"/>
    <n v="15709.5"/>
  </r>
  <r>
    <n v="80520"/>
    <s v="BARRIO LA QUINTA CARTAGENA DE INDIAS"/>
    <n v="901820974"/>
    <s v="8330068"/>
    <s v="3016209379"/>
    <s v="3016209379"/>
    <s v="VRD LA MARGARITA,LA MARGARITA"/>
    <s v="6.495189"/>
    <s v="-74.474370"/>
    <s v="ANTIOQUIA"/>
    <s v="PUERTO BERRÍO"/>
    <s v="PUERTO BERRÍO"/>
    <n v="5579"/>
    <s v="2025-11-06"/>
    <n v="8"/>
    <s v="MEDELLIN"/>
    <x v="0"/>
    <n v="15709.5"/>
  </r>
  <r>
    <n v="78900"/>
    <s v="BARRIO MANGA CARTAGENA INDIAS"/>
    <n v="1007207649"/>
    <s v="0"/>
    <s v="3137979779"/>
    <s v="3137979779"/>
    <s v="CR 3 57 97"/>
    <s v="6.4928787"/>
    <s v="-74.399246"/>
    <s v="ANTIOQUIA"/>
    <s v="PUERTO BERRÍO"/>
    <s v="PUERTO BERRÍO"/>
    <n v="5579"/>
    <s v="2025-11-07"/>
    <n v="8"/>
    <s v="MEDELLIN"/>
    <x v="0"/>
    <n v="15709.5"/>
  </r>
  <r>
    <n v="10182"/>
    <s v="NOBSA - BOYACA"/>
    <n v="7218435"/>
    <s v="3136557113"/>
    <s v="3136557113"/>
    <s v="3136557113"/>
    <s v="CALLE 50 7 20 BRR CENTRO,CENTRO"/>
    <s v="6.4896454"/>
    <s v="-74.4034766"/>
    <s v="ANTIOQUIA"/>
    <s v="PUERTO BERRÍO"/>
    <s v="PUERTO BERRÍO"/>
    <n v="5579"/>
    <s v="2025-11-07"/>
    <e v="#N/A"/>
    <s v="MEDELLIN"/>
    <x v="0"/>
    <n v="15709.5"/>
  </r>
  <r>
    <n v="39438"/>
    <s v="BARRIO JERONIMO HOLGUIN NOBSA"/>
    <n v="7218435"/>
    <s v="0"/>
    <s v="3229306882"/>
    <s v="3229306882"/>
    <s v="VRA MINAS DEL VAPOR - VDA MINAS DEL VAPOR ,VRA MINAS DEL VAPOR"/>
    <s v="6.4564882"/>
    <s v="-74.6306562"/>
    <s v="ANTIOQUIA"/>
    <s v="PUERTO BERRÍO"/>
    <s v="PUERTO BERRÍO"/>
    <n v="5579"/>
    <s v="2025-11-10"/>
    <e v="#N/A"/>
    <s v="MEDELLIN"/>
    <x v="0"/>
    <n v="15709.5"/>
  </r>
  <r>
    <n v="71811"/>
    <s v="BARRIO CENTRO NOBSA"/>
    <n v="46383377"/>
    <s v="8821750"/>
    <s v="3103292709"/>
    <s v="3103292709"/>
    <s v=" CL 54  7-13 LA GRANJA"/>
    <s v="5.56117952"/>
    <s v="-73.34892293"/>
    <s v="BOYACÁ"/>
    <s v="TUNJA"/>
    <s v="TUNJA"/>
    <n v="15001"/>
    <s v="2025-11-20"/>
    <e v="#N/A"/>
    <s v="TUNJA"/>
    <x v="2"/>
    <n v="28277.100000000002"/>
  </r>
  <r>
    <n v="51286"/>
    <s v="BARRIO BUENOS AIRES BARRANQUILLA 1"/>
    <n v="1143135432"/>
    <s v="3108181835"/>
    <s v="3143145414"/>
    <s v="3143145414"/>
    <s v="CR 8 B 58 05,SANTA RITA"/>
    <s v="5.5653133"/>
    <s v="-73.3478377"/>
    <s v="BOYACÁ"/>
    <s v="TUNJA"/>
    <s v="TUNJA"/>
    <n v="15001"/>
    <s v="2025-11-05"/>
    <n v="8"/>
    <s v="TUNJA"/>
    <x v="2"/>
    <n v="28277.100000000002"/>
  </r>
  <r>
    <n v="50827"/>
    <s v="BARRIO EL ROMANCE BARRANQUILLA"/>
    <n v="32836762"/>
    <s v="3228080370"/>
    <s v="3228080370"/>
    <s v="3228080370"/>
    <s v="CR 9 20 09,CENTRO"/>
    <s v="5.53291885"/>
    <s v="-73.36089901"/>
    <s v="BOYACÁ"/>
    <s v="TUNJA"/>
    <s v="TUNJA"/>
    <n v="15001"/>
    <s v="2025-11-20"/>
    <n v="16"/>
    <s v="TUNJA"/>
    <x v="2"/>
    <n v="28277.100000000002"/>
  </r>
  <r>
    <n v="51688"/>
    <s v="BARRIO BETANIA BARRANQUILLA 1"/>
    <n v="32869593"/>
    <s v="3102533408"/>
    <s v="3102533400"/>
    <s v="3102533400"/>
    <s v="CL 34 B 16 B 16,LA FUENTE"/>
    <s v="5.54800902"/>
    <s v="-73.36447181"/>
    <s v="BOYACÁ"/>
    <s v="TUNJA"/>
    <s v="TUNJA"/>
    <n v="15001"/>
    <s v="2025-11-20"/>
    <n v="8"/>
    <s v="TUNJA"/>
    <x v="2"/>
    <n v="28277.100000000002"/>
  </r>
  <r>
    <n v="50447"/>
    <s v="BARRIO LA MGADALENA BARRANQUILLA"/>
    <n v="900537068"/>
    <s v="6043170362"/>
    <s v="3174070761"/>
    <s v="3174070761"/>
    <s v="CL 46 45 20,ITAGÜÍ"/>
    <s v="6.1676270"/>
    <s v="-75.6112657"/>
    <s v="ANTIOQUIA"/>
    <s v="ITAGÜÍ"/>
    <s v="ITAGÜÍ"/>
    <n v="5360"/>
    <s v="2025-11-20"/>
    <n v="8"/>
    <s v="MEDELLIN"/>
    <x v="0"/>
    <n v="15709.5"/>
  </r>
  <r>
    <n v="46935"/>
    <s v="BARRIO CIUDADELA 20 DE JULIO BARRANQUILLA 8"/>
    <n v="72238454"/>
    <s v="3714091"/>
    <s v="3147053945"/>
    <s v="3147053945"/>
    <s v=" CL 50 41 95"/>
    <s v="6.16614944444"/>
    <s v="-75.60705277"/>
    <s v="ANTIOQUIA"/>
    <s v="ITAGÜÍ"/>
    <s v="ITAGÜÍ"/>
    <n v="5360"/>
    <s v="2025-11-05"/>
    <n v="8"/>
    <s v="MEDELLIN"/>
    <x v="0"/>
    <n v="15709.5"/>
  </r>
  <r>
    <n v="43972"/>
    <s v="BARRIO DELICIAS BARRANQUILLA 2"/>
    <n v="900723573"/>
    <s v="3734111"/>
    <s v="3116219865"/>
    <s v="3116219865"/>
    <s v=" CL 36 69 D 66"/>
    <s v="6.1745154"/>
    <s v="-75.6341963"/>
    <s v="ANTIOQUIA"/>
    <s v="ITAGÜÍ"/>
    <s v="ITAGÜÍ"/>
    <n v="5360"/>
    <s v="2025-11-20"/>
    <n v="8"/>
    <s v="MEDELLIN"/>
    <x v="0"/>
    <n v="15709.5"/>
  </r>
  <r>
    <n v="37719"/>
    <s v="BARRIO CENTRO BARRANQUILLA 6"/>
    <n v="72200736"/>
    <s v="2815772"/>
    <s v="3004564538"/>
    <s v="3229709071"/>
    <s v="CL 76 45 A 23"/>
    <s v="6.1831241"/>
    <s v="-75.5921676"/>
    <s v="ANTIOQUIA"/>
    <s v="ITAGÜÍ"/>
    <s v="ITAGÜÍ"/>
    <n v="5360"/>
    <s v="2025-11-20"/>
    <n v="8"/>
    <s v="MEDELLIN"/>
    <x v="0"/>
    <n v="15709.5"/>
  </r>
  <r>
    <n v="76444"/>
    <s v="BARRIO LAS GAVIOSTAS CARTAGENA DE INDIAS"/>
    <n v="23133427"/>
    <m/>
    <s v="3115984971"/>
    <s v="3115984971"/>
    <s v=" CL PRINCIPAL DE SAN ANTONIO DE GETUCHA"/>
    <s v="1.0999342"/>
    <s v="-75.4022001"/>
    <s v="CAQUETÁ"/>
    <s v="MILÁN"/>
    <s v="MILÁN"/>
    <n v="18460"/>
    <s v="2025-11-21"/>
    <n v="8"/>
    <s v="NEIVA"/>
    <x v="3"/>
    <n v="28277.100000000002"/>
  </r>
  <r>
    <n v="74906"/>
    <s v="BARRIO TERMINAL DE TRANSPORTE CARTAGENA 1"/>
    <n v="1045420782"/>
    <m/>
    <s v="3124344457"/>
    <s v="3124344457"/>
    <s v=" CL PRINCIPAL IPM SAN ANTONIO DE GETUCHA SAN ANTONIO GETUCHA"/>
    <s v="1.098474166"/>
    <s v="-75.40140972"/>
    <s v="CAQUETÁ"/>
    <s v="MILÁN"/>
    <s v="MILÁN"/>
    <n v="18460"/>
    <s v="2025-11-21"/>
    <n v="8"/>
    <s v="NEIVA"/>
    <x v="3"/>
    <n v="28277.100000000002"/>
  </r>
  <r>
    <n v="73154"/>
    <s v="BARRIO CIUDADELA INDIA CATALINA CARTAGENA DE INDIAS 2"/>
    <n v="25878577"/>
    <s v="3212068788"/>
    <s v="3212068788"/>
    <s v="3212068788"/>
    <s v="CL PRINCIPAL MANZANA 9,CENTRO"/>
    <s v="1.0999974"/>
    <s v="-75.4022003"/>
    <s v="CAQUETÁ"/>
    <s v="MILÁN"/>
    <s v="MILÁN"/>
    <n v="18460"/>
    <s v="2025-11-21"/>
    <n v="8"/>
    <s v="NEIVA"/>
    <x v="3"/>
    <n v="28277.100000000002"/>
  </r>
  <r>
    <n v="74080"/>
    <s v="BARRIO NUEVO BOSQUE CARTAGENA DE INDIAS 7"/>
    <n v="1235038058"/>
    <s v="3234014949"/>
    <s v="3106240241"/>
    <s v="3106240241"/>
    <s v=" PLAZA PRINCIPAL DEL PROGRESO 17 35 ,brrEL PROGRESO"/>
    <s v="9.019334"/>
    <s v="-76.261506"/>
    <s v="CÓRDOBA"/>
    <s v="PUERTO ESCONDIDO"/>
    <s v="PUERTO ESCONDIDO"/>
    <n v="23574"/>
    <s v="2025-11-28"/>
    <n v="8"/>
    <s v="MONTERIA"/>
    <x v="1"/>
    <n v="15709.5"/>
  </r>
  <r>
    <n v="34790"/>
    <s v="BARRIO LAS AMERICAS BARRANQUILLA"/>
    <n v="55240390"/>
    <s v="3186385"/>
    <s v="3116827824"/>
    <s v="3116827824"/>
    <s v=" CL 1 1 119"/>
    <s v="9.1838259"/>
    <s v="-75.5481295"/>
    <s v="CÓRDOBA"/>
    <s v="TUCHÍN"/>
    <s v="TUCHÍN"/>
    <n v="23815"/>
    <s v="2025-11-10"/>
    <n v="8"/>
    <s v="MONTERIA"/>
    <x v="1"/>
    <n v="15709.5"/>
  </r>
  <r>
    <n v="28367"/>
    <s v="BARRIO BARRANQUILLITA 2 BARRANQUILLA"/>
    <n v="4253436"/>
    <s v="7856529"/>
    <s v="3004483217"/>
    <s v="3004483217"/>
    <s v="CL 13 CR  13 A  85 BARRIO CENTRAL"/>
    <s v="9.1868027"/>
    <s v="-75.5545002"/>
    <s v="CÓRDOBA"/>
    <s v="TUCHÍN"/>
    <s v="TUCHÍN"/>
    <n v="23815"/>
    <s v="2025-11-10"/>
    <n v="8"/>
    <s v="MONTERIA"/>
    <x v="1"/>
    <n v="15709.5"/>
  </r>
  <r>
    <n v="29786"/>
    <s v="BARRIO CEIBA BARRANQUILLA"/>
    <n v="900691120"/>
    <s v="3017479723"/>
    <s v="3145144465"/>
    <s v="3145144465"/>
    <s v="CL 15 12-34 FRENTE AL PARQUE,EL CENTRO"/>
    <s v="9.18719"/>
    <s v="-75.55416"/>
    <s v="CÓRDOBA"/>
    <s v="TUCHÍN"/>
    <s v="TUCHÍN"/>
    <n v="23815"/>
    <s v="2025-11-10"/>
    <n v="8"/>
    <s v="MONTERIA"/>
    <x v="1"/>
    <n v="15709.5"/>
  </r>
  <r>
    <n v="27937"/>
    <s v="BARRIO LAS MORAS BARRANQUILLA"/>
    <n v="22517110"/>
    <s v="3004573086"/>
    <s v="3004573086"/>
    <s v="3004573086"/>
    <s v="CL 14 15 C 33,SAN PEDRO"/>
    <s v="9.1872295"/>
    <s v="-75.5560865"/>
    <s v="CÓRDOBA"/>
    <s v="TUCHÍN"/>
    <s v="TUCHÍN"/>
    <n v="23815"/>
    <s v="2025-11-10"/>
    <n v="16"/>
    <s v="MONTERIA"/>
    <x v="1"/>
    <n v="15709.5"/>
  </r>
  <r>
    <n v="26911"/>
    <s v="BARRIO BETANIA LOS PATIOS"/>
    <n v="60310580"/>
    <s v="3138796610"/>
    <s v="3138796610"/>
    <s v="3138796610"/>
    <s v="CL 13 13 4,TUCHIN"/>
    <s v="9.187192"/>
    <s v="-75.553131"/>
    <s v="CÓRDOBA"/>
    <s v="TUCHÍN"/>
    <s v="TUCHÍN"/>
    <n v="23815"/>
    <s v="2025-11-13"/>
    <n v="8"/>
    <s v="MONTERIA"/>
    <x v="1"/>
    <n v="15709.5"/>
  </r>
  <r>
    <n v="24836"/>
    <s v="BARRIO ONCE DE NOVIEMBRE LOS PATIOS 2"/>
    <n v="900576569"/>
    <s v="3005145872"/>
    <s v="3005145872"/>
    <s v="3005145872"/>
    <s v="CL 12 16 D 153,OTRO"/>
    <s v="9.185053"/>
    <s v="-75.558262"/>
    <s v="CÓRDOBA"/>
    <s v="TUCHÍN"/>
    <s v="TUCHÍN"/>
    <n v="23815"/>
    <s v="2025-11-13"/>
    <n v="8"/>
    <s v="MONTERIA"/>
    <x v="1"/>
    <n v="15709.5"/>
  </r>
  <r>
    <n v="78876"/>
    <s v="BARRIO TIERRA LINDA LOS PATIOS 6"/>
    <n v="1005027949"/>
    <m/>
    <s v="3133684189"/>
    <s v="3133684189"/>
    <s v="TV 8 12 35,SANTA HELENA"/>
    <s v="4.7366952"/>
    <s v="-74.3446350"/>
    <s v="CUNDINAMARCA"/>
    <s v="BOJACÁ"/>
    <s v="BOJACÁ"/>
    <n v="25099"/>
    <s v="2025-11-10"/>
    <n v="16"/>
    <s v="BOGOTA"/>
    <x v="4"/>
    <n v="15709.5"/>
  </r>
  <r>
    <n v="64062"/>
    <s v="BARRIO BOSQUE CARTAGENA DE INDIAS 3"/>
    <n v="900975195"/>
    <s v="3168652745"/>
    <s v="3168652745"/>
    <m/>
    <s v="CR 10 D 9 79 ,SANTA ELENA BOJACA"/>
    <s v="4.7372958"/>
    <s v="-74.3442711"/>
    <s v="CUNDINAMARCA"/>
    <s v="BOJACÁ"/>
    <s v="BOJACÁ"/>
    <n v="25099"/>
    <s v="2025-11-14"/>
    <n v="8"/>
    <s v="BOGOTA"/>
    <x v="4"/>
    <n v="15709.5"/>
  </r>
  <r>
    <n v="61410"/>
    <s v="BARRIO TERNERA CARTAGENA DE INDIAS 1"/>
    <n v="1020417826"/>
    <s v="0"/>
    <s v="3228490249"/>
    <s v="3228490249"/>
    <s v="CL 7 5 58"/>
    <s v="4.7328166"/>
    <s v="-74.3412807"/>
    <s v="CUNDINAMARCA"/>
    <s v="BOJACÁ"/>
    <s v="BOJACÁ"/>
    <n v="25099"/>
    <s v="2025-11-13"/>
    <n v="8"/>
    <s v="BOGOTA"/>
    <x v="4"/>
    <n v="15709.5"/>
  </r>
  <r>
    <n v="61411"/>
    <s v="BARRIO TERNERA CARTGENA DE INDIAS"/>
    <n v="1020417826"/>
    <s v="0"/>
    <s v="3143402603"/>
    <s v="3143402603"/>
    <s v="CL 17 14 58,CENTRO"/>
    <s v="4.740918"/>
    <s v="-74.344396"/>
    <s v="CUNDINAMARCA"/>
    <s v="BOJACÁ"/>
    <s v="BOJACÁ"/>
    <n v="25099"/>
    <s v="2025-11-10"/>
    <n v="8"/>
    <s v="BOGOTA"/>
    <x v="4"/>
    <n v="15709.5"/>
  </r>
  <r>
    <n v="77602"/>
    <s v="BARRIO CENTRO GALAPA  5"/>
    <n v="1047239870"/>
    <s v="8840153"/>
    <s v="3102002969"/>
    <s v="3102002969"/>
    <s v="AUT NORTE KM 23 VDA YERBABUENA ESTACIÓN DE SERVICIO ESSO"/>
    <s v="4.869898"/>
    <s v="-74.022365"/>
    <s v="CUNDINAMARCA"/>
    <s v="CHÍA"/>
    <s v="CHÍA"/>
    <n v="25175"/>
    <s v="2025-11-11"/>
    <e v="#N/A"/>
    <s v="BOGOTA"/>
    <x v="4"/>
    <n v="15709.5"/>
  </r>
  <r>
    <n v="47377"/>
    <s v="BARRIO VEREDA BUITREROS CUITIVA"/>
    <n v="901162599"/>
    <s v="3114483703"/>
    <s v="3114483703"/>
    <s v="3114483703"/>
    <s v="CR 13 17 103,LA PRIMAVERA"/>
    <s v="4.8675661"/>
    <s v="-74.0595819"/>
    <s v="CUNDINAMARCA"/>
    <s v="CHÍA"/>
    <s v="CHÍA"/>
    <n v="25175"/>
    <s v="2025-11-04"/>
    <n v="8"/>
    <s v="BOGOTA"/>
    <x v="4"/>
    <n v="15709.5"/>
  </r>
  <r>
    <n v="77546"/>
    <s v="BARRIO LA CORDIALIDAD LOS PATIOS 9"/>
    <n v="60360897"/>
    <s v="3227018594"/>
    <s v="3227018594"/>
    <m/>
    <s v="CR 3 31 36 CA 42,NUEVO MILENIO"/>
    <s v="4.8782894"/>
    <s v="-74.0452671"/>
    <s v="CUNDINAMARCA"/>
    <s v="CHÍA"/>
    <s v="CHÍA"/>
    <n v="25175"/>
    <s v="2025-11-04"/>
    <n v="8"/>
    <s v="BOGOTA"/>
    <x v="4"/>
    <n v="15709.5"/>
  </r>
  <r>
    <n v="72493"/>
    <s v="KILOMETRO 8 LOS PATIOS "/>
    <n v="13496724"/>
    <s v="3203536252"/>
    <s v="3203536252"/>
    <s v="3203536252"/>
    <s v="AV CHILACOS CR 9 21 - 56,CHILACOS"/>
    <s v="4.8683050"/>
    <s v="-74.0539150"/>
    <s v="CUNDINAMARCA"/>
    <s v="CHÍA"/>
    <s v="CHÍA"/>
    <n v="25175"/>
    <s v="2025-11-04"/>
    <n v="8"/>
    <s v="BOGOTA"/>
    <x v="4"/>
    <n v="15709.5"/>
  </r>
  <r>
    <n v="74339"/>
    <s v="BARRIO ONCE DE NOVIEMBRE LOS PATIOS 7"/>
    <n v="1093292148"/>
    <s v="3107760065"/>
    <s v="3107760065"/>
    <s v="3107760065"/>
    <s v="KM 24 VIA CHIA -CAJICA.MARGARITAS EDS TEXACO"/>
    <s v="4.8831373"/>
    <s v="-74.0376439"/>
    <s v="CUNDINAMARCA"/>
    <s v="CHÍA"/>
    <s v="CHÍA"/>
    <n v="25175"/>
    <s v="2025-11-13"/>
    <n v="8"/>
    <s v="BOGOTA"/>
    <x v="4"/>
    <n v="15709.5"/>
  </r>
  <r>
    <n v="50115"/>
    <s v="BARRIO CARACOLES CARTAGENA DE INDIAS"/>
    <n v="23135708"/>
    <s v="5139474"/>
    <s v="3146302114"/>
    <s v="3146302114"/>
    <s v=" CL 7 CR 1 ESQ"/>
    <s v="1.9226472"/>
    <s v="-74.6913869"/>
    <s v="CAQUETÁ"/>
    <s v="SAN VICENTE DEL CAGUÁN"/>
    <s v="SAN VICENTE DEL CAGUÁN"/>
    <n v="18753"/>
    <s v="2025-11-24"/>
    <n v="16"/>
    <s v="NEIVA"/>
    <x v="3"/>
    <n v="28277.100000000002"/>
  </r>
  <r>
    <n v="49655"/>
    <s v="BARRIO URB PALMA DE SALAMANCA SEC 2 CARTAGENA DE INDIAS"/>
    <n v="1007800738"/>
    <s v="3203069"/>
    <s v="3203069606"/>
    <s v="3203069606"/>
    <s v=" VRD CRISTALINA DEL LOZADA"/>
    <s v="2.1132197"/>
    <s v="-74.7692183"/>
    <s v="CAQUETÁ"/>
    <s v="SAN VICENTE DEL CAGUÁN"/>
    <s v="SAN VICENTE DEL CAGUÁN"/>
    <n v="18753"/>
    <s v="2025-11-06"/>
    <n v="8"/>
    <s v="NEIVA"/>
    <x v="3"/>
    <n v="28277.100000000002"/>
  </r>
  <r>
    <n v="48268"/>
    <s v="BARRIO CAMPESTRE CARTAGENA DE INDIAS"/>
    <n v="33310555"/>
    <m/>
    <s v="3133287624"/>
    <s v="3133287624"/>
    <s v=" CASERIO LA NOVIA,CASERIO LA NOVIA"/>
    <s v="2.1037246"/>
    <s v="-74.7691966"/>
    <s v="CAQUETÁ"/>
    <s v="SAN VICENTE DEL CAGUÁN"/>
    <s v="SAN VICENTE DEL CAGUÁN"/>
    <n v="18753"/>
    <s v="2025-11-25"/>
    <n v="16"/>
    <s v="NEIVA"/>
    <x v="3"/>
    <n v="28277.100000000002"/>
  </r>
  <r>
    <n v="38270"/>
    <s v="BARRIO CEBALLOS CARTAGENA DE INDIAS"/>
    <n v="9098817"/>
    <s v="3213717225"/>
    <s v="3213717225"/>
    <s v="3219968637"/>
    <s v="MZ N LT2,EL TRIUNFO"/>
    <s v="2.1209107"/>
    <s v="-74.7563908"/>
    <s v="CAQUETÁ"/>
    <s v="SAN VICENTE DEL CAGUÁN"/>
    <s v="SAN VICENTE DEL CAGUÁN"/>
    <n v="18753"/>
    <s v="2025-11-06"/>
    <n v="8"/>
    <s v="NEIVA"/>
    <x v="3"/>
    <n v="28277.100000000002"/>
  </r>
  <r>
    <n v="65758"/>
    <s v="BARRIO TIERRA LINDA LOS PATIOS 2"/>
    <n v="1005037042"/>
    <s v="3236853994"/>
    <s v="3226853994"/>
    <s v="3226853994"/>
    <s v="CR 7 5 74 LOCAL 27 INTERNO ,GALERIA MUNICIPAL"/>
    <s v="2.1128627"/>
    <s v="-74.7719252"/>
    <s v="CAQUETÁ"/>
    <s v="SAN VICENTE DEL CAGUÁN"/>
    <s v="SAN VICENTE DEL CAGUÁN"/>
    <n v="18753"/>
    <s v="2025-11-13"/>
    <n v="16"/>
    <s v="NEIVA"/>
    <x v="3"/>
    <n v="28277.100000000002"/>
  </r>
  <r>
    <n v="67138"/>
    <s v="BARRIO PATIO CENTRO LOS PATIOS 1"/>
    <n v="88250291"/>
    <s v="3209387427"/>
    <s v="3209387427"/>
    <m/>
    <s v="INSPECCION LOS POZOS"/>
    <s v="2.1231124"/>
    <s v="-74.5564811"/>
    <s v="CAQUETÁ"/>
    <s v="SAN VICENTE DEL CAGUÁN"/>
    <s v="SAN VICENTE DEL CAGUÁN"/>
    <n v="18753"/>
    <s v="2025-11-06"/>
    <n v="8"/>
    <s v="NEIVA"/>
    <x v="3"/>
    <n v="28277.100000000002"/>
  </r>
  <r>
    <n v="51436"/>
    <s v="BARRIO URB PENSILVANIA LOS PATIOS "/>
    <n v="901220535"/>
    <s v="3005153568"/>
    <s v="3005153568"/>
    <m/>
    <s v="CL 1 6 24,HERNANDEZ"/>
    <s v="2.1107534"/>
    <s v="-74.7690186"/>
    <s v="CAQUETÁ"/>
    <s v="SAN VICENTE DEL CAGUÁN"/>
    <s v="SAN VICENTE DEL CAGUÁN"/>
    <n v="18753"/>
    <s v="2025-11-13"/>
    <n v="8"/>
    <s v="NEIVA"/>
    <x v="3"/>
    <n v="28277.100000000002"/>
  </r>
  <r>
    <n v="45904"/>
    <s v="BARRIO TASAJERO LOS PATIOS"/>
    <n v="1986321"/>
    <s v="3229147898"/>
    <s v="3202020891"/>
    <s v="3202020891"/>
    <s v="CR 9 13 SUR,JARDIN"/>
    <s v="2.107108"/>
    <s v="-74.769386"/>
    <s v="CAQUETÁ"/>
    <s v="SAN VICENTE DEL CAGUÁN"/>
    <s v="SAN VICENTE DEL CAGUÁN"/>
    <n v="18753"/>
    <s v="2025-11-06"/>
    <n v="8"/>
    <s v="NEIVA"/>
    <x v="3"/>
    <n v="28277.100000000002"/>
  </r>
  <r>
    <n v="46025"/>
    <s v="BARRIO DOCE DE OCTUBRE LOS PATIOS"/>
    <n v="1093739795"/>
    <s v="3015583086"/>
    <s v="3015583086"/>
    <s v="3015583086"/>
    <s v="CL 6 2 BIS 03 - LA CONSOLATA"/>
    <s v="2.1165792"/>
    <s v="-74.7694033"/>
    <s v="CAQUETÁ"/>
    <s v="SAN VICENTE DEL CAGUÁN"/>
    <s v="SAN VICENTE DEL CAGUÁN"/>
    <n v="18753"/>
    <s v="2025-11-12"/>
    <n v="8"/>
    <s v="NEIVA"/>
    <x v="3"/>
    <n v="28277.100000000002"/>
  </r>
  <r>
    <n v="34796"/>
    <s v="BARRIO CANAPOTE CARTAGENA DE INDIAS"/>
    <n v="33140885"/>
    <s v="3103212591"/>
    <s v="3103212591"/>
    <s v="3103212591"/>
    <s v="CL 5 N 4 ESQ,CENTRO"/>
    <s v="2.1142235"/>
    <s v="-74.7691074"/>
    <s v="CAQUETÁ"/>
    <s v="SAN VICENTE DEL CAGUÁN"/>
    <s v="SAN VICENTE DEL CAGUÁN"/>
    <n v="18753"/>
    <s v="2025-11-12"/>
    <n v="16"/>
    <s v="NEIVA"/>
    <x v="3"/>
    <n v="28277.100000000002"/>
  </r>
  <r>
    <n v="36067"/>
    <s v="BARRIO BAZURTO CARTAGENA"/>
    <n v="1047395572"/>
    <s v="3202977658"/>
    <s v="3202977658"/>
    <s v="3202977658"/>
    <s v="INSP CAMPO HERMOSO,CL PRINCIPAL"/>
    <s v="1.9201377"/>
    <s v="-74.6890496"/>
    <s v="CAQUETÁ"/>
    <s v="SAN VICENTE DEL CAGUÁN"/>
    <s v="SAN VICENTE DEL CAGUÁN"/>
    <n v="18753"/>
    <s v="2025-11-13"/>
    <n v="8"/>
    <s v="NEIVA"/>
    <x v="3"/>
    <n v="28277.100000000002"/>
  </r>
  <r>
    <n v="28974"/>
    <s v="BARRIO BOSQUE 4 CARTAGENA DE INDIAS"/>
    <n v="900975195"/>
    <s v="3114405136"/>
    <s v="3114405136"/>
    <m/>
    <s v="CR 7 2 31 33,PUERTO REDONDO"/>
    <s v="2.1105243"/>
    <s v="-74.7699071"/>
    <s v="CAQUETÁ"/>
    <s v="SAN VICENTE DEL CAGUÁN"/>
    <s v="SAN VICENTE DEL CAGUÁN"/>
    <n v="18753"/>
    <s v="2025-11-06"/>
    <n v="16"/>
    <s v="NEIVA"/>
    <x v="3"/>
    <n v="28277.100000000002"/>
  </r>
  <r>
    <n v="31029"/>
    <s v="BARRIO CHILE"/>
    <n v="45543065"/>
    <s v="3202403945"/>
    <s v="3202403945"/>
    <s v="3202403945"/>
    <s v=" INSP GUAYABAL,GUAYABAL"/>
    <s v="2.699445"/>
    <s v="-74.882292"/>
    <s v="CAQUETÁ"/>
    <s v="SAN VICENTE DEL CAGUÁN"/>
    <s v="SAN VICENTE DEL CAGUÁN"/>
    <n v="18753"/>
    <s v="2025-11-07"/>
    <n v="8"/>
    <s v="NEIVA"/>
    <x v="3"/>
    <n v="28277.100000000002"/>
  </r>
  <r>
    <n v="30332"/>
    <s v="BARRIO MANGA CARTAGENA DE INDIAS"/>
    <n v="900733016"/>
    <s v="0"/>
    <s v="3106395383"/>
    <s v="3106395383"/>
    <s v="CR 6 6 A 04,SANTA ISABEL"/>
    <s v="2.114671"/>
    <s v="-74.772639"/>
    <s v="CAQUETÁ"/>
    <s v="SAN VICENTE DEL CAGUÁN"/>
    <s v="SAN VICENTE DEL CAGUÁN"/>
    <n v="18753"/>
    <s v="2025-11-05"/>
    <n v="8"/>
    <s v="NEIVA"/>
    <x v="3"/>
    <n v="28277.100000000002"/>
  </r>
  <r>
    <n v="21456"/>
    <s v="BARRIO BELLAVISTA - CARTAGENA DE INDIAS"/>
    <n v="64894059"/>
    <s v="3125121138"/>
    <s v="3125121138"/>
    <s v="3125121138"/>
    <s v="MZ R LT24,URBANIZACIÓN PRIMAVERA"/>
    <s v="2.1287219"/>
    <s v="-74.7593143"/>
    <s v="CAQUETÁ"/>
    <s v="SAN VICENTE DEL CAGUÁN"/>
    <s v="SAN VICENTE DEL CAGUÁN"/>
    <n v="18753"/>
    <s v="2025-11-07"/>
    <n v="16"/>
    <s v="NEIVA"/>
    <x v="3"/>
    <n v="28277.100000000002"/>
  </r>
  <r>
    <n v="63361"/>
    <s v="BARRIO VEREDA EL PIÑAL VIOTA"/>
    <n v="63531706"/>
    <s v="0"/>
    <s v="3132955039"/>
    <s v="3132955039"/>
    <s v="VRD SAN JUAN DEL LOZADA ,VRD"/>
    <s v="2.242813"/>
    <s v=" -74.451859"/>
    <s v="CAQUETÁ"/>
    <s v="SAN VICENTE DEL CAGUÁN"/>
    <s v="SAN VICENTE DEL CAGUÁN"/>
    <n v="18753"/>
    <s v="2025-11-28"/>
    <e v="#N/A"/>
    <s v="NEIVA"/>
    <x v="3"/>
    <n v="28277.100000000002"/>
  </r>
  <r>
    <n v="64145"/>
    <s v="BARRIO VIOTA VIOTA"/>
    <n v="79760633"/>
    <s v="0"/>
    <s v="3232268146"/>
    <s v="3214670774"/>
    <s v="CAS VILLA LOBOS"/>
    <s v="1.633825"/>
    <s v="-74.561671"/>
    <s v="CAQUETÁ"/>
    <s v="SAN VICENTE DEL CAGUÁN"/>
    <s v="SAN VICENTE DEL CAGUÁN"/>
    <n v="18753"/>
    <s v="2025-11-25"/>
    <e v="#N/A"/>
    <s v="NEIVA"/>
    <x v="3"/>
    <n v="28277.100000000002"/>
  </r>
  <r>
    <n v="69316"/>
    <s v="CENTRO VIOTÁ"/>
    <n v="901225815"/>
    <s v="3143705547"/>
    <s v="3104158944"/>
    <s v="3143705547"/>
    <s v="INSP CAMPO HERMOSO"/>
    <s v="1.55150"/>
    <s v="-74.41270"/>
    <s v="CAQUETÁ"/>
    <s v="SAN VICENTE DEL CAGUÁN"/>
    <s v="SAN VICENTE DEL CAGUÁN"/>
    <n v="18753"/>
    <s v="2025-11-24"/>
    <e v="#N/A"/>
    <s v="NEIVA"/>
    <x v="3"/>
    <n v="28277.100000000002"/>
  </r>
  <r>
    <n v="60480"/>
    <s v="BARRIO PARCELA ZIPAQUIRA"/>
    <n v="1075677684"/>
    <s v="3134637535"/>
    <s v="3134637535"/>
    <s v="3134637535"/>
    <s v="TV 1 67 03 MZ 19 ,LOS MUISCAS"/>
    <s v="5.5702437"/>
    <s v="-73.3395212"/>
    <s v="BOYACÁ"/>
    <s v="TUNJA"/>
    <s v="TUNJA"/>
    <n v="15001"/>
    <s v="2025-11-20"/>
    <n v="8"/>
    <s v="TUNJA"/>
    <x v="2"/>
    <n v="28277.100000000002"/>
  </r>
  <r>
    <n v="50484"/>
    <s v="BARRIO ZIPAQUIRA ZIPAQUIRA "/>
    <n v="830073087"/>
    <s v="3164071085"/>
    <s v="3208356593"/>
    <s v="3208356593"/>
    <s v="CR 1 A 18 20 MZ 2 CASA 2,PISO 1"/>
    <s v="5.529"/>
    <s v="-73.350"/>
    <s v="BOYACÁ"/>
    <s v="TUNJA"/>
    <s v="TUNJA"/>
    <n v="15001"/>
    <s v="2025-11-24"/>
    <e v="#N/A"/>
    <s v="TUNJA"/>
    <x v="2"/>
    <n v="28277.100000000002"/>
  </r>
  <r>
    <n v="41529"/>
    <s v="BARRIO LAS PEÑITAS TUNJA"/>
    <n v="74374334"/>
    <s v="3015123142"/>
    <s v="3015123142"/>
    <s v="3015123142"/>
    <s v="CR 10 17 97"/>
    <s v="5.5310387"/>
    <s v="-73.3625633"/>
    <s v="BOYACÁ"/>
    <s v="TUNJA"/>
    <s v="TUNJA"/>
    <n v="15001"/>
    <s v="2025-11-24"/>
    <n v="8"/>
    <s v="TUNJA"/>
    <x v="2"/>
    <n v="28277.100000000002"/>
  </r>
  <r>
    <n v="33503"/>
    <s v="BARRIO SAN FERNANDO DOSQUEBRADAS"/>
    <n v="43501384"/>
    <s v="3164071085"/>
    <s v="3164071085"/>
    <s v="3164071085"/>
    <s v="CR 4 8 05"/>
    <s v="5.520"/>
    <s v="-73.359"/>
    <s v="BOYACÁ"/>
    <s v="TUNJA"/>
    <s v="TUNJA"/>
    <n v="15001"/>
    <s v="2025-11-24"/>
    <n v="8"/>
    <s v="TUNJA"/>
    <x v="2"/>
    <n v="28277.100000000002"/>
  </r>
  <r>
    <n v="32414"/>
    <s v="BARRIO TEJARES DE LA LOMA 1"/>
    <n v="1126595090"/>
    <s v="7456261"/>
    <s v="3103292709"/>
    <s v="3103292709"/>
    <s v="cr 14 N 26-124"/>
    <s v="5.540"/>
    <s v="-73.362"/>
    <s v="BOYACÁ"/>
    <s v="TUNJA"/>
    <s v="TUNJA"/>
    <n v="15001"/>
    <s v="2025-11-24"/>
    <n v="16"/>
    <s v="TUNJA"/>
    <x v="2"/>
    <n v="28277.100000000002"/>
  </r>
  <r>
    <n v="35868"/>
    <s v="BARRIO LOS MOLINOS DOSQUEBRADAS"/>
    <n v="42152843"/>
    <s v="7474112"/>
    <s v="3005188531"/>
    <s v="3005188531"/>
    <s v=" CR 2 ESTE 22 140"/>
    <s v="5.53512828"/>
    <s v="-73.35123733"/>
    <s v="BOYACÁ"/>
    <s v="TUNJA"/>
    <s v="TUNJA"/>
    <n v="15001"/>
    <s v="2025-11-20"/>
    <n v="16"/>
    <s v="TUNJA"/>
    <x v="2"/>
    <n v="28277.100000000002"/>
  </r>
  <r>
    <n v="78186"/>
    <s v="BARRIO BALAIKA DOSQUEBRADAS"/>
    <n v="901624933"/>
    <s v="3024080"/>
    <s v="3137169135"/>
    <s v="3137169135"/>
    <s v=" CL 40 1 A 71 ESTE LC 6"/>
    <s v="5.5448403"/>
    <s v="-73.3497055"/>
    <s v="BOYACÁ"/>
    <s v="TUNJA"/>
    <s v="TUNJA"/>
    <n v="15001"/>
    <s v="2025-11-24"/>
    <e v="#N/A"/>
    <s v="TUNJA"/>
    <x v="2"/>
    <n v="28277.100000000002"/>
  </r>
  <r>
    <n v="79298"/>
    <s v="BARRIO LA CAPILLA DOSQUEBRADAS"/>
    <n v="1127912920"/>
    <s v="3734111"/>
    <s v="3222739405"/>
    <s v="3222739405"/>
    <s v=" CR 7 5 31"/>
    <s v="6.3264781"/>
    <s v="-72.5761156"/>
    <s v="BOYACÁ"/>
    <s v="BOAVITA"/>
    <s v="BOAVITA"/>
    <n v="15097"/>
    <s v="2025-11-07"/>
    <e v="#N/A"/>
    <s v="TUNJA"/>
    <x v="2"/>
    <n v="28277.100000000002"/>
  </r>
  <r>
    <n v="78248"/>
    <s v="BARRIO OTUN DOSQUEBRADAS 1"/>
    <n v="15922797"/>
    <m/>
    <s v="3125364630"/>
    <s v="3125364630"/>
    <s v="CR 7  5 -78"/>
    <s v="6.3307733"/>
    <s v="-72.5861296"/>
    <s v="BOYACÁ"/>
    <s v="BOAVITA"/>
    <s v="BOAVITA"/>
    <n v="15097"/>
    <s v="2025-11-07"/>
    <n v="16"/>
    <s v="TUNJA"/>
    <x v="2"/>
    <n v="28277.100000000002"/>
  </r>
  <r>
    <n v="77735"/>
    <s v="BARRIO LA ROMELIA DOSQUEBRADAS 1"/>
    <n v="91109231"/>
    <s v="3213348499"/>
    <s v="3112111435"/>
    <s v="3112111435"/>
    <s v="CL 4 NO.7-52,CENTRO"/>
    <s v="6.3292475"/>
    <s v="-72.5850955"/>
    <s v="BOYACÁ"/>
    <s v="BOAVITA"/>
    <s v="BOAVITA"/>
    <n v="15097"/>
    <s v="2025-11-07"/>
    <e v="#N/A"/>
    <s v="TUNJA"/>
    <x v="2"/>
    <n v="28277.100000000002"/>
  </r>
  <r>
    <n v="26481"/>
    <s v="BARRIO SAN MIGUEL CENTRO - COROZAL"/>
    <n v="64541423"/>
    <s v="3224813573"/>
    <s v="3224813573"/>
    <s v="3224813573"/>
    <s v="CL 5 7-16 BARRIO CENTRO"/>
    <s v="6.3301919"/>
    <s v="-72.5854562"/>
    <s v="BOYACÁ"/>
    <s v="BOAVITA"/>
    <s v="BOAVITA"/>
    <n v="15097"/>
    <s v="2025-11-07"/>
    <e v="#N/A"/>
    <s v="TUNJA"/>
    <x v="2"/>
    <n v="28277.100000000002"/>
  </r>
  <r>
    <n v="65900"/>
    <s v="BARRIO PATIÑO AMARILES DOSQUEBRADAS"/>
    <n v="9867943"/>
    <s v="3205974172"/>
    <s v="3205974172"/>
    <s v="3203029086"/>
    <s v="CR 7 NO.3-19,CENTRO"/>
    <s v="6.3291962"/>
    <s v="-72.5843093"/>
    <s v="BOYACÁ"/>
    <s v="BOAVITA"/>
    <s v="BOAVITA"/>
    <n v="15097"/>
    <s v="2025-11-07"/>
    <n v="16"/>
    <s v="TUNJA"/>
    <x v="2"/>
    <n v="28277.100000000002"/>
  </r>
  <r>
    <n v="66152"/>
    <s v="BARRIO GUADULAES DOSQUEBRADAS 1"/>
    <n v="80410202"/>
    <s v="3002031425"/>
    <s v="3002031425"/>
    <s v="3002031425"/>
    <s v="CR 63 22 15,GAMBOTICO"/>
    <s v="9.71024411"/>
    <s v="-75.11204086"/>
    <s v="BOLÍVAR"/>
    <s v="EL CARMEN DE BOLÍVAR"/>
    <s v="EL CARMEN DE BOLÍVAR"/>
    <n v="13244"/>
    <s v="2025-11-05"/>
    <e v="#N/A"/>
    <s v="CARTAGENA"/>
    <x v="1"/>
    <n v="28277.100000000002"/>
  </r>
  <r>
    <n v="51187"/>
    <s v="BARRIO EL RECREO SAN FELIX DOSQUEBRADAS"/>
    <n v="1037632868"/>
    <s v="3107455213"/>
    <s v="3003566584"/>
    <s v="3003566584"/>
    <s v="CL 14 CRA 6 5 58"/>
    <s v="9.303362500000"/>
    <s v="-74.568268333"/>
    <s v="BOLÍVAR"/>
    <s v="TALAIGUA NUEVO"/>
    <s v="TALAIGUA NUEVO"/>
    <n v="13780"/>
    <s v="2025-11-06"/>
    <e v="#N/A"/>
    <s v="CARTAGENA"/>
    <x v="1"/>
    <n v="28277.100000000002"/>
  </r>
  <r>
    <n v="17219"/>
    <s v="BARRIO NUEVO SOTOMAYOR II BUCARAMANGA"/>
    <n v="17588285"/>
    <s v="3215222471"/>
    <s v="3205557908"/>
    <s v="3215222471"/>
    <s v="CL 4 9 - 20 CORREGIMIENTO TALAIGUA VIEJO ,"/>
    <s v="9.3120083"/>
    <s v="-74.5856652"/>
    <s v="BOLÍVAR"/>
    <s v="TALAIGUA NUEVO"/>
    <s v="TALAIGUA NUEVO"/>
    <n v="13780"/>
    <s v="2025-11-06"/>
    <n v="16"/>
    <s v="CARTAGENA"/>
    <x v="1"/>
    <n v="28277.100000000002"/>
  </r>
  <r>
    <n v="75050"/>
    <s v="BARRIO CENTRO JENESANO 4"/>
    <n v="23755196"/>
    <s v="3002842027"/>
    <s v="3002842027"/>
    <s v="3002842027"/>
    <s v="CR 8B 13A 29 BODEGA,10 DE ABRIL"/>
    <s v="9.3029488"/>
    <s v="-74.5680969"/>
    <s v="BOLÍVAR"/>
    <s v="TALAIGUA NUEVO"/>
    <s v="TALAIGUA NUEVO"/>
    <n v="13780"/>
    <s v="2025-11-06"/>
    <e v="#N/A"/>
    <s v="CARTAGENA"/>
    <x v="1"/>
    <n v="28277.100000000002"/>
  </r>
  <r>
    <n v="58209"/>
    <s v="BARRIO CENTRO JENESANO 2"/>
    <n v="1049625722"/>
    <s v="3114061596"/>
    <s v="3114061596"/>
    <s v="3114061596"/>
    <s v="CL 14 CR 4 72 AP 3,CENTRO"/>
    <s v="9.3040567"/>
    <s v="-74.5659567"/>
    <s v="BOLÍVAR"/>
    <s v="TALAIGUA NUEVO"/>
    <s v="TALAIGUA NUEVO"/>
    <n v="13780"/>
    <s v="2025-11-06"/>
    <n v="8"/>
    <s v="CARTAGENA"/>
    <x v="1"/>
    <n v="28277.100000000002"/>
  </r>
  <r>
    <n v="39909"/>
    <s v="BARRIO RETIRO DE LOS INDIOS CERETE"/>
    <n v="15319855"/>
    <s v="7794180"/>
    <s v="3102182360"/>
    <s v="3102182360"/>
    <s v="CR  8 N  7 32"/>
    <s v="5.5189662"/>
    <s v="-72.8839042"/>
    <s v="BOYACÁ"/>
    <s v="AQUITANIA"/>
    <s v="AQUITANIA"/>
    <n v="15047"/>
    <s v="2025-11-07"/>
    <n v="8"/>
    <s v="TUNJA"/>
    <x v="2"/>
    <n v="28277.100000000002"/>
  </r>
  <r>
    <n v="77918"/>
    <s v="BARRIO EL SOCORRO CERETE 3"/>
    <n v="50846877"/>
    <s v="3112541406"/>
    <s v="3112671055"/>
    <s v="3112671055"/>
    <s v="CR 9 4-40,CENTRO"/>
    <s v="5.717"/>
    <s v="-72.885"/>
    <s v="BOYACÁ"/>
    <s v="AQUITANIA"/>
    <s v="AQUITANIA"/>
    <n v="15047"/>
    <s v="2025-11-07"/>
    <n v="16"/>
    <s v="TUNJA"/>
    <x v="2"/>
    <n v="28277.100000000002"/>
  </r>
  <r>
    <n v="58877"/>
    <s v="BARRIO CORREGIMIENTO RABOLARGO CERETE"/>
    <n v="1064979627"/>
    <s v="3123296739"/>
    <s v="3123296739"/>
    <s v="3227359738"/>
    <s v="CR 6 NO.5-19,CENTRO"/>
    <s v="5.5165637"/>
    <s v="-72.8833425"/>
    <s v="BOYACÁ"/>
    <s v="AQUITANIA"/>
    <s v="AQUITANIA"/>
    <n v="15047"/>
    <s v="2025-11-07"/>
    <e v="#N/A"/>
    <s v="TUNJA"/>
    <x v="2"/>
    <n v="28277.100000000002"/>
  </r>
  <r>
    <n v="75688"/>
    <s v="BARRIO CENTRO TAUSA"/>
    <n v="52268713"/>
    <m/>
    <s v="3208351906"/>
    <s v="3208351906"/>
    <s v="CL 7  6  76"/>
    <s v="5.9561861"/>
    <s v="-72.94860"/>
    <s v="BOYACÁ"/>
    <s v="CERINZA"/>
    <s v="CERINZA"/>
    <n v="15162"/>
    <s v="2025-11-11"/>
    <e v="#N/A"/>
    <s v="TUNJA"/>
    <x v="2"/>
    <n v="28277.100000000002"/>
  </r>
  <r>
    <n v="80012"/>
    <s v="BARRIO FRANCISCO DE PAULA EL ZULIA 1"/>
    <n v="88250875"/>
    <s v="3138071572"/>
    <s v="3138071572"/>
    <s v="3103410945"/>
    <s v="CL 6 NO.8-26,CENTRO"/>
    <s v="5.95765"/>
    <s v="-72.949538"/>
    <s v="BOYACÁ"/>
    <s v="CERINZA"/>
    <s v="CERINZA"/>
    <n v="15162"/>
    <s v="2025-11-11"/>
    <n v="8"/>
    <s v="TUNJA"/>
    <x v="2"/>
    <n v="28277.100000000002"/>
  </r>
  <r>
    <n v="76882"/>
    <s v="BARRIO BUCARAMANGA BUCARAMANGA  19"/>
    <n v="1095934512"/>
    <s v="8572017"/>
    <s v="3138696817"/>
    <s v="3138696817"/>
    <s v=" CL 5  2-15"/>
    <s v="5.16855"/>
    <s v="-73.3689"/>
    <s v="BOYACÁ"/>
    <s v="CHINAVITA"/>
    <s v="CHINAVITA"/>
    <n v="15172"/>
    <s v="2025-11-04"/>
    <n v="8"/>
    <s v="TUNJA"/>
    <x v="2"/>
    <n v="28277.100000000002"/>
  </r>
  <r>
    <n v="74479"/>
    <s v="BARRIO VIA BUCARAMANGA - GIRON BUCARAMANGA"/>
    <n v="901749566"/>
    <s v="3107777743"/>
    <s v="3107777743"/>
    <s v="3107777743"/>
    <s v="CR 2 7 65,"/>
    <s v="5.170108"/>
    <s v="-73.368461"/>
    <s v="BOYACÁ"/>
    <s v="CHINAVITA"/>
    <s v="CHINAVITA"/>
    <n v="15172"/>
    <s v="2025-11-04"/>
    <n v="8"/>
    <s v="TUNJA"/>
    <x v="2"/>
    <n v="28277.100000000002"/>
  </r>
  <r>
    <n v="17025"/>
    <s v="BARRIO LOMITAS VILLA DEL ROSARIO"/>
    <n v="60329070"/>
    <s v="3124829251"/>
    <s v="3124829251"/>
    <s v="3124829251"/>
    <s v="CR 2 7 26,CENTRO"/>
    <s v="5.169"/>
    <s v="-73.368"/>
    <s v="BOYACÁ"/>
    <s v="CHINAVITA"/>
    <s v="CHINAVITA"/>
    <n v="15172"/>
    <s v="2025-11-04"/>
    <n v="8"/>
    <s v="TUNJA"/>
    <x v="2"/>
    <n v="28277.100000000002"/>
  </r>
  <r>
    <n v="73833"/>
    <s v="BARRIO BUCARAMANGA BUCARAMANGA 14"/>
    <n v="1094664367"/>
    <s v="3232325412"/>
    <s v="3232325412"/>
    <m/>
    <s v="CL 19 4 B 03,BUENOS AIRES"/>
    <s v="1.6212743"/>
    <s v="-75.6075378"/>
    <s v="CAQUETÁ"/>
    <s v="FLORENCIA"/>
    <s v="FLORENCIA"/>
    <n v="18001"/>
    <s v="2025-11-24"/>
    <n v="8"/>
    <s v="NEIVA"/>
    <x v="3"/>
    <n v="28277.100000000002"/>
  </r>
  <r>
    <n v="74426"/>
    <s v="BARRIO SAN FRANCISCO BUCARAMANGA 15"/>
    <n v="1096946084"/>
    <s v="3118117076"/>
    <s v="3175100511"/>
    <s v="3175100511"/>
    <s v="DG 15 N° 8A - 10 BARRIO LA ESTRELLA"/>
    <s v="1.6136563"/>
    <s v="-75.6071793"/>
    <s v="CAQUETÁ"/>
    <s v="FLORENCIA"/>
    <s v="FLORENCIA"/>
    <n v="18001"/>
    <s v="2025-11-24"/>
    <n v="8"/>
    <s v="NEIVA"/>
    <x v="3"/>
    <n v="28277.100000000002"/>
  </r>
  <r>
    <n v="74943"/>
    <s v="BARRIO BUCARAMANGA BUCARAMANGA 17"/>
    <n v="1098727985"/>
    <s v="3103096813"/>
    <s v="3103096813"/>
    <s v="3103096813"/>
    <s v="D 27 N 24 L 4 SENDEROS BARU,SENDEROS DE BARUC"/>
    <s v="1.6172231"/>
    <s v="-75.6367607"/>
    <s v="CAQUETÁ"/>
    <s v="FLORENCIA"/>
    <s v="FLORENCIA"/>
    <n v="18001"/>
    <s v="2025-11-24"/>
    <n v="8"/>
    <s v="NEIVA"/>
    <x v="3"/>
    <n v="28277.100000000002"/>
  </r>
  <r>
    <n v="72301"/>
    <s v="BARRIO MUTIS BUCARAMANGA 5"/>
    <n v="63271857"/>
    <s v="3102266408"/>
    <s v="3102266408"/>
    <s v="3102266408"/>
    <s v="CL 33 9 A 21 ,LA PAZ"/>
    <s v="1.6351362"/>
    <s v="-75.6147338"/>
    <s v="CAQUETÁ"/>
    <s v="FLORENCIA"/>
    <s v="FLORENCIA"/>
    <n v="18001"/>
    <s v="2025-11-18"/>
    <n v="8"/>
    <s v="NEIVA"/>
    <x v="3"/>
    <n v="28277.100000000002"/>
  </r>
  <r>
    <n v="71839"/>
    <s v="BUCARAMANGA CHPRRERA DE DON JUAN"/>
    <n v="63526217"/>
    <s v="3115485300"/>
    <s v="3115485300"/>
    <s v="3115485300"/>
    <s v="CR 11 9 46,COOPERATIVA"/>
    <s v="1.6112332"/>
    <s v="-75.6100526"/>
    <s v="CAQUETÁ"/>
    <s v="FLORENCIA"/>
    <s v="FLORENCIA"/>
    <n v="18001"/>
    <s v="2025-11-18"/>
    <n v="8"/>
    <s v="NEIVA"/>
    <x v="3"/>
    <n v="28277.100000000002"/>
  </r>
  <r>
    <n v="71840"/>
    <s v="BUCARAMANGA CAMPOHERMOSO"/>
    <n v="1127600802"/>
    <s v="3214602485"/>
    <s v="3214602485"/>
    <m/>
    <s v="CR 9 16 51,CENTRO"/>
    <s v="1.6175254"/>
    <s v="-75.6117203"/>
    <s v="CAQUETÁ"/>
    <s v="FLORENCIA"/>
    <s v="FLORENCIA"/>
    <n v="18001"/>
    <s v="2025-11-18"/>
    <n v="8"/>
    <s v="NEIVA"/>
    <x v="3"/>
    <n v="28277.100000000002"/>
  </r>
  <r>
    <n v="30673"/>
    <s v="BARRIO VILLA DEL ROSARIO LOMITAS"/>
    <n v="60329070"/>
    <s v="3223730837"/>
    <s v="3223730837"/>
    <s v="3223730837"/>
    <s v="CL 22 3 54 58,ALPES"/>
    <s v="1.624631"/>
    <s v="-75.605879"/>
    <s v="CAQUETÁ"/>
    <s v="FLORENCIA"/>
    <s v="FLORENCIA"/>
    <n v="18001"/>
    <s v="2025-11-19"/>
    <n v="8"/>
    <s v="NEIVA"/>
    <x v="3"/>
    <n v="28277.100000000002"/>
  </r>
  <r>
    <n v="32323"/>
    <s v="BARRIO LOMITAS DEL TRAPICHE VILLA DEL ROSARIO"/>
    <n v="52353530"/>
    <s v="3218952913"/>
    <s v="3218952913"/>
    <s v="3218952913"/>
    <s v="CA 228 ASENTAMIENTO LA ILUSIÓN"/>
    <s v="1.6241950"/>
    <s v="-75.6396509"/>
    <s v="CAQUETÁ"/>
    <s v="FLORENCIA"/>
    <s v="FLORENCIA"/>
    <n v="18001"/>
    <s v="2025-11-19"/>
    <n v="8"/>
    <s v="NEIVA"/>
    <x v="3"/>
    <n v="28277.100000000002"/>
  </r>
  <r>
    <n v="80980"/>
    <s v="BARRIO SAN MARTIN VILLA DEL ROSARIO  2"/>
    <n v="1092340632"/>
    <s v="3213306242"/>
    <s v="3213306242"/>
    <s v="3213306242"/>
    <s v="CR 13 B 10 23,EL GUAMAL"/>
    <s v="1.608255"/>
    <s v="-75.613705"/>
    <s v="CAQUETÁ"/>
    <s v="FLORENCIA"/>
    <s v="FLORENCIA"/>
    <n v="18001"/>
    <s v="2025-11-24"/>
    <n v="8"/>
    <s v="NEIVA"/>
    <x v="3"/>
    <n v="28277.100000000002"/>
  </r>
  <r>
    <n v="77297"/>
    <s v="BARRIO SANTANDER VILLA DEL ROSARIO  3"/>
    <n v="13173718"/>
    <s v="3202808239"/>
    <s v="3202808239"/>
    <s v="3202808239"/>
    <s v="LT7 B,LAS PALMERAS ALTAS"/>
    <s v="1.6205765"/>
    <s v="-75.5907987"/>
    <s v="CAQUETÁ"/>
    <s v="FLORENCIA"/>
    <s v="FLORENCIA"/>
    <n v="18001"/>
    <s v="2025-11-24"/>
    <n v="8"/>
    <s v="NEIVA"/>
    <x v="3"/>
    <n v="28277.100000000002"/>
  </r>
  <r>
    <n v="77332"/>
    <s v="BARRIO BELLAVISTA VILLA DEL ROSARIO  1"/>
    <n v="1092348379"/>
    <s v="3228444701"/>
    <s v="3228444701"/>
    <s v="3228444701"/>
    <s v="CL 3D # 5 D 29 SEC 4 BRR LAS MALVINAS"/>
    <s v="1.615849"/>
    <s v="-75.608504"/>
    <s v="CAQUETÁ"/>
    <s v="FLORENCIA"/>
    <s v="FLORENCIA"/>
    <n v="18001"/>
    <s v="2025-11-19"/>
    <n v="8"/>
    <s v="NEIVA"/>
    <x v="3"/>
    <n v="28277.100000000002"/>
  </r>
  <r>
    <n v="78162"/>
    <s v="BARRIO CENTRO VILLA DEL ROSARIO 4"/>
    <n v="1092345306"/>
    <s v="3232289742"/>
    <s v="3232289742"/>
    <s v="3232289742"/>
    <s v="LOTE 70,GIRASOLES"/>
    <s v="1.612902"/>
    <s v="-75.595634"/>
    <s v="CAQUETÁ"/>
    <s v="FLORENCIA"/>
    <s v="FLORENCIA"/>
    <n v="18001"/>
    <s v="2025-11-19"/>
    <n v="8"/>
    <s v="NEIVA"/>
    <x v="3"/>
    <n v="28277.100000000002"/>
  </r>
  <r>
    <n v="77499"/>
    <s v="BARRIO EL PARAMO VILLA DEL ROSARIO"/>
    <n v="37506363"/>
    <s v="3124856810"/>
    <s v="3123198054"/>
    <s v="3123198054"/>
    <s v="CL 3E 5D-37 LA ESPERANZA"/>
    <s v="1.22999999"/>
    <s v="-75.60207999"/>
    <s v="CAQUETÁ"/>
    <s v="FLORENCIA"/>
    <s v="FLORENCIA"/>
    <n v="18001"/>
    <s v="2025-11-19"/>
    <n v="8"/>
    <s v="NEIVA"/>
    <x v="3"/>
    <n v="28277.100000000002"/>
  </r>
  <r>
    <n v="60471"/>
    <s v="BARRIO EL DINDAL CAPARRAPI"/>
    <n v="1072745893"/>
    <s v="3107577365"/>
    <s v="3107577365"/>
    <s v="3107577365"/>
    <s v="CL 31 # 0 57 LC 1 BOJACA"/>
    <s v="4.8763439"/>
    <s v="-74.040245"/>
    <s v="CUNDINAMARCA"/>
    <s v="CHÍA"/>
    <s v="CHÍA"/>
    <n v="25175"/>
    <s v="2025-11-04"/>
    <e v="#N/A"/>
    <s v="BOGOTA"/>
    <x v="4"/>
    <n v="15709.5"/>
  </r>
  <r>
    <n v="69454"/>
    <s v="BARRIO CENTRO CAPARRAPI 1"/>
    <n v="1073610058"/>
    <s v="3045751001"/>
    <s v="3045751001"/>
    <s v="3045751001"/>
    <s v="CL 7 3 23 ESTE.SAMARIA"/>
    <s v="4.8522669"/>
    <s v="-74.0478528"/>
    <s v="CUNDINAMARCA"/>
    <s v="CHÍA"/>
    <s v="CHÍA"/>
    <n v="25175"/>
    <s v="2025-11-13"/>
    <e v="#N/A"/>
    <s v="BOGOTA"/>
    <x v="4"/>
    <n v="15709.5"/>
  </r>
  <r>
    <n v="76896"/>
    <s v="BARRIO CENTRO CAPARRAPI 2"/>
    <n v="80155432"/>
    <s v="0"/>
    <s v="3002013189"/>
    <s v="3202361411"/>
    <s v="CR 9 # 14 85,CENTRO"/>
    <s v="4.863076"/>
    <s v="-74.058300"/>
    <s v="CUNDINAMARCA"/>
    <s v="CHÍA"/>
    <s v="CHÍA"/>
    <n v="25175"/>
    <s v="2025-11-13"/>
    <e v="#N/A"/>
    <s v="BOGOTA"/>
    <x v="4"/>
    <n v="15709.5"/>
  </r>
  <r>
    <n v="68812"/>
    <s v="BARRIO CENTRO PUERTO SALGAR 2"/>
    <n v="1007405446"/>
    <s v="3174978834"/>
    <s v="3015692749"/>
    <s v="3203798443"/>
    <s v="VRD CANAVITA CON RESERVA DE ALEJANDRIA LC 03,VRD CANAVITA CON RESERVA DE ALEJANDRIA"/>
    <s v="4.9374157"/>
    <s v="-73.9394722"/>
    <s v="CUNDINAMARCA"/>
    <s v="TOCANCIPÁ"/>
    <s v="TOCANCIPÁ"/>
    <n v="25817"/>
    <s v="2025-11-25"/>
    <e v="#N/A"/>
    <s v="BOGOTA"/>
    <x v="4"/>
    <n v="15709.5"/>
  </r>
  <r>
    <n v="73521"/>
    <s v="BARRIO LA CONSOLATA  PUERTO SALGAR"/>
    <n v="1073321063"/>
    <s v="3183891096"/>
    <s v="3229426741"/>
    <s v="3173796853"/>
    <s v="VRD CANAVITA,VRD CANAVITA"/>
    <s v="4.9474567"/>
    <s v="-73.9225083"/>
    <s v="CUNDINAMARCA"/>
    <s v="TOCANCIPÁ"/>
    <s v="TOCANCIPÁ"/>
    <n v="25817"/>
    <s v="2025-11-25"/>
    <e v="#N/A"/>
    <s v="BOGOTA"/>
    <x v="4"/>
    <n v="15709.5"/>
  </r>
  <r>
    <n v="66433"/>
    <s v="BARRIO VILLAS DEL NOGAL BUCARAMANGA"/>
    <n v="1098721432"/>
    <s v="3142469719"/>
    <s v="3142469719"/>
    <s v="3046583395"/>
    <s v="CL 13 4A 26,CENTRO"/>
    <s v="4.9662848"/>
    <s v="-73.9113859"/>
    <s v="CUNDINAMARCA"/>
    <s v="TOCANCIPÁ"/>
    <s v="TOCANCIPÁ"/>
    <n v="25817"/>
    <s v="2025-11-25"/>
    <n v="8"/>
    <s v="BOGOTA"/>
    <x v="4"/>
    <n v="15709.5"/>
  </r>
  <r>
    <n v="66436"/>
    <s v="BARRIO BOLIVAR BUCARAMANGA 3"/>
    <n v="37713492"/>
    <s v="3214288857"/>
    <s v="3214288857"/>
    <s v="3214288857"/>
    <s v="CR 4 3 -31"/>
    <s v="4.4833941"/>
    <s v="-73.9345744"/>
    <s v="CUNDINAMARCA"/>
    <s v="UBAQUE"/>
    <s v="UBAQUE"/>
    <n v="25841"/>
    <s v="2025-11-24"/>
    <n v="16"/>
    <s v="BOGOTA"/>
    <x v="4"/>
    <n v="15709.5"/>
  </r>
  <r>
    <n v="38505"/>
    <s v="BARRIO CENTRO BUCARAMANGA 14"/>
    <n v="63446058"/>
    <s v="3112528114"/>
    <s v="3112528114"/>
    <s v="3103028829"/>
    <s v="CL 4 1 03,CENTRO"/>
    <s v="4.4828145"/>
    <s v="-73.9361886"/>
    <s v="CUNDINAMARCA"/>
    <s v="UBAQUE"/>
    <s v="UBAQUE"/>
    <n v="25841"/>
    <s v="2025-11-24"/>
    <n v="8"/>
    <s v="BOGOTA"/>
    <x v="4"/>
    <n v="15709.5"/>
  </r>
  <r>
    <n v="61993"/>
    <s v="BARRIO PALMAS DEL NIZA BUCARAMANGA"/>
    <n v="5727106"/>
    <s v="0"/>
    <s v="3208429573"/>
    <s v="3208429573"/>
    <s v="CARRERA 3 NUMERO 7-08"/>
    <s v="4.8769416"/>
    <s v="-74.5603568"/>
    <s v="CUNDINAMARCA"/>
    <s v="VIANÍ"/>
    <s v="VIANÍ"/>
    <n v="25867"/>
    <s v="2025-11-25"/>
    <n v="16"/>
    <s v="BOGOTA"/>
    <x v="4"/>
    <n v="15709.5"/>
  </r>
  <r>
    <n v="62763"/>
    <s v="BARRIO SAN LUIS BUCARAMANGA"/>
    <n v="63530155"/>
    <s v="0"/>
    <s v="3208437193"/>
    <s v="3208437193"/>
    <s v="CR 3 5 41"/>
    <s v="4.8757069"/>
    <s v="-74.5611166"/>
    <s v="CUNDINAMARCA"/>
    <s v="VIANÍ"/>
    <s v="VIANÍ"/>
    <n v="25867"/>
    <s v="2025-11-25"/>
    <n v="8"/>
    <s v="BOGOTA"/>
    <x v="4"/>
    <n v="15709.5"/>
  </r>
  <r>
    <n v="58935"/>
    <s v="BARRIO SANTA BARBARA 1 BUCARAMANGA"/>
    <n v="91535195"/>
    <s v="3143824869"/>
    <s v="3143824869"/>
    <s v="3133370645"/>
    <s v="CL 4 5 28 LC 3,PANAMERICANA VIANI"/>
    <s v="4.8748284"/>
    <s v="-74.5625023"/>
    <s v="CUNDINAMARCA"/>
    <s v="VIANÍ"/>
    <s v="VIANÍ"/>
    <n v="25867"/>
    <s v="2025-11-25"/>
    <n v="8"/>
    <s v="BOGOTA"/>
    <x v="4"/>
    <n v="15709.5"/>
  </r>
  <r>
    <n v="59284"/>
    <s v="BARRIO BUCARAMANGA BUCARAMANGA 6"/>
    <n v="1096926386"/>
    <s v="7773031"/>
    <s v="3114067254"/>
    <s v="3114067254"/>
    <s v=" CR 19 CL 12-33 CENTRO"/>
    <s v="8.25888229"/>
    <s v="-76.14872212"/>
    <s v="CÓRDOBA"/>
    <s v="VALENCIA"/>
    <s v="VALENCIA"/>
    <n v="23855"/>
    <s v="2025-11-07"/>
    <n v="16"/>
    <s v="MONTERIA"/>
    <x v="1"/>
    <n v="15709.5"/>
  </r>
  <r>
    <n v="57291"/>
    <s v="BARRIO RICAUTE BUCARAMANGA 2"/>
    <n v="91259817"/>
    <s v="3145440534"/>
    <s v="3192886343"/>
    <s v="3192886343"/>
    <s v=" CORREGIMIENTO VILLANUEVA,"/>
    <s v="8.34507254"/>
    <s v="-76.12289252"/>
    <s v="CÓRDOBA"/>
    <s v="VALENCIA"/>
    <s v="VALENCIA"/>
    <n v="23855"/>
    <s v="2025-11-07"/>
    <n v="8"/>
    <s v="MONTERIA"/>
    <x v="1"/>
    <n v="15709.5"/>
  </r>
  <r>
    <n v="67439"/>
    <s v="BARRIO SANTANDER VILLA DEL ROSARIO 1"/>
    <n v="1093798202"/>
    <s v="8461095"/>
    <s v="3105869440"/>
    <s v="3105869440"/>
    <s v=" CL 3  4 57 CHAGUANI CHAGUANI CUNDINAMARCA"/>
    <s v="4.9495907"/>
    <s v="-74.5944964"/>
    <s v="CUNDINAMARCA"/>
    <s v="CHAGUANÍ"/>
    <s v="CHAGUANÍ"/>
    <n v="25168"/>
    <s v="2025-11-12"/>
    <n v="8"/>
    <s v="BOGOTA"/>
    <x v="4"/>
    <n v="15709.5"/>
  </r>
  <r>
    <n v="46415"/>
    <s v="BARRIO GRAMALOTE VILLA DEL ROSARIO 1"/>
    <n v="88189996"/>
    <s v="3105650580"/>
    <s v="3105650580"/>
    <s v="3105650580"/>
    <s v="CL 3 3 09 ,LA AMISTAD"/>
    <s v="4.9493354"/>
    <s v="-74.5942554"/>
    <s v="CUNDINAMARCA"/>
    <s v="CHAGUANÍ"/>
    <s v="CHAGUANÍ"/>
    <n v="25168"/>
    <s v="2025-11-06"/>
    <n v="16"/>
    <s v="BOGOTA"/>
    <x v="4"/>
    <n v="15709.5"/>
  </r>
  <r>
    <n v="51091"/>
    <s v="BARRIO LA PARADA VILLA DEL ROSARIO 5"/>
    <n v="5401855"/>
    <s v="8561351"/>
    <s v="3112376710"/>
    <s v="3112376710"/>
    <s v=" CR 5 4 14"/>
    <s v="5.14454542"/>
    <s v="-73.68647787"/>
    <s v="CUNDINAMARCA"/>
    <s v="CHOCONTÁ"/>
    <s v="CHOCONTÁ"/>
    <n v="25183"/>
    <s v="2025-11-21"/>
    <n v="16"/>
    <s v="TUNJA"/>
    <x v="2"/>
    <n v="28277.100000000002"/>
  </r>
  <r>
    <n v="35242"/>
    <s v="BARRO EL PARAMO VILLA DEL ROSARIO"/>
    <n v="1092355278"/>
    <s v="3192503478"/>
    <s v="3223647955"/>
    <s v="3223647955"/>
    <s v="CR 5 10 A 03.CENTRO"/>
    <s v="5.148501"/>
    <s v="-73.6808035"/>
    <s v="CUNDINAMARCA"/>
    <s v="CHOCONTÁ"/>
    <s v="CHOCONTÁ"/>
    <n v="25183"/>
    <s v="2025-11-21"/>
    <n v="8"/>
    <s v="TUNJA"/>
    <x v="2"/>
    <n v="28277.100000000002"/>
  </r>
  <r>
    <n v="46041"/>
    <s v="BARRIO 45078 BUCARAMANGA"/>
    <n v="63542840"/>
    <s v="3118553100"/>
    <s v="3118553100"/>
    <s v="3118553100"/>
    <s v="CL 11 4 68,CENTRO"/>
    <s v="5.1487497"/>
    <s v="-73.6795422"/>
    <s v="CUNDINAMARCA"/>
    <s v="CHOCONTÁ"/>
    <s v="CHOCONTÁ"/>
    <n v="25183"/>
    <s v="2025-11-20"/>
    <n v="8"/>
    <s v="TUNJA"/>
    <x v="2"/>
    <n v="28277.100000000002"/>
  </r>
  <r>
    <n v="41748"/>
    <s v="BARRIO PROVENZA BUCARAMANGA 3"/>
    <n v="5596021"/>
    <s v="3115009689"/>
    <s v="3112563195"/>
    <s v="3112563195"/>
    <s v="CR 8 9 26,CHOCONTA"/>
    <s v="5.1484457"/>
    <s v="-73.6835387"/>
    <s v="CUNDINAMARCA"/>
    <s v="CHOCONTÁ"/>
    <s v="CHOCONTÁ"/>
    <n v="25183"/>
    <s v="2025-11-21"/>
    <n v="8"/>
    <s v="TUNJA"/>
    <x v="2"/>
    <n v="28277.100000000002"/>
  </r>
  <r>
    <n v="41522"/>
    <s v="BARRIO CABECERA BUCARAMANGA 5"/>
    <n v="900932136"/>
    <s v="8474368"/>
    <s v="3108136113"/>
    <s v="3108136113"/>
    <s v=" CR 3 2 28 INSP EL TRIUNFO"/>
    <s v="4.584195"/>
    <s v="-74.445236"/>
    <s v="CUNDINAMARCA"/>
    <s v="EL COLEGIO"/>
    <s v="EL COLEGIO"/>
    <n v="25245"/>
    <s v="2025-11-26"/>
    <n v="8"/>
    <s v="BOGOTA"/>
    <x v="4"/>
    <n v="15709.5"/>
  </r>
  <r>
    <n v="39113"/>
    <s v="BARRIO SAN FRANCISCO BUCARAMANGA 1"/>
    <n v="37840435"/>
    <s v="3126789004"/>
    <s v="3154776673"/>
    <s v="3118689304"/>
    <s v="CR 4 4 16 BRR LA CASTELLANA,CENTRO"/>
    <s v="4.5798445"/>
    <s v="-74.4436852"/>
    <s v="CUNDINAMARCA"/>
    <s v="EL COLEGIO"/>
    <s v="EL COLEGIO"/>
    <n v="25245"/>
    <s v="2025-11-26"/>
    <n v="8"/>
    <s v="BOGOTA"/>
    <x v="4"/>
    <n v="15709.5"/>
  </r>
  <r>
    <n v="35033"/>
    <s v="BARRIO RICAURTE BUCARAMANGA 2"/>
    <n v="28099203"/>
    <s v="3165308556"/>
    <s v="3165308556"/>
    <s v="3124029771"/>
    <s v="CLL 6 NO 7 - 07"/>
    <s v="4.5813145"/>
    <s v="-74.4449089"/>
    <s v="CUNDINAMARCA"/>
    <s v="EL COLEGIO"/>
    <s v="EL COLEGIO"/>
    <n v="25245"/>
    <s v="2025-11-27"/>
    <n v="16"/>
    <s v="BOGOTA"/>
    <x v="4"/>
    <n v="15709.5"/>
  </r>
  <r>
    <n v="32108"/>
    <s v="BARRIO CENTRO 3 BUCARAMANGA"/>
    <n v="63432597"/>
    <s v="0"/>
    <s v="3212864922"/>
    <s v="3212864922"/>
    <s v="CL 9 5 05,CENTRO"/>
    <s v="4.5840762"/>
    <s v="-74.4444054"/>
    <s v="CUNDINAMARCA"/>
    <s v="EL COLEGIO"/>
    <s v="EL COLEGIO"/>
    <n v="25245"/>
    <s v="2025-11-26"/>
    <n v="16"/>
    <s v="BOGOTA"/>
    <x v="4"/>
    <n v="15709.5"/>
  </r>
  <r>
    <n v="30387"/>
    <s v="BARRIO EL ROCIO BUCARAMANGA   "/>
    <n v="13822166"/>
    <s v="3042040639"/>
    <s v="3132518654"/>
    <s v="3042040639"/>
    <s v="KM23 VIA MESITAS DEL COLEGIO.VDR SANTIBAR BAJO"/>
    <s v="4.597725"/>
    <s v="-74.376642"/>
    <s v="CUNDINAMARCA"/>
    <s v="EL COLEGIO"/>
    <s v="EL COLEGIO"/>
    <n v="25245"/>
    <s v="2025-11-27"/>
    <n v="8"/>
    <s v="BOGOTA"/>
    <x v="4"/>
    <n v="15709.5"/>
  </r>
  <r>
    <n v="31905"/>
    <s v="BARRIO  CENTRO 28  BUCARAMANGA"/>
    <n v="13715984"/>
    <s v="8475537"/>
    <s v="3165308556"/>
    <s v="3124029771"/>
    <s v="CR 7 8 41 B. CENTRO,EL COLEGIO"/>
    <s v="4.5836394"/>
    <s v="-74.4454575"/>
    <s v="CUNDINAMARCA"/>
    <s v="EL COLEGIO"/>
    <s v="EL COLEGIO"/>
    <n v="25245"/>
    <s v="2025-11-27"/>
    <n v="8"/>
    <s v="BOGOTA"/>
    <x v="4"/>
    <n v="15709.5"/>
  </r>
  <r>
    <n v="26983"/>
    <s v="BARRIO ALARCON 2  BUCARAMANGA"/>
    <n v="86081636"/>
    <s v="8421423"/>
    <s v="3123934858"/>
    <s v="3123934858"/>
    <s v=" CL 21 ESTE1 A 28 SUR "/>
    <s v="4.7898418"/>
    <s v="-74.3368494"/>
    <s v="CUNDINAMARCA"/>
    <s v="FACATATIVÁ"/>
    <s v="FACATATIVÁ"/>
    <n v="25269"/>
    <s v="2025-11-12"/>
    <n v="16"/>
    <s v="BOGOTA"/>
    <x v="4"/>
    <n v="15709.5"/>
  </r>
  <r>
    <n v="30026"/>
    <s v="BARRIO CENTRO  25 - BUCARAMANGA "/>
    <n v="10545468"/>
    <s v="8422041"/>
    <s v="3134421868"/>
    <s v="3134421868"/>
    <s v=" CR 2 18 B 18"/>
    <s v="4.8188447"/>
    <s v="-74.3654029"/>
    <s v="CUNDINAMARCA"/>
    <s v="FACATATIVÁ"/>
    <s v="FACATATIVÁ"/>
    <n v="25269"/>
    <s v="2025-11-04"/>
    <n v="8"/>
    <s v="BOGOTA"/>
    <x v="4"/>
    <n v="15709.5"/>
  </r>
  <r>
    <n v="39493"/>
    <s v="BARRIO CENTRO EL CERRITO 3"/>
    <n v="890306372"/>
    <s v="1111111"/>
    <s v="3138024134"/>
    <s v="3138024134"/>
    <s v="DG 11 13 C 33 P 1,REMANSO EL CACIQUE"/>
    <s v="4.8216555"/>
    <s v="-74.3502272"/>
    <s v="CUNDINAMARCA"/>
    <s v="FACATATIVÁ"/>
    <s v="FACATATIVÁ"/>
    <n v="25269"/>
    <s v="2025-11-04"/>
    <e v="#N/A"/>
    <s v="BOGOTA"/>
    <x v="4"/>
    <n v="15709.5"/>
  </r>
  <r>
    <n v="67753"/>
    <s v="BARRIO CENTRO VILLAVICENCIO 27"/>
    <n v="1121842169"/>
    <s v="3123175390"/>
    <s v="3123175390"/>
    <s v="3123175390"/>
    <s v="CR 2 SUR 7 B 13,VILLA NUEVA FACATATIVÁ"/>
    <s v="4.8094679"/>
    <s v="-74.3577277"/>
    <s v="CUNDINAMARCA"/>
    <s v="FACATATIVÁ"/>
    <s v="FACATATIVÁ"/>
    <n v="25269"/>
    <s v="2025-11-12"/>
    <n v="8"/>
    <s v="BOGOTA"/>
    <x v="4"/>
    <n v="15709.5"/>
  </r>
  <r>
    <n v="69390"/>
    <s v="BARRIO CENTRO VILLAVICENCIO  29"/>
    <n v="1121842169"/>
    <s v="3144729743"/>
    <s v="3229595590"/>
    <s v="3229595590"/>
    <s v="CL 5 5 16 LC 03,CENTRO"/>
    <s v="4.8115224"/>
    <s v="-74.3521033"/>
    <s v="CUNDINAMARCA"/>
    <s v="FACATATIVÁ"/>
    <s v="FACATATIVÁ"/>
    <n v="25269"/>
    <s v="2025-11-13"/>
    <n v="8"/>
    <s v="BOGOTA"/>
    <x v="4"/>
    <n v="15709.5"/>
  </r>
  <r>
    <n v="10016"/>
    <s v="BARRIO SAN FRANCISCO - BUCARAMANGA"/>
    <n v="5796974"/>
    <s v="3123208436"/>
    <s v="3123208436"/>
    <s v="3123208336"/>
    <s v="CL 4 4 23 LC 1,CENTRO FACATATIVÁ"/>
    <s v="4.8100744"/>
    <s v="-74.3520042"/>
    <s v="CUNDINAMARCA"/>
    <s v="FACATATIVÁ"/>
    <s v="FACATATIVÁ"/>
    <n v="25269"/>
    <s v="2025-11-13"/>
    <n v="8"/>
    <s v="BOGOTA"/>
    <x v="4"/>
    <n v="15709.5"/>
  </r>
  <r>
    <n v="11742"/>
    <s v="COOPENESSA - GUARIN"/>
    <n v="800054946"/>
    <s v="3112509991"/>
    <s v="3112509991"/>
    <s v="3112509991"/>
    <s v="CL 5 8 05,ZAMBRANO"/>
    <s v="4.8142583"/>
    <s v="-74.3507269"/>
    <s v="CUNDINAMARCA"/>
    <s v="FACATATIVÁ"/>
    <s v="FACATATIVÁ"/>
    <n v="25269"/>
    <s v="2025-11-13"/>
    <n v="8"/>
    <s v="BOGOTA"/>
    <x v="4"/>
    <n v="15709.5"/>
  </r>
  <r>
    <n v="22039"/>
    <s v="MATERIALES EMO - AG BUCARAMANGA "/>
    <n v="801002644"/>
    <s v="0"/>
    <s v="3112222352"/>
    <s v="3112222352"/>
    <s v="CARRERA 2 SUR NRO. 9-23"/>
    <s v="4.8109557"/>
    <s v="-74.3594697"/>
    <s v="CUNDINAMARCA"/>
    <s v="FACATATIVÁ"/>
    <s v="FACATATIVÁ"/>
    <n v="25269"/>
    <s v="2025-11-12"/>
    <n v="8"/>
    <s v="BOGOTA"/>
    <x v="4"/>
    <n v="15709.5"/>
  </r>
  <r>
    <n v="67039"/>
    <s v="BARRIO RINCON DE LA MARIA VILLAVICENCIO"/>
    <n v="51804506"/>
    <s v="0"/>
    <s v="3112332476"/>
    <s v="3112332476"/>
    <s v="CR 3 NRO. 5 A 20 ESTE"/>
    <s v="4.8026433"/>
    <s v="-74.3463067"/>
    <s v="CUNDINAMARCA"/>
    <s v="FACATATIVÁ"/>
    <s v="FACATATIVÁ"/>
    <n v="25269"/>
    <s v="2025-11-04"/>
    <n v="8"/>
    <s v="BOGOTA"/>
    <x v="4"/>
    <n v="15709.5"/>
  </r>
  <r>
    <n v="63463"/>
    <s v="BARRIO CENTRO CARCASI"/>
    <n v="28057789"/>
    <s v="3187890172"/>
    <s v="3187890172"/>
    <s v="3162522612"/>
    <s v="CL 15  16-45 TULIPANES"/>
    <s v="4.8248560"/>
    <s v="-74.3569516"/>
    <s v="CUNDINAMARCA"/>
    <s v="FACATATIVÁ"/>
    <s v="FACATATIVÁ"/>
    <n v="25269"/>
    <s v="2025-11-04"/>
    <n v="8"/>
    <s v="BOGOTA"/>
    <x v="4"/>
    <n v="15709.5"/>
  </r>
  <r>
    <n v="12091"/>
    <s v="COELLO - TOLIMA"/>
    <n v="28636734"/>
    <s v="3186179149"/>
    <s v="3107859065"/>
    <s v="3107859065"/>
    <s v="CL 6 1 C 04 E BRR CHICO 1,CHICO 1"/>
    <s v="4.801920"/>
    <s v="-74.346023"/>
    <s v="CUNDINAMARCA"/>
    <s v="FACATATIVÁ"/>
    <s v="FACATATIVÁ"/>
    <n v="25269"/>
    <s v="2025-11-04"/>
    <e v="#N/A"/>
    <s v="BOGOTA"/>
    <x v="4"/>
    <n v="15709.5"/>
  </r>
  <r>
    <n v="70775"/>
    <s v="CENTRO CORREGIMIENTO GUALANDAY "/>
    <n v="1110532353"/>
    <s v="3222876504"/>
    <s v="3222876504"/>
    <m/>
    <s v="CR 7 4 90 94 100 104,LA ESMERALDA"/>
    <s v="1.8283377"/>
    <s v="-75.2183809"/>
    <s v="CAQUETÁ"/>
    <s v="PUERTO RICO"/>
    <s v="PUERTO RICO"/>
    <n v="18592"/>
    <s v="2025-11-14"/>
    <e v="#N/A"/>
    <s v="NEIVA"/>
    <x v="3"/>
    <n v="28277.100000000002"/>
  </r>
  <r>
    <n v="47011"/>
    <s v="BARRIO CENTRO CHOCONTA CHOCONTA"/>
    <n v="41243381"/>
    <s v="3177245449"/>
    <s v="3177245449"/>
    <m/>
    <s v="CL 6 N 8 ELBA PUERTO RICO,LAS DAMAS"/>
    <s v="1.9106517"/>
    <s v="-75.1563030"/>
    <s v="CAQUETÁ"/>
    <s v="PUERTO RICO"/>
    <s v="PUERTO RICO"/>
    <n v="18592"/>
    <s v="2025-11-14"/>
    <e v="#N/A"/>
    <s v="NEIVA"/>
    <x v="3"/>
    <n v="28277.100000000002"/>
  </r>
  <r>
    <n v="60826"/>
    <s v="BARRIO VERACRUZ CHOCONTA CHOCONTA"/>
    <n v="1069265749"/>
    <s v="3232247505"/>
    <s v="3232247505"/>
    <s v="3232247505"/>
    <s v="CR 9 N 6 69,LAS DAMAS"/>
    <s v="1.9114537"/>
    <s v="-75.1569372"/>
    <s v="CAQUETÁ"/>
    <s v="PUERTO RICO"/>
    <s v="PUERTO RICO"/>
    <n v="18592"/>
    <s v="2025-11-14"/>
    <e v="#N/A"/>
    <s v="NEIVA"/>
    <x v="3"/>
    <n v="28277.100000000002"/>
  </r>
  <r>
    <n v="67742"/>
    <s v="BARRIO CENTRO CHOCONTA CHOCONTA 1"/>
    <n v="1069258611"/>
    <s v="3118058"/>
    <s v="3118058347"/>
    <s v="3118058347"/>
    <s v=" CR 5 5 52  CENTRO"/>
    <s v="1.3315099"/>
    <s v="-75.9741548"/>
    <s v="CAQUETÁ"/>
    <s v="SAN JOSÉ DEL FRAGUA"/>
    <s v="SAN JOSÉ DEL FRAGUA"/>
    <n v="18610"/>
    <s v="2025-11-10"/>
    <e v="#N/A"/>
    <s v="NEIVA"/>
    <x v="3"/>
    <n v="28277.100000000002"/>
  </r>
  <r>
    <n v="68965"/>
    <s v="BARRIO CENTRO - CHOCONTA CHOCONTA"/>
    <n v="1007141112"/>
    <s v="3223169563"/>
    <s v="3223169563"/>
    <s v="3223169563"/>
    <s v="BARRIO SUMAWASY SAN JOSE,SUMAWASY"/>
    <s v="1.3241595"/>
    <s v="-75.9742797"/>
    <s v="CAQUETÁ"/>
    <s v="SAN JOSÉ DEL FRAGUA"/>
    <s v="SAN JOSÉ DEL FRAGUA"/>
    <n v="18610"/>
    <s v="2025-11-12"/>
    <e v="#N/A"/>
    <s v="NEIVA"/>
    <x v="3"/>
    <n v="28277.100000000002"/>
  </r>
  <r>
    <n v="61670"/>
    <s v="BARRIO ESPERANZA 4 ETAPA VILLAVICENCIO"/>
    <n v="40381104"/>
    <s v="3202364275"/>
    <s v="3202364275"/>
    <s v="3202364275"/>
    <s v="SIN CENTRO YURAYACO,CENTRO"/>
    <s v="1.2261902"/>
    <s v="-76.0925412"/>
    <s v="CAQUETÁ"/>
    <s v="SAN JOSÉ DEL FRAGUA"/>
    <s v="SAN JOSÉ DEL FRAGUA"/>
    <n v="18610"/>
    <s v="2025-11-11"/>
    <n v="8"/>
    <s v="NEIVA"/>
    <x v="3"/>
    <n v="28277.100000000002"/>
  </r>
  <r>
    <n v="15606"/>
    <s v="VILLA GORGONA III"/>
    <n v="16674969"/>
    <s v="3143709289"/>
    <s v="3143709289"/>
    <s v="3143709289"/>
    <s v="SIN CENTRO ZABALETA,CALLE PRINCIPAL"/>
    <s v="1.1339221"/>
    <s v="-76.1753842"/>
    <s v="CAQUETÁ"/>
    <s v="SAN JOSÉ DEL FRAGUA"/>
    <s v="SAN JOSÉ DEL FRAGUA"/>
    <n v="18610"/>
    <s v="2025-11-11"/>
    <e v="#N/A"/>
    <s v="NEIVA"/>
    <x v="3"/>
    <n v="28277.100000000002"/>
  </r>
  <r>
    <n v="79549"/>
    <s v="BARRIO MANZANARES SECTOR 13  CANDELARIA"/>
    <n v="31309462"/>
    <s v="3168701295"/>
    <s v="3168701295"/>
    <s v="3168701295"/>
    <s v="CR 5 # 4 BIS 19 BRR CEN"/>
    <s v="1.3309811"/>
    <s v="-75.9744567"/>
    <s v="CAQUETÁ"/>
    <s v="SAN JOSÉ DEL FRAGUA"/>
    <s v="SAN JOSÉ DEL FRAGUA"/>
    <n v="18610"/>
    <s v="2025-11-10"/>
    <e v="#N/A"/>
    <s v="NEIVA"/>
    <x v="3"/>
    <n v="28277.100000000002"/>
  </r>
  <r>
    <n v="80939"/>
    <s v="BARRIO ARMANDO VASQUEZ CANDELARIA"/>
    <n v="68290773"/>
    <s v="3144778635"/>
    <s v="3132109397"/>
    <s v="3144778635"/>
    <s v="CL 6 # 5-60 PUEBLO NUEVO"/>
    <s v="1.332193"/>
    <s v="-75.974696"/>
    <s v="CAQUETÁ"/>
    <s v="SAN JOSÉ DEL FRAGUA"/>
    <s v="SAN JOSÉ DEL FRAGUA"/>
    <n v="18610"/>
    <s v="2025-11-11"/>
    <e v="#N/A"/>
    <s v="NEIVA"/>
    <x v="3"/>
    <n v="28277.100000000002"/>
  </r>
  <r>
    <n v="76719"/>
    <s v="BARRIO CENTRO CHOCONTÁ"/>
    <n v="1007688785"/>
    <s v="3195117362"/>
    <s v="3195117362"/>
    <s v="3195117362"/>
    <s v="CL 4 7 07,VIANI"/>
    <s v="4.8743609"/>
    <s v="-74.5636124"/>
    <s v="CUNDINAMARCA"/>
    <s v="VIANÍ"/>
    <s v="VIANÍ"/>
    <n v="25867"/>
    <s v="2025-11-25"/>
    <e v="#N/A"/>
    <s v="BOGOTA"/>
    <x v="4"/>
    <n v="15709.5"/>
  </r>
  <r>
    <n v="77133"/>
    <s v="BARRIO CENTRO CHOCONTÁ 1"/>
    <n v="20363580"/>
    <s v="8446368"/>
    <s v="3112434093"/>
    <s v="3112434093"/>
    <s v="CR 9 N6 -69 BRR MURILLO TORO"/>
    <s v="5.0114617"/>
    <s v="-74.4741403"/>
    <s v="CUNDINAMARCA"/>
    <s v="VILLETA"/>
    <s v="VILLETA"/>
    <n v="25875"/>
    <s v="2025-11-14"/>
    <e v="#N/A"/>
    <s v="BOGOTA"/>
    <x v="4"/>
    <n v="15709.5"/>
  </r>
  <r>
    <n v="63910"/>
    <s v="BARRIO CIUDADELA SAN ANTONIO VILLAVICENCIO 3"/>
    <n v="51804506"/>
    <s v="3132629676"/>
    <s v="3132629676"/>
    <m/>
    <s v="CR 7 4 02 CENTRO,CENTRO"/>
    <s v="5.0105532"/>
    <s v="-74.4710755"/>
    <s v="CUNDINAMARCA"/>
    <s v="VILLETA"/>
    <s v="VILLETA"/>
    <n v="25875"/>
    <s v="2025-11-14"/>
    <n v="8"/>
    <s v="BOGOTA"/>
    <x v="4"/>
    <n v="15709.5"/>
  </r>
  <r>
    <n v="64152"/>
    <s v="BARRIO ANILLO VIAL LLANO ABASTO VILLAVICENCIO"/>
    <n v="19373043"/>
    <s v="3243963378"/>
    <s v="3243963378"/>
    <s v="3243963378"/>
    <s v="CASERIO EL PUENTE,CASERIO EL PUENTE"/>
    <s v="4.9914631"/>
    <s v="-74.4891374"/>
    <s v="CUNDINAMARCA"/>
    <s v="VILLETA"/>
    <s v="VILLETA"/>
    <n v="25875"/>
    <s v="2025-11-14"/>
    <n v="8"/>
    <s v="BOGOTA"/>
    <x v="4"/>
    <n v="15709.5"/>
  </r>
  <r>
    <n v="64252"/>
    <s v="BARRIO ESTERO VILLAVICENCIO 10"/>
    <n v="17316426"/>
    <s v="3125412273"/>
    <s v="3132845766"/>
    <s v="3125412273"/>
    <s v="CL 5 # 11 - 25"/>
    <s v="5.0086050"/>
    <s v="-74.4743432"/>
    <s v="CUNDINAMARCA"/>
    <s v="VILLETA"/>
    <s v="VILLETA"/>
    <n v="25875"/>
    <s v="2025-11-14"/>
    <n v="16"/>
    <s v="BOGOTA"/>
    <x v="4"/>
    <n v="15709.5"/>
  </r>
  <r>
    <n v="63148"/>
    <s v="BARRIO BARZAL VILLAVICENCIO 13"/>
    <n v="1010203964"/>
    <s v="3123580828"/>
    <s v="0"/>
    <s v="3123580828"/>
    <s v="CLE. 4 NRO. 6 - 48 _ CENTRO,CENTRO"/>
    <s v="5.0106075"/>
    <s v="-74.4708193"/>
    <s v="CUNDINAMARCA"/>
    <s v="VILLETA"/>
    <s v="VILLETA"/>
    <n v="25875"/>
    <s v="2025-11-14"/>
    <n v="8"/>
    <s v="BOGOTA"/>
    <x v="4"/>
    <n v="15709.5"/>
  </r>
  <r>
    <n v="18619"/>
    <s v="BARRIO EL REMANSO MOSQUERA"/>
    <n v="79819938"/>
    <s v="7783311"/>
    <s v="3124322196"/>
    <s v="3124322196"/>
    <s v=" CL 18  10-24"/>
    <s v="4.4381301"/>
    <s v="-74.5218083"/>
    <s v="CUNDINAMARCA"/>
    <s v="VIOTÁ"/>
    <s v="VIOTÁ"/>
    <n v="25878"/>
    <s v="2025-11-21"/>
    <e v="#N/A"/>
    <s v="BOGOTA"/>
    <x v="4"/>
    <n v="15709.5"/>
  </r>
  <r>
    <n v="53791"/>
    <s v="BARRIO ANTONIO VILLAVICENCIO VILLAVICENCIO"/>
    <n v="21231661"/>
    <s v="3107592388"/>
    <s v="3107592388"/>
    <s v="3107592388"/>
    <s v="CL 17 10 62,CENTRO"/>
    <s v="4.4375914"/>
    <s v="-74.5224341"/>
    <s v="CUNDINAMARCA"/>
    <s v="VIOTÁ"/>
    <s v="VIOTÁ"/>
    <n v="25878"/>
    <s v="2025-11-07"/>
    <n v="16"/>
    <s v="BOGOTA"/>
    <x v="4"/>
    <n v="15709.5"/>
  </r>
  <r>
    <n v="57546"/>
    <s v="BARRIO CAUDAL VILLAVICENCIO"/>
    <n v="1006825959"/>
    <s v="3112253522"/>
    <s v="3112253522"/>
    <s v="3112253522"/>
    <s v="CR 9 17 A 10,SANTA LILIANA"/>
    <s v="4.4378024"/>
    <s v="-74.5209191"/>
    <s v="CUNDINAMARCA"/>
    <s v="VIOTÁ"/>
    <s v="VIOTÁ"/>
    <n v="25878"/>
    <s v="2025-11-07"/>
    <n v="8"/>
    <s v="BOGOTA"/>
    <x v="4"/>
    <n v="15709.5"/>
  </r>
  <r>
    <n v="61435"/>
    <s v="BARRIO VILLA YENNY MOSQUERA"/>
    <n v="1073502058"/>
    <s v="3015406150"/>
    <s v="3015406150"/>
    <s v="3015406150"/>
    <s v="CR 10 15 62 BRR CENTRO,CENTRO VIOTA"/>
    <s v="4.4365900"/>
    <s v="-74.5220117"/>
    <s v="CUNDINAMARCA"/>
    <s v="VIOTÁ"/>
    <s v="VIOTÁ"/>
    <n v="25878"/>
    <s v="2025-11-21"/>
    <e v="#N/A"/>
    <s v="BOGOTA"/>
    <x v="4"/>
    <n v="15709.5"/>
  </r>
  <r>
    <n v="54941"/>
    <s v="BARRIO LOS MARCOAS VILLAVICENCIO"/>
    <n v="1121861314"/>
    <s v="3107763297"/>
    <s v="3138464719"/>
    <s v="3107763297"/>
    <s v="CR 10 17 12 BRR CENTRO,CENTRO"/>
    <s v="4.4372872"/>
    <s v="-74.5217412"/>
    <s v="CUNDINAMARCA"/>
    <s v="VIOTÁ"/>
    <s v="VIOTÁ"/>
    <n v="25878"/>
    <s v="2025-11-07"/>
    <n v="16"/>
    <s v="BOGOTA"/>
    <x v="4"/>
    <n v="15709.5"/>
  </r>
  <r>
    <n v="51901"/>
    <s v="BARRIO BALATA VILLAVICENCIO 2"/>
    <n v="1121840733"/>
    <s v="3102310636"/>
    <s v="3102310636"/>
    <m/>
    <s v="CL 8 37 46 LC 52 CC CATEDRAL PLAZA,LA PAZ"/>
    <s v="5.0281769"/>
    <s v="-73.9810553"/>
    <s v="CUNDINAMARCA"/>
    <s v="ZIPAQUIRÁ"/>
    <s v="ZIPAQUIRÁ"/>
    <n v="25899"/>
    <s v="2025-11-19"/>
    <n v="8"/>
    <s v="BOGOTA"/>
    <x v="4"/>
    <n v="15709.5"/>
  </r>
  <r>
    <n v="53198"/>
    <s v="BARRIO ESPERANZA VILLAVICENCIO 4"/>
    <n v="1121843999"/>
    <s v="3163027679"/>
    <s v="3163027679"/>
    <s v="3163027679"/>
    <s v="CR 5 2-07,GIGANTE HUILA"/>
    <s v="2.389230"/>
    <s v="-75.545958"/>
    <s v="HUILA"/>
    <s v="GIGANTE"/>
    <s v="GIGANTE"/>
    <n v="41306"/>
    <s v="2025-11-11"/>
    <n v="8"/>
    <s v="NEIVA"/>
    <x v="3"/>
    <n v="28277.100000000002"/>
  </r>
  <r>
    <n v="52928"/>
    <s v="BARRIO VEINTE DE JULIO VILLAVICENCIO"/>
    <n v="17336093"/>
    <s v="3115014709"/>
    <s v="0"/>
    <s v="3115014709"/>
    <s v="CR 5 3 49,CENTRO"/>
    <s v="2.388058"/>
    <s v="-75.546363"/>
    <s v="HUILA"/>
    <s v="GIGANTE"/>
    <s v="GIGANTE"/>
    <n v="41306"/>
    <s v="2025-11-11"/>
    <n v="16"/>
    <s v="NEIVA"/>
    <x v="3"/>
    <n v="28277.100000000002"/>
  </r>
  <r>
    <n v="50586"/>
    <s v="BARRIO KIRPAS VILLAVICENCIO 1"/>
    <n v="1121832493"/>
    <s v="3133219721"/>
    <s v="3133219721"/>
    <s v="3133219721"/>
    <s v="FRENTE A LA ESCUELA,TRES ESQUINAS"/>
    <s v="2.3138307"/>
    <s v="-75.5030310"/>
    <s v="HUILA"/>
    <s v="GIGANTE"/>
    <s v="GIGANTE"/>
    <n v="41306"/>
    <s v="2025-11-11"/>
    <n v="16"/>
    <s v="NEIVA"/>
    <x v="3"/>
    <n v="28277.100000000002"/>
  </r>
  <r>
    <n v="16203"/>
    <s v="VENECIA CUNDINAMARCA"/>
    <n v="11379369"/>
    <s v="3107229020"/>
    <s v="3107229020"/>
    <m/>
    <s v="VRD PUEBLO NUEVO,KM 1 VÍA A NEIVA VEREDA PUEBLO NUEVO"/>
    <s v="2.3940632"/>
    <s v="-75.5412641"/>
    <s v="HUILA"/>
    <s v="GIGANTE"/>
    <s v="GIGANTE"/>
    <n v="41306"/>
    <s v="2025-11-11"/>
    <e v="#N/A"/>
    <s v="NEIVA"/>
    <x v="3"/>
    <n v="28277.100000000002"/>
  </r>
  <r>
    <n v="43051"/>
    <s v="BARRIO CENTRO VENECIA"/>
    <n v="1069717168"/>
    <s v="3173327483"/>
    <s v="3173327483"/>
    <s v="3173327483"/>
    <s v="CR 6 2 72,CENTRO"/>
    <s v="2.3884358"/>
    <s v="-75.5453899"/>
    <s v="HUILA"/>
    <s v="GIGANTE"/>
    <s v="GIGANTE"/>
    <n v="41306"/>
    <s v="2025-11-11"/>
    <e v="#N/A"/>
    <s v="NEIVA"/>
    <x v="3"/>
    <n v="28277.100000000002"/>
  </r>
  <r>
    <n v="71738"/>
    <s v="BARRIO CORREGIMIENTTO DE APOSENTOS"/>
    <n v="900342127"/>
    <s v="3114809640"/>
    <s v="3143076033"/>
    <s v="3114809640"/>
    <s v="CL 5 CON CL 6 NO. 9 67,CENTRO PUERTO LOPEZ"/>
    <s v="4.0846709"/>
    <s v="-72.9583297"/>
    <s v="META"/>
    <s v="PUERTO LÓPEZ"/>
    <s v="PUERTO LÓPEZ"/>
    <n v="50573"/>
    <s v="2025-11-07"/>
    <e v="#N/A"/>
    <s v="VILLAVICENCIO"/>
    <x v="3"/>
    <n v="28277.100000000002"/>
  </r>
  <r>
    <n v="26464"/>
    <s v="BARRIO LA UNION SOACHA"/>
    <n v="19341983"/>
    <s v="3208851372"/>
    <s v="3208851372"/>
    <s v="3158339665"/>
    <s v="VRD PUEBLO NUEVO PUERTO LOPEZ SOBRE LA VIA PRINCIPAL - ZONA RURAL PUERTO LOPEZ META,PUEBLO NUEVO ZONA RURAL"/>
    <s v="4.3147992"/>
    <s v="-72.3406201"/>
    <s v="META"/>
    <s v="PUERTO LÓPEZ"/>
    <s v="PUERTO LÓPEZ"/>
    <n v="50573"/>
    <s v="2025-11-05"/>
    <e v="#N/A"/>
    <s v="VILLAVICENCIO"/>
    <x v="3"/>
    <n v="28277.100000000002"/>
  </r>
  <r>
    <n v="50773"/>
    <s v="BARRIO NOGAL VILLAVICENCIO"/>
    <n v="30030782"/>
    <s v="3222445614"/>
    <s v="3185801324"/>
    <s v="3185801324"/>
    <s v="VRD KM 77 VÍA PUERTO GAITÁN VDA GETSEMANÍ - ZONA RURAL PUERTO LOPEZ META,VEREDA GETSEMANÍ"/>
    <s v="4.3151778"/>
    <s v="-72.3372178"/>
    <s v="META"/>
    <s v="PUERTO LÓPEZ"/>
    <s v="PUERTO LÓPEZ"/>
    <n v="50573"/>
    <s v="2025-11-05"/>
    <n v="16"/>
    <s v="VILLAVICENCIO"/>
    <x v="3"/>
    <n v="28277.100000000002"/>
  </r>
  <r>
    <n v="49099"/>
    <s v="BARRIO CENTRO VILLAVICENCIO 7"/>
    <n v="900808260"/>
    <s v="3102635407"/>
    <s v="3102635407"/>
    <s v="3102635407"/>
    <s v="AV 14 10 32 BRR EL VERGEL LC 2"/>
    <s v="4.0993124"/>
    <s v="-72.9546234"/>
    <s v="META"/>
    <s v="PUERTO LÓPEZ"/>
    <s v="PUERTO LÓPEZ"/>
    <n v="50573"/>
    <s v="2025-11-07"/>
    <n v="8"/>
    <s v="VILLAVICENCIO"/>
    <x v="3"/>
    <n v="28277.100000000002"/>
  </r>
  <r>
    <n v="50122"/>
    <s v="BARRIO PORVENIR VILLAVICENCIO 3"/>
    <n v="40441051"/>
    <s v="3144095630"/>
    <s v="3144095630"/>
    <s v="3112773840"/>
    <s v="KM 77 PUERTO LÓPEZ - PUERTO GAITÁN - PUEBLO NUEVO,VEREDA PUEBLO NUEVO"/>
    <s v="4.3149288"/>
    <s v="-72.3405393"/>
    <s v="META"/>
    <s v="PUERTO LÓPEZ"/>
    <s v="PUERTO LÓPEZ"/>
    <n v="50573"/>
    <s v="2025-11-05"/>
    <n v="8"/>
    <s v="VILLAVICENCIO"/>
    <x v="3"/>
    <n v="28277.100000000002"/>
  </r>
  <r>
    <n v="76974"/>
    <s v="BARRIO VRD SAN BERNADRO BAJO LAS MERCEDES SASAIMA"/>
    <n v="19246761"/>
    <s v="3158339665"/>
    <s v="3173273335"/>
    <s v="3132696897"/>
    <s v="CR 19 DIAGONAL 6 A NRO. 11 - 15 - LA UNIÓN,LA UNIÓN"/>
    <s v="4.0845814"/>
    <s v="-72.9667222"/>
    <s v="META"/>
    <s v="PUERTO LÓPEZ"/>
    <s v="PUERTO LÓPEZ"/>
    <n v="50573"/>
    <s v="2025-11-07"/>
    <e v="#N/A"/>
    <s v="VILLAVICENCIO"/>
    <x v="3"/>
    <n v="28277.100000000002"/>
  </r>
  <r>
    <n v="77611"/>
    <s v="BARRIO CENTRO SASAIMA  3"/>
    <n v="1007560187"/>
    <s v="3115979977"/>
    <s v="3229451259"/>
    <s v="3229451259"/>
    <s v="CL 6 6 -16 PACHAQUIARO - ZONA RURAL PUERTO LOPEZ META,PACHAQUIARO ZONA RURAL"/>
    <s v="4.056599"/>
    <s v="-73.174503"/>
    <s v="META"/>
    <s v="PUERTO LÓPEZ"/>
    <s v="PUERTO LÓPEZ"/>
    <n v="50573"/>
    <s v="2025-11-07"/>
    <e v="#N/A"/>
    <s v="VILLAVICENCIO"/>
    <x v="3"/>
    <n v="28277.100000000002"/>
  </r>
  <r>
    <n v="76919"/>
    <s v="BARRIO MARANATA 1 SOACHA"/>
    <n v="79535093"/>
    <s v="3118090661"/>
    <s v="3118090661"/>
    <s v="3118090661"/>
    <s v="CL 6 6 55 AL RESPALDO PLAZA DE MERCADO,PACHAQUEARO"/>
    <s v="4.0574224"/>
    <s v="-73.1757279"/>
    <s v="META"/>
    <s v="PUERTO LÓPEZ"/>
    <s v="PUERTO LÓPEZ"/>
    <n v="50573"/>
    <s v="2025-11-06"/>
    <e v="#N/A"/>
    <s v="VILLAVICENCIO"/>
    <x v="3"/>
    <n v="28277.100000000002"/>
  </r>
  <r>
    <n v="75363"/>
    <s v="BARRIO HOGARES SOACHA 8"/>
    <n v="52762521"/>
    <s v="3115956879"/>
    <s v="3115956879"/>
    <s v="3115956879"/>
    <s v=" KILÓMETRO 59 VÍA GAITÁN SECTOR EL RODEO,"/>
    <s v="4.232995"/>
    <s v="-72.474842"/>
    <s v="META"/>
    <s v="PUERTO LÓPEZ"/>
    <s v="PUERTO LÓPEZ"/>
    <n v="50573"/>
    <s v="2025-11-06"/>
    <e v="#N/A"/>
    <s v="VILLAVICENCIO"/>
    <x v="3"/>
    <n v="28277.100000000002"/>
  </r>
  <r>
    <n v="72703"/>
    <s v="SOACHA LEON XIII 2"/>
    <n v="1012317448"/>
    <s v="3202059577"/>
    <s v="3202059577"/>
    <s v="3202059577"/>
    <s v="VIA PUERTO LÓPEZ - PUERTO GAITÁN KM 78,ZONA RURAL"/>
    <s v="4.3141257"/>
    <s v="-72.3421371"/>
    <s v="META"/>
    <s v="PUERTO LÓPEZ"/>
    <s v="PUERTO LÓPEZ"/>
    <n v="50573"/>
    <s v="2025-11-05"/>
    <e v="#N/A"/>
    <s v="VILLAVICENCIO"/>
    <x v="3"/>
    <n v="28277.100000000002"/>
  </r>
  <r>
    <n v="71902"/>
    <s v="SOACHA LEON XIII SECTOR 2"/>
    <n v="5885998"/>
    <s v="3208327840"/>
    <s v="3223309530"/>
    <s v="3208327840"/>
    <s v="VDA PUEBLO NUEVO KM 77 VIA PTO GAITÁN"/>
    <s v="4.3136124"/>
    <s v="-72.3434663"/>
    <s v="META"/>
    <s v="PUERTO LÓPEZ"/>
    <s v="PUERTO LÓPEZ"/>
    <n v="50573"/>
    <s v="2025-11-06"/>
    <e v="#N/A"/>
    <s v="VILLAVICENCIO"/>
    <x v="3"/>
    <n v="28277.100000000002"/>
  </r>
  <r>
    <n v="72151"/>
    <s v="SAN MATEO SOACHA CUNDINAMARCA 1"/>
    <n v="52765416"/>
    <s v="3112773840"/>
    <s v="3112773840"/>
    <s v="3144095630"/>
    <s v=" KM 60 VIA PTO LÓPEZ - PTO GAITÁN VDA EL TORO - ZONA RURAL PUERTO LÓPEZ META,VEREDA EL TORO"/>
    <s v="4.2332942"/>
    <s v="-72.4736514"/>
    <s v="META"/>
    <s v="PUERTO LÓPEZ"/>
    <s v="PUERTO LÓPEZ"/>
    <n v="50573"/>
    <s v="2025-11-06"/>
    <e v="#N/A"/>
    <s v="VILLAVICENCIO"/>
    <x v="3"/>
    <n v="28277.100000000002"/>
  </r>
  <r>
    <n v="37333"/>
    <s v="BARRIO ANILLO VIAL VILLAVICENCIO"/>
    <n v="900609933"/>
    <s v="3112716379"/>
    <s v="3112716379"/>
    <s v="3112716379"/>
    <s v="CL PRINCIPAL LOS PORTALES DEL FRAGUITA"/>
    <s v="1.187301"/>
    <s v="-76.148966"/>
    <s v="CAQUETÁ"/>
    <s v="SAN JOSÉ DEL FRAGUA"/>
    <s v="SAN JOSÉ DEL FRAGUA"/>
    <n v="18610"/>
    <s v="2025-11-11"/>
    <n v="8"/>
    <s v="NEIVA"/>
    <x v="3"/>
    <n v="28277.100000000002"/>
  </r>
  <r>
    <n v="39668"/>
    <s v="BARRIO BALATA VILLAVICENCIO 1"/>
    <n v="51609377"/>
    <s v="3116291078"/>
    <s v="3116291078"/>
    <s v="3116291078"/>
    <s v="CR 41 2 C 26,LA MARIA OCCIDENTE"/>
    <s v="2.4559750"/>
    <s v="-76.6331444"/>
    <s v="CAUCA"/>
    <s v="POPAYÁN"/>
    <s v="POPAYÁN"/>
    <n v="19001"/>
    <s v="2025-11-04"/>
    <n v="8"/>
    <s v="CALI"/>
    <x v="5"/>
    <n v="15709.5"/>
  </r>
  <r>
    <n v="34463"/>
    <s v="BARRIO ANTONIO VILLAVICENCIO"/>
    <n v="40383825"/>
    <s v="3108860359"/>
    <s v="3108860359"/>
    <s v="3108860359"/>
    <s v="CL 4 39A 08 BRR MARIA OCCIDENTE,LA MARIA OCCIDENTE"/>
    <s v="2.4543148"/>
    <s v="-76.6327406"/>
    <s v="CAUCA"/>
    <s v="POPAYÁN"/>
    <s v="POPAYÁN"/>
    <n v="19001"/>
    <s v="2025-11-04"/>
    <n v="16"/>
    <s v="CALI"/>
    <x v="5"/>
    <n v="15709.5"/>
  </r>
  <r>
    <n v="29694"/>
    <s v="BARRIO OLÍMPICO VILLAVICENCIO"/>
    <n v="3142415"/>
    <s v="3234799232"/>
    <s v="3234799232"/>
    <m/>
    <s v="CL 25 A 12 - 33,NUEVA FRONTERA"/>
    <s v="2.4299875"/>
    <s v="-76.6164323"/>
    <s v="CAUCA"/>
    <s v="POPAYÁN"/>
    <s v="POPAYÁN"/>
    <n v="19001"/>
    <s v="2025-11-04"/>
    <n v="8"/>
    <s v="CALI"/>
    <x v="5"/>
    <n v="15709.5"/>
  </r>
  <r>
    <n v="30658"/>
    <s v="BARRIO ESPERANZA 7"/>
    <n v="3142415"/>
    <s v="3223168746"/>
    <s v="3223168746"/>
    <m/>
    <s v="CR 25 A 24 26 BRR LAS ORQUIDEAS,LAS ORQUIDEAS"/>
    <s v="2.4399703"/>
    <s v="-76.6293718"/>
    <s v="CAUCA"/>
    <s v="POPAYÁN"/>
    <s v="POPAYÁN"/>
    <n v="19001"/>
    <s v="2025-11-04"/>
    <n v="8"/>
    <s v="CALI"/>
    <x v="5"/>
    <n v="15709.5"/>
  </r>
  <r>
    <n v="34201"/>
    <s v="BARRIO CENTRO VILLAVICENCIO META 3"/>
    <n v="17316426"/>
    <s v="3103230893"/>
    <s v="3102230893"/>
    <s v="3102230893"/>
    <s v="CL 4 22 93 LC 2 - PANDIGUANDO,PANDIGUANDO"/>
    <s v="2.4477344"/>
    <s v="-76.6196028"/>
    <s v="CAUCA"/>
    <s v="POPAYÁN"/>
    <s v="POPAYÁN"/>
    <n v="19001"/>
    <s v="2025-11-14"/>
    <n v="16"/>
    <s v="CALI"/>
    <x v="5"/>
    <n v="15709.5"/>
  </r>
  <r>
    <n v="33386"/>
    <s v="BARRIO REMANSO VILLAVICENCIO 1"/>
    <n v="40383825"/>
    <s v="3206219431"/>
    <s v="3206219431"/>
    <m/>
    <s v="VRD ANTOMORENO,VEREDA ANTOMORENO"/>
    <s v="2.4165321"/>
    <s v="-76.6235003"/>
    <s v="CAUCA"/>
    <s v="POPAYÁN"/>
    <s v="POPAYÁN"/>
    <n v="19001"/>
    <s v="2025-11-04"/>
    <n v="8"/>
    <s v="CALI"/>
    <x v="5"/>
    <n v="15709.5"/>
  </r>
  <r>
    <n v="31710"/>
    <s v="BARRIO HACARITAMA 2 VILLAVICENCIO"/>
    <n v="21237279"/>
    <s v="3146363933"/>
    <s v="3146363933"/>
    <s v="3146363933"/>
    <s v="CR 31 14 - 12 MIRADOR - EL MIRADOR,EL MIRADOR"/>
    <s v="2.4460098"/>
    <s v="-76.6288216"/>
    <s v="CAUCA"/>
    <s v="POPAYÁN"/>
    <s v="POPAYÁN"/>
    <n v="19001"/>
    <s v="2025-11-11"/>
    <n v="8"/>
    <s v="CALI"/>
    <x v="5"/>
    <n v="15709.5"/>
  </r>
  <r>
    <n v="66712"/>
    <s v="BARRIO SOACHA SAN LUIS SOACHA"/>
    <n v="1073700427"/>
    <s v="3107209487"/>
    <s v="3107209487"/>
    <s v="3107209487"/>
    <s v="CR 17 11B - 37 P 2,VERSALLES"/>
    <s v="2.4380156"/>
    <s v="-76.6162277"/>
    <s v="CAUCA"/>
    <s v="POPAYÁN"/>
    <s v="POPAYÁN"/>
    <n v="19001"/>
    <s v="2025-11-13"/>
    <e v="#N/A"/>
    <s v="CALI"/>
    <x v="5"/>
    <n v="15709.5"/>
  </r>
  <r>
    <n v="68734"/>
    <s v="BARRIO SAN MATEO SOACHA 21"/>
    <n v="1010191824"/>
    <s v="3212692205"/>
    <s v="3135389338"/>
    <s v="3212692205"/>
    <s v="CR 33 N 12 78,LA PAZ"/>
    <s v="5.0287086"/>
    <s v="-73.9832910"/>
    <s v="CUNDINAMARCA"/>
    <s v="ZIPAQUIRÁ"/>
    <s v="ZIPAQUIRÁ"/>
    <n v="25899"/>
    <s v="2025-11-19"/>
    <e v="#N/A"/>
    <s v="BOGOTA"/>
    <x v="4"/>
    <n v="15709.5"/>
  </r>
  <r>
    <n v="67120"/>
    <s v="BARRIO EL TREBOL SOACHA SOACHA"/>
    <n v="1012442224"/>
    <s v="3144589913"/>
    <s v="3144589913"/>
    <s v="3144589913"/>
    <s v="KM 7 VIA ZIPAQUIRÁ PACHO VDA SAN ISIDRO,VEREDA SAN ISIDRO"/>
    <s v="5.0328219"/>
    <s v="-74.0380316"/>
    <s v="CUNDINAMARCA"/>
    <s v="ZIPAQUIRÁ"/>
    <s v="ZIPAQUIRÁ"/>
    <n v="25899"/>
    <s v="2025-11-28"/>
    <e v="#N/A"/>
    <s v="BOGOTA"/>
    <x v="4"/>
    <n v="15709.5"/>
  </r>
  <r>
    <n v="67275"/>
    <s v="BARRIO CIUDAD VERDE SOACHA 7"/>
    <n v="80901565"/>
    <s v="3114450543"/>
    <s v="3115511010"/>
    <s v="3114450543"/>
    <s v="CRA 36 4 80,LA PAZ"/>
    <s v="5.0220195"/>
    <s v="-73.9834554"/>
    <s v="CUNDINAMARCA"/>
    <s v="ZIPAQUIRÁ"/>
    <s v="ZIPAQUIRÁ"/>
    <n v="25899"/>
    <s v="2025-11-19"/>
    <e v="#N/A"/>
    <s v="BOGOTA"/>
    <x v="4"/>
    <n v="15709.5"/>
  </r>
  <r>
    <n v="64547"/>
    <s v="BARRIO CIUDAD VERDE SOACHA SOACHA"/>
    <n v="80723993"/>
    <s v="8776724"/>
    <s v="3229345503"/>
    <s v="3143344131"/>
    <s v=" CL 19 51 09 LC 2"/>
    <s v="2.94098365"/>
    <s v="-75.24880249"/>
    <s v="HUILA"/>
    <s v="NEIVA"/>
    <s v="NEIVA"/>
    <n v="41001"/>
    <s v="2025-11-24"/>
    <e v="#N/A"/>
    <s v="NEIVA"/>
    <x v="3"/>
    <n v="28277.100000000002"/>
  </r>
  <r>
    <n v="27074"/>
    <s v="BARRIO QUINTAS DE LAS ACACIAS VILLAVICENCIO"/>
    <n v="20781621"/>
    <s v="3155433406"/>
    <s v="3155433406"/>
    <s v="3155433406"/>
    <s v="CR 7 12 43 LOCAL 6B ED LA CONCORDIA,CENTRO"/>
    <s v="2.9315696"/>
    <s v="-75.2881664"/>
    <s v="HUILA"/>
    <s v="NEIVA"/>
    <s v="NEIVA"/>
    <n v="41001"/>
    <s v="2025-11-21"/>
    <n v="16"/>
    <s v="NEIVA"/>
    <x v="3"/>
    <n v="28277.100000000002"/>
  </r>
  <r>
    <n v="27884"/>
    <s v="BARRIO VILLA MELIDA 2 - VILLAVICENCIO"/>
    <n v="1076326760"/>
    <s v="3133654035"/>
    <s v="3133654035"/>
    <m/>
    <s v="CR 20 16 A 22 SUR,TIMANCON III ESTAPA"/>
    <s v="2.9119142"/>
    <s v="-75.2764960"/>
    <s v="HUILA"/>
    <s v="NEIVA"/>
    <s v="NEIVA"/>
    <n v="41001"/>
    <s v="2025-11-21"/>
    <n v="8"/>
    <s v="NEIVA"/>
    <x v="3"/>
    <n v="28277.100000000002"/>
  </r>
  <r>
    <n v="31187"/>
    <s v="BARRIO BARZAL 10"/>
    <n v="40436796"/>
    <s v="3136446891"/>
    <s v="3117418842"/>
    <s v="3136446891"/>
    <s v="CR 6E 4E 47 LA LOMITA,LA LOMITA"/>
    <s v="2.4340523"/>
    <s v="-76.5981063"/>
    <s v="CAUCA"/>
    <s v="POPAYÁN"/>
    <s v="POPAYÁN"/>
    <n v="19001"/>
    <s v="2025-11-13"/>
    <n v="8"/>
    <s v="CALI"/>
    <x v="5"/>
    <n v="15709.5"/>
  </r>
  <r>
    <n v="17743"/>
    <s v="BARRIO COOPERATIVO VILLAVICENCIO"/>
    <n v="86088859"/>
    <s v="3017080459"/>
    <s v="3186062348"/>
    <s v="3017080459"/>
    <s v="MANZANA 26 NRO. 26 - 01 BRR TOMAS CIPRIANO DE MOSQUERA PISO 1 LOCAL 1,TOMAS CIPRIANO DE MOSQUERA"/>
    <s v="2.4440166"/>
    <s v="-76.6258624"/>
    <s v="CAUCA"/>
    <s v="POPAYÁN"/>
    <s v="POPAYÁN"/>
    <n v="19001"/>
    <s v="2025-11-13"/>
    <n v="8"/>
    <s v="CALI"/>
    <x v="5"/>
    <n v="15709.5"/>
  </r>
  <r>
    <n v="27075"/>
    <s v="BARRIO GUATIQUIA VILLAVICENCIO"/>
    <n v="20781621"/>
    <s v="3219787547"/>
    <s v="3219787547"/>
    <m/>
    <s v="CR 3 9 83 95 LC 102 GAITAN,GAITAN"/>
    <s v="4.2688897"/>
    <s v="-73.5402717"/>
    <s v="META"/>
    <s v="RESTREPO"/>
    <s v="RESTREPO"/>
    <n v="50606"/>
    <s v="2025-11-12"/>
    <n v="16"/>
    <s v="VILLAVICENCIO"/>
    <x v="3"/>
    <n v="28277.100000000002"/>
  </r>
  <r>
    <n v="29174"/>
    <s v="BARRIO VILLA ORTIZ VILLAVICENCIO"/>
    <n v="1121831929"/>
    <s v="6500562"/>
    <s v="3162976256"/>
    <s v="3162976256"/>
    <s v=" CR 4  4-22 GOLGOTA"/>
    <s v="1.3510866"/>
    <s v="-77.5236826"/>
    <s v="NARIÑO"/>
    <s v="LINARES"/>
    <s v="LINARES"/>
    <n v="52411"/>
    <s v="2025-11-11"/>
    <n v="8"/>
    <s v="PASTO"/>
    <x v="5"/>
    <n v="28277.100000000002"/>
  </r>
  <r>
    <n v="64082"/>
    <s v="BARRIO SOACHA SOACHA 12"/>
    <n v="1024500036"/>
    <s v="0"/>
    <s v="3205159892"/>
    <s v="3205159892"/>
    <s v="BRR GOLGOTA CL 3 CA 12 A"/>
    <s v="1.351135"/>
    <s v="-77.523262"/>
    <s v="NARIÑO"/>
    <s v="LINARES"/>
    <s v="LINARES"/>
    <n v="52411"/>
    <s v="2025-11-10"/>
    <e v="#N/A"/>
    <s v="PASTO"/>
    <x v="5"/>
    <n v="28277.100000000002"/>
  </r>
  <r>
    <n v="57241"/>
    <s v="BARRIO LEON XIII SOACHA 6"/>
    <n v="1043848739"/>
    <s v="3102287940"/>
    <s v="3150035671"/>
    <s v="3102287940"/>
    <s v="BRR GOLGOTA,BRR GOLGOTA"/>
    <s v="1.3490642"/>
    <s v="-77.5238033"/>
    <s v="NARIÑO"/>
    <s v="LINARES"/>
    <s v="LINARES"/>
    <n v="52411"/>
    <s v="2025-11-11"/>
    <e v="#N/A"/>
    <s v="PASTO"/>
    <x v="5"/>
    <n v="28277.100000000002"/>
  </r>
  <r>
    <n v="48371"/>
    <s v="BARRIO SOACHA CIUDAD VERDE SOACHA 1"/>
    <n v="1023881117"/>
    <s v="3176797045"/>
    <s v="3176797045"/>
    <s v="3176797045"/>
    <s v="CL 8 N 3-15,EL TRIUNFO"/>
    <s v="7.9312699"/>
    <s v="-72.6024658"/>
    <s v="NORTE DE SANTANDER"/>
    <s v="EL ZULIA"/>
    <s v="EL ZULIA"/>
    <n v="54261"/>
    <s v="2025-11-19"/>
    <e v="#N/A"/>
    <s v="CUCUTA"/>
    <x v="2"/>
    <n v="28277.100000000002"/>
  </r>
  <r>
    <n v="49558"/>
    <s v="BARRIO SOACHA LAS VEGAS SOACHA"/>
    <n v="52474006"/>
    <s v="3215892401"/>
    <s v="3215892401"/>
    <s v="3215892401"/>
    <s v="CA 10 APT 1,FRANCISCO DE PAULA"/>
    <s v="7.9354970"/>
    <s v="-72.6049743"/>
    <s v="NORTE DE SANTANDER"/>
    <s v="EL ZULIA"/>
    <s v="EL ZULIA"/>
    <n v="54261"/>
    <s v="2025-11-19"/>
    <e v="#N/A"/>
    <s v="CUCUTA"/>
    <x v="2"/>
    <n v="28277.100000000002"/>
  </r>
  <r>
    <n v="17974"/>
    <s v="BARRIO CENTRO VII- VILLAVICENCIO"/>
    <n v="52427938"/>
    <s v="3186538703"/>
    <s v="3186538703"/>
    <s v="3105526522"/>
    <s v="CL 1 NO 9 36,ALFONSO LOPEZ"/>
    <s v="7.9389360"/>
    <s v="-72.6045398"/>
    <s v="NORTE DE SANTANDER"/>
    <s v="EL ZULIA"/>
    <s v="EL ZULIA"/>
    <n v="54261"/>
    <s v="2025-11-19"/>
    <n v="8"/>
    <s v="CUCUTA"/>
    <x v="2"/>
    <n v="28277.100000000002"/>
  </r>
  <r>
    <n v="23433"/>
    <s v="BARRIO SANANTONIO - VILLAVICENCIO"/>
    <n v="40333015"/>
    <s v="3024037068"/>
    <s v="3024037068"/>
    <m/>
    <s v="CL 52 1 W 06,CHICALA"/>
    <s v="2.9569138"/>
    <s v="-75.2972824"/>
    <s v="HUILA"/>
    <s v="NEIVA"/>
    <s v="NEIVA"/>
    <n v="41001"/>
    <s v="2025-11-21"/>
    <n v="16"/>
    <s v="NEIVA"/>
    <x v="3"/>
    <n v="28277.100000000002"/>
  </r>
  <r>
    <n v="77136"/>
    <s v="BARRIO CAMILO TORRES GRANADA 9"/>
    <n v="86014420"/>
    <s v="3168269362"/>
    <s v="3219698695"/>
    <s v="3168269362"/>
    <s v="CL 50 22 95,SAN VALENTIN"/>
    <s v="2.9573094"/>
    <s v="-75.2801205"/>
    <s v="HUILA"/>
    <s v="NEIVA"/>
    <s v="NEIVA"/>
    <n v="41001"/>
    <s v="2025-11-18"/>
    <e v="#N/A"/>
    <s v="NEIVA"/>
    <x v="3"/>
    <n v="28277.100000000002"/>
  </r>
  <r>
    <n v="35979"/>
    <s v="BARRIO SAN MATEO SOACHA 3"/>
    <n v="1073669849"/>
    <s v="3167206933"/>
    <s v="3167206933"/>
    <s v="3167206933"/>
    <s v="CR 50 20 07,MISAEL PASTRANA"/>
    <s v="2.9415462"/>
    <s v="-75.2503630"/>
    <s v="HUILA"/>
    <s v="NEIVA"/>
    <s v="NEIVA"/>
    <n v="41001"/>
    <s v="2025-11-18"/>
    <e v="#N/A"/>
    <s v="NEIVA"/>
    <x v="3"/>
    <n v="28277.100000000002"/>
  </r>
  <r>
    <n v="27151"/>
    <s v="BARRIO OLIVOS III SECTOR SOACHA"/>
    <n v="1012427286"/>
    <s v="3165196655"/>
    <s v="3165196655"/>
    <s v="3165196655"/>
    <s v="CR 5 23 74,SEVILLA"/>
    <s v="2.9388053"/>
    <s v="-75.2931677"/>
    <s v="HUILA"/>
    <s v="NEIVA"/>
    <s v="NEIVA"/>
    <n v="41001"/>
    <s v="2025-11-21"/>
    <e v="#N/A"/>
    <s v="NEIVA"/>
    <x v="3"/>
    <n v="28277.100000000002"/>
  </r>
  <r>
    <n v="68124"/>
    <s v="SECTOR PEDREGAL CHACHAGÜÍ"/>
    <n v="2000010749"/>
    <s v="3112327008"/>
    <s v="3112327008"/>
    <s v="3112327008"/>
    <s v="MERCANEIVA LC 0493 ,ZONA INDUSTRIAL"/>
    <s v="2.8943430"/>
    <s v="-75.2825581"/>
    <s v="HUILA"/>
    <s v="NEIVA"/>
    <s v="NEIVA"/>
    <n v="41001"/>
    <s v="2025-11-21"/>
    <e v="#N/A"/>
    <s v="NEIVA"/>
    <x v="3"/>
    <n v="28277.100000000002"/>
  </r>
  <r>
    <n v="68125"/>
    <s v="CENTRO CHACHAGUI NARIÑO"/>
    <n v="2000010749"/>
    <s v="3112714958"/>
    <s v="3112714958"/>
    <s v="3142183678"/>
    <s v="CL 6 16 A 17,CALIXTO LEIVA"/>
    <s v="2.9286982"/>
    <s v="-75.2777961"/>
    <s v="HUILA"/>
    <s v="NEIVA"/>
    <s v="NEIVA"/>
    <n v="41001"/>
    <s v="2025-11-18"/>
    <e v="#N/A"/>
    <s v="NEIVA"/>
    <x v="3"/>
    <n v="28277.100000000002"/>
  </r>
  <r>
    <n v="12800"/>
    <s v="BARRIO CEIBA"/>
    <n v="900576569"/>
    <s v="3102634742"/>
    <s v="3102634742"/>
    <s v="3102634742"/>
    <s v="CL 55 A 2 AW - 45,CANDIDO LEGUIZAMO"/>
    <s v="2.957034"/>
    <s v="-75.298373"/>
    <s v="HUILA"/>
    <s v="NEIVA"/>
    <s v="NEIVA"/>
    <n v="41001"/>
    <s v="2025-11-24"/>
    <n v="8"/>
    <s v="NEIVA"/>
    <x v="3"/>
    <n v="28277.100000000002"/>
  </r>
  <r>
    <n v="79374"/>
    <s v="BARRIO PARQUE BOLIVAR CONTADADERO"/>
    <n v="901452181"/>
    <s v="3175455920"/>
    <s v="3153154693"/>
    <s v="3175455920"/>
    <s v="CR 16 41 72 CC SAN JUAN PLAZA LC 219,ALAMOS NORTE"/>
    <s v="2.955654"/>
    <s v="-75.280385"/>
    <s v="HUILA"/>
    <s v="NEIVA"/>
    <s v="NEIVA"/>
    <n v="41001"/>
    <s v="2025-11-24"/>
    <e v="#N/A"/>
    <s v="NEIVA"/>
    <x v="3"/>
    <n v="28277.100000000002"/>
  </r>
  <r>
    <n v="77616"/>
    <s v="BARRIO GUAIMARAL CUCUTA 10"/>
    <n v="91248525"/>
    <s v="3183184409"/>
    <s v="3183184409"/>
    <s v="3183184409"/>
    <s v="CL 49 C SUR37 170 TORRE 25 APTO 104,PRADOS DEL SAUCE"/>
    <s v="2.8873513"/>
    <s v="-75.2511661"/>
    <s v="HUILA"/>
    <s v="NEIVA"/>
    <s v="NEIVA"/>
    <n v="41001"/>
    <s v="2025-11-18"/>
    <n v="8"/>
    <s v="NEIVA"/>
    <x v="3"/>
    <n v="28277.100000000002"/>
  </r>
  <r>
    <n v="78377"/>
    <s v="BARRIO BOCONO CUCUTA 2"/>
    <n v="37292139"/>
    <s v="3158861236"/>
    <s v="3158861236"/>
    <s v="3158861236"/>
    <s v="CL 56 B 17 - 71 LOCAL 2,CONDOMINIO RESIDENCIAL AMARANTO CLUB"/>
    <s v="2.9586160"/>
    <s v="-75.2871921"/>
    <s v="HUILA"/>
    <s v="NEIVA"/>
    <s v="NEIVA"/>
    <n v="41001"/>
    <s v="2025-11-24"/>
    <n v="8"/>
    <s v="NEIVA"/>
    <x v="3"/>
    <n v="28277.100000000002"/>
  </r>
  <r>
    <n v="78423"/>
    <s v="BARRIO BELEN CUCUTA 7"/>
    <n v="901743549"/>
    <s v="3132438564"/>
    <s v="3132438564"/>
    <s v="3132438564"/>
    <s v="CR 17 35 28,GUALANDAY"/>
    <s v="2.192466"/>
    <s v="-75.636559"/>
    <s v="HUILA"/>
    <s v="NEIVA"/>
    <s v="NEIVA"/>
    <n v="41001"/>
    <s v="2025-11-27"/>
    <n v="8"/>
    <s v="NEIVA"/>
    <x v="3"/>
    <n v="28277.100000000002"/>
  </r>
  <r>
    <n v="78348"/>
    <s v="BARRIO PRADOS DEL NORTE CUCUTA 4"/>
    <n v="1193479180"/>
    <s v="3108119746"/>
    <s v="3108119746"/>
    <s v="3503598349"/>
    <s v="CL 25 6 12 JOSE EUSTACIO RIVERA"/>
    <s v="2.954268"/>
    <s v="-75.283395"/>
    <s v="HUILA"/>
    <s v="NEIVA"/>
    <s v="NEIVA"/>
    <n v="41001"/>
    <s v="2025-11-27"/>
    <n v="8"/>
    <s v="NEIVA"/>
    <x v="3"/>
    <n v="28277.100000000002"/>
  </r>
  <r>
    <n v="77958"/>
    <s v="BARRIO SAN RAFAEL CUCUTA  5"/>
    <n v="1127344093"/>
    <s v="3133907871"/>
    <s v="3133907871"/>
    <s v="3133907871"/>
    <s v="CL 55 4 W 46,CARLOS PIZARRO"/>
    <s v="2.9591988"/>
    <s v="-75.2995807"/>
    <s v="HUILA"/>
    <s v="NEIVA"/>
    <s v="NEIVA"/>
    <n v="41001"/>
    <s v="2025-11-27"/>
    <n v="8"/>
    <s v="NEIVA"/>
    <x v="3"/>
    <n v="28277.100000000002"/>
  </r>
  <r>
    <n v="77664"/>
    <s v="BARRIO PARAMO CUCUTA 3"/>
    <n v="60364124"/>
    <m/>
    <s v="3188601647"/>
    <s v="3188601647"/>
    <s v="CL 70 A N 8 C 92,SAN EDUARDO"/>
    <s v="2.4810158"/>
    <s v="-76.5626645"/>
    <s v="CAUCA"/>
    <s v="POPAYÁN"/>
    <s v="POPAYÁN"/>
    <n v="19001"/>
    <s v="2025-11-12"/>
    <n v="8"/>
    <s v="CALI"/>
    <x v="5"/>
    <n v="15709.5"/>
  </r>
  <r>
    <n v="31689"/>
    <s v="BARRIO CENTRO 2 SÁCHICA"/>
    <n v="1030550769"/>
    <m/>
    <s v="3116602641"/>
    <s v="3116602641"/>
    <s v=" CR 9 5. 42 CENTRO"/>
    <s v="2.4417407"/>
    <s v="-76.6087823"/>
    <s v="CAUCA"/>
    <s v="POPAYÁN"/>
    <s v="POPAYÁN"/>
    <n v="19001"/>
    <s v="2025-11-13"/>
    <n v="16"/>
    <s v="CALI"/>
    <x v="5"/>
    <n v="15709.5"/>
  </r>
  <r>
    <n v="50461"/>
    <s v="BARRIO CENTRO SACHICA 1"/>
    <n v="1079869"/>
    <s v="8367549"/>
    <s v="3202199442"/>
    <s v="3202199442"/>
    <s v=" KM 22 AU MEDELLIN VRD TIERRA GRATA"/>
    <s v="4.8514819"/>
    <s v="-74.2744612"/>
    <s v="CUNDINAMARCA"/>
    <s v="EL ROSAL"/>
    <s v="EL ROSAL"/>
    <n v="25260"/>
    <s v="2025-11-07"/>
    <e v="#N/A"/>
    <s v="BOGOTA"/>
    <x v="4"/>
    <n v="15709.5"/>
  </r>
  <r>
    <n v="34783"/>
    <s v=" BARRIO VDA TIBAQUIRA   "/>
    <n v="901064892"/>
    <m/>
    <s v="3208333892"/>
    <s v="3208333892"/>
    <s v="CLL 11A Nº 6- 33 L C 3"/>
    <s v="4.8543284"/>
    <s v="-74.2615800"/>
    <s v="CUNDINAMARCA"/>
    <s v="EL ROSAL"/>
    <s v="EL ROSAL"/>
    <n v="25260"/>
    <s v="2025-11-07"/>
    <e v="#N/A"/>
    <s v="BOGOTA"/>
    <x v="4"/>
    <n v="15709.5"/>
  </r>
  <r>
    <n v="65867"/>
    <s v="BARRIO VERDA SALAMANCA SAMACA"/>
    <n v="1056799210"/>
    <s v="0"/>
    <s v="3128156608"/>
    <s v="3128157608"/>
    <s v="VRD EL ROSARIO ALTO FCA SANTA ELENA"/>
    <s v="4.6678109"/>
    <s v="-74.3850154"/>
    <s v="CUNDINAMARCA"/>
    <s v="TENA"/>
    <s v="TENA"/>
    <n v="25797"/>
    <s v="2025-11-27"/>
    <e v="#N/A"/>
    <s v="BOGOTA"/>
    <x v="4"/>
    <n v="15709.5"/>
  </r>
  <r>
    <n v="71002"/>
    <s v="BARRIO CENTRO SAMACA 6"/>
    <n v="1052397766"/>
    <s v="8789381"/>
    <s v="3125454176"/>
    <s v="3125454176"/>
    <s v=" CL 3  3 28"/>
    <s v="5.1188071"/>
    <s v="-74.3454938"/>
    <s v="CUNDINAMARCA"/>
    <s v="VERGARA"/>
    <s v="VERGARA"/>
    <n v="25862"/>
    <s v="2025-11-25"/>
    <e v="#N/A"/>
    <s v="BOGOTA"/>
    <x v="4"/>
    <n v="15709.5"/>
  </r>
  <r>
    <n v="55146"/>
    <s v="BARRIO CENTRO TUTA 3"/>
    <n v="901471813"/>
    <s v="0"/>
    <s v="3103292137"/>
    <s v="3103292137"/>
    <s v="CR 3 # 2 - 08 BRR SAN PEDRO"/>
    <s v="5.1180315"/>
    <s v="-74.3458071"/>
    <s v="CUNDINAMARCA"/>
    <s v="VERGARA"/>
    <s v="VERGARA"/>
    <n v="25862"/>
    <s v="2025-11-25"/>
    <e v="#N/A"/>
    <s v="BOGOTA"/>
    <x v="4"/>
    <n v="15709.5"/>
  </r>
  <r>
    <n v="81175"/>
    <s v="BARRIO VEREDA RIO DE PIEDRAS TUTA"/>
    <n v="7180978"/>
    <s v="0"/>
    <s v="3107977908"/>
    <s v="3107977908"/>
    <s v="CL 2 3 49"/>
    <s v="5.1182565"/>
    <s v="-74.3454319"/>
    <s v="CUNDINAMARCA"/>
    <s v="VERGARA"/>
    <s v="VERGARA"/>
    <n v="25862"/>
    <s v="2025-11-25"/>
    <e v="#N/A"/>
    <s v="BOGOTA"/>
    <x v="4"/>
    <n v="15709.5"/>
  </r>
  <r>
    <n v="74779"/>
    <s v="BARRIO SAN LUIS CUCUTA 27"/>
    <n v="1092357348"/>
    <s v="0"/>
    <s v="3105808496"/>
    <s v="3142441242"/>
    <s v="CRA 6 A NO 1 - 19,SANTO DOMINGO"/>
    <s v="5.1192886"/>
    <s v="-74.3441949"/>
    <s v="CUNDINAMARCA"/>
    <s v="VERGARA"/>
    <s v="VERGARA"/>
    <n v="25862"/>
    <s v="2025-11-25"/>
    <n v="8"/>
    <s v="BOGOTA"/>
    <x v="4"/>
    <n v="15709.5"/>
  </r>
  <r>
    <n v="13693"/>
    <s v="SECTOR NOGALES"/>
    <n v="1051820090"/>
    <s v="3135629833"/>
    <s v="3135629833"/>
    <s v="3135629833"/>
    <s v="CLE 2 NO 4 60,CENTRO"/>
    <s v="5.1188781"/>
    <s v="-74.3449129"/>
    <s v="CUNDINAMARCA"/>
    <s v="VERGARA"/>
    <s v="VERGARA"/>
    <n v="25862"/>
    <s v="2025-11-25"/>
    <n v="8"/>
    <s v="BOGOTA"/>
    <x v="4"/>
    <n v="15709.5"/>
  </r>
  <r>
    <n v="74337"/>
    <s v="BARRIO LA LIBERTAD CUCUTA 22"/>
    <n v="901584620"/>
    <s v="8389939"/>
    <s v="3212044050"/>
    <s v="3212044050"/>
    <s v=" CR 4 CL 5 A ESQ"/>
    <s v="3.222475"/>
    <s v="-75.236699"/>
    <s v="HUILA"/>
    <s v="AIPE"/>
    <s v="AIPE"/>
    <n v="41016"/>
    <s v="2025-11-20"/>
    <n v="8"/>
    <s v="NEIVA"/>
    <x v="3"/>
    <n v="28277.100000000002"/>
  </r>
  <r>
    <n v="74281"/>
    <s v="BARRIO CALLEJON CUCUTA 15"/>
    <n v="1092350546"/>
    <s v="3118534071"/>
    <s v="3113602786"/>
    <s v="3113602786"/>
    <s v="VRD 1 - 1 VEREDA LA UNIÓN,VEREDA LA UNIÓN"/>
    <s v="3.2022377"/>
    <s v="-75.5737359"/>
    <s v="HUILA"/>
    <s v="AIPE"/>
    <s v="AIPE"/>
    <n v="41016"/>
    <s v="2025-11-20"/>
    <n v="8"/>
    <s v="NEIVA"/>
    <x v="3"/>
    <n v="28277.100000000002"/>
  </r>
  <r>
    <n v="23039"/>
    <s v="BARRIO SIMÓN BOLÍVAR - SOGAMOSO"/>
    <n v="9396871"/>
    <s v="3208460382"/>
    <s v="3208460382"/>
    <s v="3208460382"/>
    <s v="CL 4 3 - 79,CENTRO"/>
    <s v="3.221263"/>
    <s v="-75.236610"/>
    <s v="HUILA"/>
    <s v="AIPE"/>
    <s v="AIPE"/>
    <n v="41016"/>
    <s v="2025-11-20"/>
    <e v="#N/A"/>
    <s v="NEIVA"/>
    <x v="3"/>
    <n v="28277.100000000002"/>
  </r>
  <r>
    <n v="78618"/>
    <s v="BARRIO UNIVERSITARIO SOGAMOSO 7"/>
    <n v="1007343084"/>
    <s v="3132239608"/>
    <s v="3132239608"/>
    <m/>
    <s v="CR 6 4 35,CENTRO"/>
    <s v="2.5235913"/>
    <s v="-75.3156105"/>
    <s v="HUILA"/>
    <s v="ALGECIRAS"/>
    <s v="ALGECIRAS"/>
    <n v="41020"/>
    <s v="2025-11-12"/>
    <e v="#N/A"/>
    <s v="NEIVA"/>
    <x v="3"/>
    <n v="28277.100000000002"/>
  </r>
  <r>
    <n v="53829"/>
    <s v="BARRIO EL LAGUITO SOGAMOSO 3"/>
    <n v="900624919"/>
    <s v="3103478200"/>
    <s v="3103478200"/>
    <s v="3103478200"/>
    <s v="CR 6 6 23,CENTRO"/>
    <s v="2.5242948"/>
    <s v="-75.3147733"/>
    <s v="HUILA"/>
    <s v="ALGECIRAS"/>
    <s v="ALGECIRAS"/>
    <n v="41020"/>
    <s v="2025-11-12"/>
    <e v="#N/A"/>
    <s v="NEIVA"/>
    <x v="3"/>
    <n v="28277.100000000002"/>
  </r>
  <r>
    <n v="74275"/>
    <s v="BARRIO ALFONSO LOPEZ CUCUTA 7"/>
    <n v="1128130814"/>
    <s v="3214475512"/>
    <s v="3214475512"/>
    <s v="3214475512"/>
    <s v="CR 5 2 03,CENTRO"/>
    <s v="2.5230817"/>
    <s v="-75.3182317"/>
    <s v="HUILA"/>
    <s v="ALGECIRAS"/>
    <s v="ALGECIRAS"/>
    <n v="41020"/>
    <s v="2025-11-12"/>
    <n v="8"/>
    <s v="NEIVA"/>
    <x v="3"/>
    <n v="28277.100000000002"/>
  </r>
  <r>
    <n v="75193"/>
    <s v="BARRIO SAN LUIS CUCUTA 28"/>
    <n v="37511588"/>
    <s v="3143242562"/>
    <s v="3143242562"/>
    <s v="3143242562"/>
    <s v="CL 6 8-08,JUAN XXI"/>
    <s v="2.522318"/>
    <s v="-75.312806"/>
    <s v="HUILA"/>
    <s v="ALGECIRAS"/>
    <s v="ALGECIRAS"/>
    <n v="41020"/>
    <s v="2025-11-12"/>
    <n v="8"/>
    <s v="NEIVA"/>
    <x v="3"/>
    <n v="28277.100000000002"/>
  </r>
  <r>
    <n v="72611"/>
    <s v="SEVILLA CUCUTA 3"/>
    <n v="37273830"/>
    <s v="3123278956"/>
    <s v="3123278956"/>
    <s v="3123278956"/>
    <s v="CL 2 CR 6 BRR CENTRO INSPECCIÓN PALMERAS"/>
    <s v="3.915995"/>
    <s v="-73.235003"/>
    <s v="META"/>
    <s v="SAN CARLOS DE GUAROA"/>
    <s v="SAN CARLOS DE GUAROA"/>
    <n v="50680"/>
    <s v="2025-11-11"/>
    <n v="8"/>
    <s v="VILLAVICENCIO"/>
    <x v="3"/>
    <n v="28277.100000000002"/>
  </r>
  <r>
    <n v="72612"/>
    <s v="BARRIO NUEVO HORIZONTE CUCUTA 3"/>
    <n v="60402106"/>
    <s v="3134766197"/>
    <s v="3108808658"/>
    <s v="3134766197"/>
    <s v="CL 2 CRA 4 INSPECCION LA PALMERA - ZONA RURAL SAN CARLOS DE GUAROBA,INSPECCIÓN LA PALMERA"/>
    <s v="3.9163290"/>
    <s v="-73.2358341"/>
    <s v="META"/>
    <s v="SAN CARLOS DE GUAROA"/>
    <s v="SAN CARLOS DE GUAROA"/>
    <n v="50680"/>
    <s v="2025-11-11"/>
    <n v="8"/>
    <s v="VILLAVICENCIO"/>
    <x v="3"/>
    <n v="28277.100000000002"/>
  </r>
  <r>
    <n v="53870"/>
    <s v="BARRIO SAN RAFAEL SOGAMOSO"/>
    <n v="1065853944"/>
    <s v="3182649776"/>
    <s v="3182649776"/>
    <s v="3138142479"/>
    <s v="CR 42 -71 INSPECCIÓN PALMERAS,ZONA RURAL SAN CARLOS DE GUAROBA"/>
    <s v="3.9164386"/>
    <s v="-73.2365986"/>
    <s v="META"/>
    <s v="SAN CARLOS DE GUAROA"/>
    <s v="SAN CARLOS DE GUAROA"/>
    <n v="50680"/>
    <s v="2025-11-11"/>
    <e v="#N/A"/>
    <s v="VILLAVICENCIO"/>
    <x v="3"/>
    <n v="28277.100000000002"/>
  </r>
  <r>
    <n v="55432"/>
    <s v="BARRIO EL LAGUITO SOGAMOSO 4"/>
    <n v="1065853944"/>
    <s v="3153525206"/>
    <s v="3166607067"/>
    <s v="3168728357"/>
    <s v="VRD INSPECCIÓN SURIMENA - ZONA RURAL SAN CARLOS DE GUAROA,INSPECCIÓN SURIMENA"/>
    <s v="3.859705"/>
    <s v="-73.314787"/>
    <s v="META"/>
    <s v="SAN CARLOS DE GUAROA"/>
    <s v="SAN CARLOS DE GUAROA"/>
    <n v="50680"/>
    <s v="2025-11-27"/>
    <e v="#N/A"/>
    <s v="VILLAVICENCIO"/>
    <x v="3"/>
    <n v="28277.100000000002"/>
  </r>
  <r>
    <n v="50296"/>
    <s v="BARRIO GUSTAVO JIMENEZ SOGAMOSO 1"/>
    <n v="9396871"/>
    <s v="3103160028"/>
    <s v="3103160028"/>
    <s v="3208340254"/>
    <s v="VRD INSPECCIÓN RINCÓN DE PAJURE - ZONA RURAL SAN CARLOS DE GUAROA,INSPECCIÓN RINCÓN DE PAJURE"/>
    <s v="3.890488"/>
    <s v="-73.125962"/>
    <s v="META"/>
    <s v="SAN CARLOS DE GUAROA"/>
    <s v="SAN CARLOS DE GUAROA"/>
    <n v="50680"/>
    <s v="2025-11-27"/>
    <e v="#N/A"/>
    <s v="VILLAVICENCIO"/>
    <x v="3"/>
    <n v="28277.100000000002"/>
  </r>
  <r>
    <n v="47020"/>
    <s v="BARRIO UNIVERSITARIO SOGAMOSO 2"/>
    <n v="51911307"/>
    <s v="3116918181"/>
    <s v="3213035828"/>
    <s v="3116918181"/>
    <s v="ESQ PARQUE PRINCIPAL BARRIO PROGRESO,PROGRESO"/>
    <s v="1.472852"/>
    <s v="-77.5798499"/>
    <s v="NARIÑO"/>
    <s v="LA LLANADA"/>
    <s v="LA LLANADA"/>
    <n v="52385"/>
    <s v="2025-11-11"/>
    <n v="16"/>
    <s v="PASTO"/>
    <x v="5"/>
    <n v="28277.100000000002"/>
  </r>
  <r>
    <n v="72904"/>
    <s v="BARRIO RAFAEL NUÑEZ CUCUTA 1"/>
    <n v="88267282"/>
    <s v="3154346757"/>
    <s v="3112344143"/>
    <s v="3154346757"/>
    <s v="CR 5 6 09 B/SAN FRANCISCO,SAN FRANCISCO"/>
    <s v="1.4786191"/>
    <s v="-77.5815685"/>
    <s v="NARIÑO"/>
    <s v="LA LLANADA"/>
    <s v="LA LLANADA"/>
    <n v="52385"/>
    <s v="2025-11-11"/>
    <n v="8"/>
    <s v="PASTO"/>
    <x v="5"/>
    <n v="28277.100000000002"/>
  </r>
  <r>
    <n v="72058"/>
    <s v="BARRIO EL LLANO CUCUTA 13"/>
    <n v="88263528"/>
    <s v="5552127"/>
    <s v="3108720803"/>
    <s v="3108720803"/>
    <s v=" AV 10 16 24"/>
    <s v="7.827482940232154"/>
    <s v="-72.5118858868464"/>
    <s v="NORTE DE SANTANDER"/>
    <s v="LOS PATIOS"/>
    <s v="LOS PATIOS"/>
    <n v="54405"/>
    <s v="2025-11-28"/>
    <n v="8"/>
    <s v="CUCUTA"/>
    <x v="2"/>
    <n v="28277.100000000002"/>
  </r>
  <r>
    <n v="71336"/>
    <s v="BARRIO LA NUEVA SEXTA CUCUTA "/>
    <n v="91429851"/>
    <s v="3234104669"/>
    <s v="3234104669"/>
    <s v="3234104669"/>
    <s v="AV 10 12 30,ONCE DE NOVIEMBRE"/>
    <s v="7.8241678"/>
    <s v="-72.5129989"/>
    <s v="NORTE DE SANTANDER"/>
    <s v="LOS PATIOS"/>
    <s v="LOS PATIOS"/>
    <n v="54405"/>
    <s v="2025-11-24"/>
    <n v="16"/>
    <s v="CUCUTA"/>
    <x v="2"/>
    <n v="28277.100000000002"/>
  </r>
  <r>
    <n v="70841"/>
    <s v="BARRIO URB PRADOS DEL NORTE CUCUTA 10"/>
    <n v="68296631"/>
    <s v="3167626155"/>
    <s v="3167626155"/>
    <s v="3167626155"/>
    <s v="KDX 6 2,RECTA COROZAL"/>
    <s v="7.7326718"/>
    <s v="-72.5552988"/>
    <s v="NORTE DE SANTANDER"/>
    <s v="LOS PATIOS"/>
    <s v="LOS PATIOS"/>
    <n v="54405"/>
    <s v="2025-11-19"/>
    <n v="8"/>
    <s v="CUCUTA"/>
    <x v="2"/>
    <n v="28277.100000000002"/>
  </r>
  <r>
    <n v="69176"/>
    <s v="BARRIO URB SAN MARTIN CUCUTA"/>
    <n v="1090417626"/>
    <s v="3156511123"/>
    <s v="3156511123"/>
    <s v="3016718357"/>
    <s v="AV 10 MZ 0 LC 19 CC LA CAMPIÑA,URB LA CAMPIÑA"/>
    <s v="7.8179184"/>
    <s v="-72.5154217"/>
    <s v="NORTE DE SANTANDER"/>
    <s v="LOS PATIOS"/>
    <s v="LOS PATIOS"/>
    <n v="54405"/>
    <s v="2025-11-05"/>
    <n v="8"/>
    <s v="CUCUTA"/>
    <x v="2"/>
    <n v="28277.100000000002"/>
  </r>
  <r>
    <n v="69231"/>
    <s v="BARRIO SAN MARTIN CUCUTA 3"/>
    <n v="1090417626"/>
    <s v="6050962"/>
    <s v="3132350020"/>
    <s v="3143719794"/>
    <s v=" CL 24 A 49 37"/>
    <s v="2.9451385"/>
    <s v="-75.2530159"/>
    <s v="HUILA"/>
    <s v="NEIVA"/>
    <s v="NEIVA"/>
    <n v="41001"/>
    <s v="2025-11-28"/>
    <n v="8"/>
    <s v="NEIVA"/>
    <x v="3"/>
    <n v="28277.100000000002"/>
  </r>
  <r>
    <n v="69908"/>
    <s v="BARRIO SANTANDER CUCUTA 2"/>
    <n v="88250291"/>
    <s v="8760619"/>
    <s v="3007357505"/>
    <s v="3007357505"/>
    <s v=" CL 67 1 78"/>
    <s v="2.9650819"/>
    <s v="-75.2950509"/>
    <s v="HUILA"/>
    <s v="NEIVA"/>
    <s v="NEIVA"/>
    <n v="41001"/>
    <s v="2025-11-28"/>
    <n v="8"/>
    <s v="NEIVA"/>
    <x v="3"/>
    <n v="28277.100000000002"/>
  </r>
  <r>
    <n v="75085"/>
    <s v="BARRIO EL SOCORRO BUESACO 1"/>
    <n v="1084221711"/>
    <s v="8713779"/>
    <s v="3237879733"/>
    <s v="3214189981"/>
    <s v=" CR 4 3 29"/>
    <s v="2.923088"/>
    <s v="-75.288411"/>
    <s v="HUILA"/>
    <s v="NEIVA"/>
    <s v="NEIVA"/>
    <n v="41001"/>
    <s v="2025-11-28"/>
    <e v="#N/A"/>
    <s v="NEIVA"/>
    <x v="3"/>
    <n v="28277.100000000002"/>
  </r>
  <r>
    <n v="42903"/>
    <s v="BARRIO CALLE LA CRUZ FILANDIA"/>
    <n v="901088792"/>
    <s v="8719891"/>
    <s v="3102293210"/>
    <s v="3102293210"/>
    <s v=" CL 6 4 49"/>
    <s v="2.925161"/>
    <s v="-75.288673"/>
    <s v="HUILA"/>
    <s v="NEIVA"/>
    <s v="NEIVA"/>
    <n v="41001"/>
    <s v="2025-11-28"/>
    <e v="#N/A"/>
    <s v="NEIVA"/>
    <x v="3"/>
    <n v="28277.100000000002"/>
  </r>
  <r>
    <n v="33450"/>
    <s v="BARRIO SIMON BOLIVAR SOGAMOSO"/>
    <n v="1065853944"/>
    <s v="3112941685"/>
    <s v="3112941685"/>
    <m/>
    <s v="CL 29 3 58,LA CORDIALIDAD"/>
    <s v="7.8365977"/>
    <s v="-72.5035049"/>
    <s v="NORTE DE SANTANDER"/>
    <s v="LOS PATIOS"/>
    <s v="LOS PATIOS"/>
    <n v="54405"/>
    <s v="2025-11-24"/>
    <e v="#N/A"/>
    <s v="CUCUTA"/>
    <x v="2"/>
    <n v="28277.100000000002"/>
  </r>
  <r>
    <n v="22633"/>
    <s v="BARRIO CENTRO XIII - SOGAMOSO"/>
    <n v="1052385991"/>
    <s v="3102234864"/>
    <s v="3043478063"/>
    <s v="3043478063"/>
    <s v="CL 27 3 57 APTO 101,LA CORDIALIDAD"/>
    <s v="7.836615465004341"/>
    <s v=" -72.49892444850259"/>
    <s v="NORTE DE SANTANDER"/>
    <s v="LOS PATIOS"/>
    <s v="LOS PATIOS"/>
    <n v="54405"/>
    <s v="2025-11-27"/>
    <e v="#N/A"/>
    <s v="CUCUTA"/>
    <x v="2"/>
    <n v="28277.100000000002"/>
  </r>
  <r>
    <n v="73272"/>
    <s v="BARRIO CENTRO TINJACA 3"/>
    <n v="1057215949"/>
    <s v="3156685838"/>
    <s v="3144766559"/>
    <s v="3144766559"/>
    <s v="CL 22 B 3 98 LC 2,TASAJERO"/>
    <s v="7.831796952404172"/>
    <s v=" -72.505310104322"/>
    <s v="NORTE DE SANTANDER"/>
    <s v="LOS PATIOS"/>
    <s v="LOS PATIOS"/>
    <n v="54405"/>
    <s v="2025-11-20"/>
    <e v="#N/A"/>
    <s v="CUCUTA"/>
    <x v="2"/>
    <n v="28277.100000000002"/>
  </r>
  <r>
    <n v="76086"/>
    <s v="BARRIO CENTRO TINJACA 4"/>
    <n v="1054095799"/>
    <s v="3163887351"/>
    <s v="3163887351"/>
    <s v="3163887351"/>
    <s v="AV 9 NRO. 5C - 06 LC 3,URB SAN NICOLÁS 2"/>
    <s v="7.8186304"/>
    <s v="-72.5138397"/>
    <s v="NORTE DE SANTANDER"/>
    <s v="LOS PATIOS"/>
    <s v="LOS PATIOS"/>
    <n v="54405"/>
    <s v="2025-11-24"/>
    <e v="#N/A"/>
    <s v="CUCUTA"/>
    <x v="2"/>
    <n v="28277.100000000002"/>
  </r>
  <r>
    <n v="78071"/>
    <s v="BARRIO PLAYA BLANCA TOTA"/>
    <n v="79976498"/>
    <s v="3163887351"/>
    <s v="3163887351"/>
    <s v="3163887351"/>
    <s v="AV 10 NRO. 18 - 20 A,ONCE DE NOVIEMBRE"/>
    <s v="7.8292045"/>
    <s v="-72.5113581"/>
    <s v="NORTE DE SANTANDER"/>
    <s v="LOS PATIOS"/>
    <s v="LOS PATIOS"/>
    <n v="54405"/>
    <s v="2025-11-24"/>
    <e v="#N/A"/>
    <s v="CUCUTA"/>
    <x v="2"/>
    <n v="28277.100000000002"/>
  </r>
  <r>
    <n v="33823"/>
    <s v="BARRIO CENTRO CHINCHINA 2"/>
    <n v="890807047"/>
    <s v="3163887351"/>
    <s v="3163887351"/>
    <s v="3163887351"/>
    <s v="AV 4 NRO. 34 - 33 LO. 1,LA SABANA"/>
    <s v="7.8420794"/>
    <s v="-72.5023490"/>
    <s v="NORTE DE SANTANDER"/>
    <s v="LOS PATIOS"/>
    <s v="LOS PATIOS"/>
    <n v="54405"/>
    <s v="2025-11-21"/>
    <e v="#N/A"/>
    <s v="CUCUTA"/>
    <x v="2"/>
    <n v="28277.100000000002"/>
  </r>
  <r>
    <n v="33112"/>
    <s v="BARRIO CENTRO CHINCHINA"/>
    <n v="890807047"/>
    <s v="3163887351"/>
    <s v="3163887351"/>
    <s v="3233155763"/>
    <s v="AV 10 NRO. 25B - 29,PATIOS CENTRO"/>
    <s v="7.8360008"/>
    <s v="-72.5093711"/>
    <s v="NORTE DE SANTANDER"/>
    <s v="LOS PATIOS"/>
    <s v="LOS PATIOS"/>
    <n v="54405"/>
    <s v="2025-11-24"/>
    <e v="#N/A"/>
    <s v="CUCUTA"/>
    <x v="2"/>
    <n v="28277.100000000002"/>
  </r>
  <r>
    <n v="42416"/>
    <s v="BARRIO CHINCHINA CHINCHINA"/>
    <n v="890306372"/>
    <s v="0"/>
    <s v="3015625108"/>
    <s v="3015625108"/>
    <s v="AV 10 16-40,ONCE DE NOVIEMBRE"/>
    <s v="7.8285697"/>
    <s v="-72.5115209"/>
    <s v="NORTE DE SANTANDER"/>
    <s v="LOS PATIOS"/>
    <s v="LOS PATIOS"/>
    <n v="54405"/>
    <s v="2025-11-28"/>
    <e v="#N/A"/>
    <s v="CUCUTA"/>
    <x v="2"/>
    <n v="28277.100000000002"/>
  </r>
  <r>
    <n v="67374"/>
    <s v="BARRIO URB PRADOS DEL NORTE CUCUTA 9"/>
    <n v="37327907"/>
    <s v="0"/>
    <s v="3007685812"/>
    <s v="3007685812"/>
    <s v="AV 1E 28-19,LA CORDIALIDAD"/>
    <s v="7.834766022499206"/>
    <s v="-72.49933933315805"/>
    <s v="NORTE DE SANTANDER"/>
    <s v="LOS PATIOS"/>
    <s v="LOS PATIOS"/>
    <n v="54405"/>
    <s v="2025-11-28"/>
    <n v="8"/>
    <s v="CUCUTA"/>
    <x v="2"/>
    <n v="28277.100000000002"/>
  </r>
  <r>
    <n v="15400"/>
    <s v="BARRIO CENTRO IV - SEVILLA"/>
    <n v="70546407"/>
    <s v="0"/>
    <s v="3004414216"/>
    <s v="3004414216"/>
    <s v="AV 9 26-04 LOCAL 1,PATIOS CENTRO"/>
    <s v="7.8355805"/>
    <s v="-72.5082055"/>
    <s v="NORTE DE SANTANDER"/>
    <s v="LOS PATIOS"/>
    <s v="LOS PATIOS"/>
    <n v="54405"/>
    <s v="2025-11-20"/>
    <n v="8"/>
    <s v="CUCUTA"/>
    <x v="2"/>
    <n v="28277.100000000002"/>
  </r>
  <r>
    <n v="80015"/>
    <s v="BARRIO CONSOLATA FLORENCIA  6"/>
    <n v="17641131"/>
    <s v="0"/>
    <s v="3223531577"/>
    <s v="3223531577"/>
    <s v="AV 4 3B 53,URB ISCALIGUA II"/>
    <s v="7.816937845913552"/>
    <s v="-72.51217059083059"/>
    <s v="NORTE DE SANTANDER"/>
    <s v="LOS PATIOS"/>
    <s v="LOS PATIOS"/>
    <n v="54405"/>
    <s v="2025-11-21"/>
    <n v="8"/>
    <s v="CUCUTA"/>
    <x v="2"/>
    <n v="28277.100000000002"/>
  </r>
  <r>
    <n v="63373"/>
    <s v="BARRIO VALLESTER CUCUTA"/>
    <n v="37273830"/>
    <s v="0"/>
    <s v="3116459730"/>
    <s v="3116459730"/>
    <s v="MZ 30 LOTE 4-29,VIDELSO"/>
    <s v="7.82483697"/>
    <s v="-72.514015000"/>
    <s v="NORTE DE SANTANDER"/>
    <s v="LOS PATIOS"/>
    <s v="LOS PATIOS"/>
    <n v="54405"/>
    <s v="2025-11-21"/>
    <n v="8"/>
    <s v="CUCUTA"/>
    <x v="2"/>
    <n v="28277.100000000002"/>
  </r>
  <r>
    <n v="63458"/>
    <s v="BARRIO TRIGAL DEL NORTE CUCUTA 5"/>
    <n v="60402106"/>
    <s v="0"/>
    <s v="0"/>
    <s v="3233155763"/>
    <s v="AV 10 31-80,BRR PATIOS CENTRO"/>
    <s v="7.81737"/>
    <s v="-72.515312"/>
    <s v="NORTE DE SANTANDER"/>
    <s v="LOS PATIOS"/>
    <s v="LOS PATIOS"/>
    <n v="54405"/>
    <s v="2025-11-20"/>
    <n v="16"/>
    <s v="CUCUTA"/>
    <x v="2"/>
    <n v="28277.100000000002"/>
  </r>
  <r>
    <n v="60852"/>
    <s v="BARRIO DOÑA NIDIA CUCUTA 2"/>
    <n v="901309622"/>
    <s v="5704708"/>
    <s v="3133811343"/>
    <s v="3133811343"/>
    <s v="MZ E LT 87 LC 1,URB VILLA ANSEP"/>
    <s v="7.8179007"/>
    <s v="-72.5151122"/>
    <s v="NORTE DE SANTANDER"/>
    <s v="LOS PATIOS"/>
    <s v="LOS PATIOS"/>
    <n v="54405"/>
    <s v="2025-11-28"/>
    <n v="8"/>
    <s v="CUCUTA"/>
    <x v="2"/>
    <n v="28277.100000000002"/>
  </r>
  <r>
    <n v="60853"/>
    <s v="BARRIO NUEVO HORIZONTE CUCUTA 1"/>
    <n v="901309622"/>
    <s v="5781820"/>
    <s v="3108629626"/>
    <s v="3108629626"/>
    <s v="LT 1B CRISTAL 1,URB LA FLORESTA"/>
    <s v="7.8573253"/>
    <s v="-72.4973393"/>
    <s v="NORTE DE SANTANDER"/>
    <s v="LOS PATIOS"/>
    <s v="LOS PATIOS"/>
    <n v="54405"/>
    <s v="2025-11-21"/>
    <n v="8"/>
    <s v="CUCUTA"/>
    <x v="2"/>
    <n v="28277.100000000002"/>
  </r>
  <r>
    <n v="62336"/>
    <s v="BARRIO QUINTA ORIENTAL CUCUTA 9"/>
    <n v="1093784505"/>
    <s v="8200067"/>
    <s v="3124663418"/>
    <s v="3124663418"/>
    <s v=" CL PRINCIPAL"/>
    <s v="2.26814"/>
    <s v="-74.58197"/>
    <s v="META"/>
    <s v="LA MACARENA"/>
    <s v="LA MACARENA"/>
    <n v="50350"/>
    <s v="2025-11-28"/>
    <n v="8"/>
    <s v="VILLAVICENCIO"/>
    <x v="3"/>
    <n v="28277.100000000002"/>
  </r>
  <r>
    <n v="61168"/>
    <s v="BARRIO LA PLAYA CUCUTA 9"/>
    <n v="900469704"/>
    <s v="6069566"/>
    <s v="3143311123"/>
    <s v="3143311123"/>
    <s v=" CR 7 CL 5 ESQ"/>
    <s v="2.182307"/>
    <s v="-73.78532"/>
    <s v="META"/>
    <s v="LA MACARENA"/>
    <s v="LA MACARENA"/>
    <n v="50350"/>
    <s v="2025-11-26"/>
    <n v="8"/>
    <s v="VILLAVICENCIO"/>
    <x v="3"/>
    <n v="28277.100000000002"/>
  </r>
  <r>
    <n v="10276"/>
    <s v="BARRIO GUAYABAL"/>
    <n v="70165770"/>
    <s v="6870135"/>
    <s v="3232065468"/>
    <s v="3203023151"/>
    <s v=" CR 4 9 98 LOS CRISTALES"/>
    <s v="2.180008"/>
    <s v="-73.783302"/>
    <s v="META"/>
    <s v="LA MACARENA"/>
    <s v="LA MACARENA"/>
    <n v="50350"/>
    <s v="2025-11-27"/>
    <n v="16"/>
    <s v="VILLAVICENCIO"/>
    <x v="3"/>
    <n v="28277.100000000002"/>
  </r>
  <r>
    <n v="13893"/>
    <s v="BARRIO BUENOS AIRES V - MEDELLIN"/>
    <n v="43543460"/>
    <s v="6870135"/>
    <s v="3232065468"/>
    <s v="3203023151"/>
    <s v=" CR 4 9 98  LOS CRISTALES"/>
    <s v="2.180023"/>
    <s v="-73.783981"/>
    <s v="META"/>
    <s v="LA MACARENA"/>
    <s v="LA MACARENA"/>
    <n v="50350"/>
    <s v="2025-11-27"/>
    <n v="8"/>
    <s v="VILLAVICENCIO"/>
    <x v="3"/>
    <n v="28277.100000000002"/>
  </r>
  <r>
    <n v="79675"/>
    <s v="BARRIO GUAYABAL MEDELLIN  13"/>
    <n v="43988468"/>
    <m/>
    <s v="3202944654"/>
    <s v="3202944654"/>
    <s v=" CR 8 3 45"/>
    <s v="2.184035"/>
    <s v="-73.787246"/>
    <s v="META"/>
    <s v="LA MACARENA"/>
    <s v="LA MACARENA"/>
    <n v="50350"/>
    <s v="2025-11-27"/>
    <n v="8"/>
    <s v="VILLAVICENCIO"/>
    <x v="3"/>
    <n v="28277.100000000002"/>
  </r>
  <r>
    <n v="59849"/>
    <s v="BARRIO NIÑA CECI CUCUTA 4"/>
    <n v="1010108311"/>
    <s v="0"/>
    <s v="3204523245"/>
    <s v="3204523245"/>
    <s v="CL 6 N 7 69,CENTRO"/>
    <s v="2.182881"/>
    <s v="-73.786985"/>
    <s v="META"/>
    <s v="LA MACARENA"/>
    <s v="LA MACARENA"/>
    <n v="50350"/>
    <s v="2025-11-28"/>
    <n v="8"/>
    <s v="VILLAVICENCIO"/>
    <x v="3"/>
    <n v="28277.100000000002"/>
  </r>
  <r>
    <n v="61055"/>
    <s v="BARRIO ALONSITO CUCUTA"/>
    <n v="901302092"/>
    <s v="0"/>
    <s v="3118750700"/>
    <s v="3143896890"/>
    <s v="CR 7 N 6 - 32,CENTRO"/>
    <s v="2.1825495"/>
    <s v="-73.7862410"/>
    <s v="META"/>
    <s v="LA MACARENA"/>
    <s v="LA MACARENA"/>
    <n v="50350"/>
    <s v="2025-11-27"/>
    <n v="8"/>
    <s v="VILLAVICENCIO"/>
    <x v="3"/>
    <n v="28277.100000000002"/>
  </r>
  <r>
    <n v="57800"/>
    <s v="BARRIO AEROPUERTO CUCUTA 9"/>
    <n v="88256139"/>
    <s v="3146678442"/>
    <s v="3143378442"/>
    <s v="3143378442"/>
    <s v="CR 7 7 27,CENTRO"/>
    <s v="2.181940"/>
    <s v="-73.786118"/>
    <s v="META"/>
    <s v="LA MACARENA"/>
    <s v="LA MACARENA"/>
    <n v="50350"/>
    <s v="2025-11-27"/>
    <n v="8"/>
    <s v="VILLAVICENCIO"/>
    <x v="3"/>
    <n v="28277.100000000002"/>
  </r>
  <r>
    <n v="57801"/>
    <s v="BARRIO RAFAEL NUÑEZ CUCUTA"/>
    <n v="88267282"/>
    <s v="3144456581"/>
    <s v="3144456581"/>
    <s v="3144456581"/>
    <s v="CL 10 11 38,BRR LAS COLINAS"/>
    <s v="2.177709"/>
    <s v="-73.790411"/>
    <s v="META"/>
    <s v="LA MACARENA"/>
    <s v="LA MACARENA"/>
    <n v="50350"/>
    <s v="2025-11-27"/>
    <n v="8"/>
    <s v="VILLAVICENCIO"/>
    <x v="3"/>
    <n v="28277.100000000002"/>
  </r>
  <r>
    <n v="56733"/>
    <s v="BARRIO MOTILONES CUCUTA 10"/>
    <n v="17689210"/>
    <s v="3229492636"/>
    <s v="3229492636"/>
    <s v="3229492636"/>
    <s v="CL 5 7 50,CENTRO"/>
    <s v="2.183563"/>
    <s v="-73.786820"/>
    <s v="META"/>
    <s v="LA MACARENA"/>
    <s v="LA MACARENA"/>
    <n v="50350"/>
    <s v="2025-11-28"/>
    <n v="8"/>
    <s v="VILLAVICENCIO"/>
    <x v="3"/>
    <n v="28277.100000000002"/>
  </r>
  <r>
    <n v="57385"/>
    <s v="BARRIO AEROPUERTO CUCUTA 8"/>
    <n v="1090405165"/>
    <s v="3164971517"/>
    <s v="3164971517"/>
    <s v="3006737211"/>
    <s v="CL 8 KDX 37,FUERA DEL MUNICIPIO DE SAN CAYETANO"/>
    <s v="7.90668119"/>
    <s v="-72.63837946"/>
    <s v="NORTE DE SANTANDER"/>
    <s v="SAN CAYETANO"/>
    <s v="SAN CAYETANO"/>
    <n v="54673"/>
    <s v="2025-11-19"/>
    <n v="8"/>
    <s v="CUCUTA"/>
    <x v="2"/>
    <n v="28277.100000000002"/>
  </r>
  <r>
    <n v="54462"/>
    <s v="BARRIO MINUTO DE  DIOS CUCUTA"/>
    <n v="1090442723"/>
    <s v="6050962"/>
    <s v="3135413054"/>
    <s v="3135413054"/>
    <s v=" CR 4 4 89"/>
    <s v="6.31304709"/>
    <s v="-73.9476408"/>
    <s v="SANTANDER"/>
    <s v="CIMITARRA"/>
    <s v="CIMITARRA"/>
    <n v="68190"/>
    <s v="2025-11-11"/>
    <n v="8"/>
    <s v="BUCARAMANGA"/>
    <x v="2"/>
    <n v="15709.5"/>
  </r>
  <r>
    <n v="14827"/>
    <s v="BARRIO LAS AMERICAS IV POPAYAN"/>
    <n v="900490352"/>
    <s v="3214581649"/>
    <s v="3214581649"/>
    <s v="3214581649"/>
    <s v="CL 10 NRO 0-16 PISO 1,EL TRIUNFO"/>
    <s v="7.9292998"/>
    <s v="-72.6009140"/>
    <s v="NORTE DE SANTANDER"/>
    <s v="EL ZULIA"/>
    <s v="EL ZULIA"/>
    <n v="54261"/>
    <s v="2025-11-19"/>
    <n v="8"/>
    <s v="CUCUTA"/>
    <x v="2"/>
    <n v="28277.100000000002"/>
  </r>
  <r>
    <n v="79335"/>
    <s v="BARRIO ANDA LUCIA LA FRANCIA MEDELLIN"/>
    <n v="1037610706"/>
    <s v="3155473996"/>
    <s v="3155473996"/>
    <s v="3155473996"/>
    <s v="CR 5 6A 32,CENTRO"/>
    <s v="7.3753516"/>
    <s v="-72.6495018"/>
    <s v="NORTE DE SANTANDER"/>
    <s v="PAMPLONA"/>
    <s v="PAMPLONA"/>
    <n v="54518"/>
    <s v="2025-11-13"/>
    <n v="8"/>
    <s v="CUCUTA"/>
    <x v="2"/>
    <n v="28277.100000000002"/>
  </r>
  <r>
    <n v="76333"/>
    <s v="BARRIO VILLA HERMOSA MEDELLIN  4"/>
    <n v="1037975475"/>
    <s v="3124571979"/>
    <s v="3124571979"/>
    <s v="3124571979"/>
    <s v="CL 4 5 71,CENTRO"/>
    <s v="7.3777129"/>
    <s v="-72.6472482"/>
    <s v="NORTE DE SANTANDER"/>
    <s v="PAMPLONA"/>
    <s v="PAMPLONA"/>
    <n v="54518"/>
    <s v="2025-11-13"/>
    <n v="8"/>
    <s v="CUCUTA"/>
    <x v="2"/>
    <n v="28277.100000000002"/>
  </r>
  <r>
    <n v="76077"/>
    <s v="BARRIO BELEN LA PALMA MEDELLIN  3"/>
    <n v="901345153"/>
    <s v="3204438399"/>
    <s v="3204438399"/>
    <s v="3204438399"/>
    <s v="CR 3 NRO 4-48,EL GUAMO"/>
    <s v="7.3791708693708955"/>
    <s v="-72.64980112392372"/>
    <s v="NORTE DE SANTANDER"/>
    <s v="PAMPLONA"/>
    <s v="PAMPLONA"/>
    <n v="54518"/>
    <s v="2025-11-13"/>
    <n v="8"/>
    <s v="CUCUTA"/>
    <x v="2"/>
    <n v="28277.100000000002"/>
  </r>
  <r>
    <n v="54085"/>
    <s v="BARRIO PARAMO CUCUTA 2"/>
    <n v="88264206"/>
    <s v="3207279905"/>
    <s v="3207279905"/>
    <s v="3136198645"/>
    <s v="VRD LA MARIA CA 18 24,LA MARIA"/>
    <s v="4.5315309"/>
    <s v="-75.6623573"/>
    <s v="QUINDÍO"/>
    <s v="CALARCÁ"/>
    <s v="CALARCÁ"/>
    <n v="63130"/>
    <s v="2025-11-10"/>
    <n v="8"/>
    <s v="PEREIRA"/>
    <x v="6"/>
    <n v="15709.5"/>
  </r>
  <r>
    <n v="54090"/>
    <s v="BARRIO MARIA GRACIA CUCUTA 1"/>
    <n v="1093742309"/>
    <s v="3208278605"/>
    <s v="3208278605"/>
    <s v="3208278605"/>
    <s v="MZ A CA 8 LA HUERTA,LA HUERTA"/>
    <s v="4.5152000"/>
    <s v="-75.6439414"/>
    <s v="QUINDÍO"/>
    <s v="CALARCÁ"/>
    <s v="CALARCÁ"/>
    <n v="63130"/>
    <s v="2025-11-10"/>
    <n v="8"/>
    <s v="PEREIRA"/>
    <x v="6"/>
    <n v="15709.5"/>
  </r>
  <r>
    <n v="53534"/>
    <s v="BARRIO URB CEIBA II CUCUTA 2"/>
    <n v="1090476322"/>
    <s v="6140663"/>
    <s v="3124494679"/>
    <s v="3124494679"/>
    <s v=" CR 3  2-23 CABECERA MUNICIPAL"/>
    <s v="6.69758082"/>
    <s v="-73.51243613"/>
    <s v="SANTANDER"/>
    <s v="EL CARMEN DE CHUCURÍ"/>
    <s v="EL CARMEN DE CHUCURÍ"/>
    <n v="68235"/>
    <s v="2025-11-05"/>
    <n v="8"/>
    <s v="BUCARAMANGA"/>
    <x v="2"/>
    <n v="15709.5"/>
  </r>
  <r>
    <n v="53414"/>
    <s v="BARRIO CENTRO CUCUTA 10"/>
    <n v="1093803053"/>
    <s v="6837593"/>
    <s v="3178946323"/>
    <s v="3178946323"/>
    <s v=" CR 7  10-68"/>
    <s v="6.6982412"/>
    <s v="-73.5111734"/>
    <s v="SANTANDER"/>
    <s v="EL CARMEN DE CHUCURÍ"/>
    <s v="EL CARMEN DE CHUCURÍ"/>
    <n v="68235"/>
    <s v="2025-11-05"/>
    <n v="16"/>
    <s v="BUCARAMANGA"/>
    <x v="2"/>
    <n v="15709.5"/>
  </r>
  <r>
    <n v="51430"/>
    <s v="BARRIO LA LIBERTAD CUCUTA 9"/>
    <n v="37277961"/>
    <s v="7465100"/>
    <s v="3105334206"/>
    <s v="3105334206"/>
    <s v=" CL 5 3 30"/>
    <s v="6.69816134"/>
    <s v="-73.51272828"/>
    <s v="SANTANDER"/>
    <s v="EL CARMEN DE CHUCURÍ"/>
    <s v="EL CARMEN DE CHUCURÍ"/>
    <n v="68235"/>
    <s v="2025-11-04"/>
    <n v="8"/>
    <s v="BUCARAMANGA"/>
    <x v="2"/>
    <n v="15709.5"/>
  </r>
  <r>
    <n v="50858"/>
    <s v="BARRIO LA RIVIERA CUCUTA 2"/>
    <n v="900576569"/>
    <s v="6706704"/>
    <s v="3124432327"/>
    <s v="3124432327"/>
    <s v=" CL 3 6 10"/>
    <s v="6.69935932"/>
    <s v="-73.5136514"/>
    <s v="SANTANDER"/>
    <s v="EL CARMEN DE CHUCURÍ"/>
    <s v="EL CARMEN DE CHUCURÍ"/>
    <n v="68235"/>
    <s v="2025-11-04"/>
    <n v="8"/>
    <s v="BUCARAMANGA"/>
    <x v="2"/>
    <n v="15709.5"/>
  </r>
  <r>
    <n v="73715"/>
    <s v="BARRIO ENCISO MEDELLIN 20"/>
    <n v="8417090"/>
    <s v="3125227137"/>
    <s v="3125686410"/>
    <s v="3125686410"/>
    <s v="CL 2 NO. 5 - 21 BRR CENTRO"/>
    <s v="6.70350558"/>
    <s v="-73.50888035"/>
    <s v="SANTANDER"/>
    <s v="EL CARMEN DE CHUCURÍ"/>
    <s v="EL CARMEN DE CHUCURÍ"/>
    <n v="68235"/>
    <s v="2025-11-05"/>
    <n v="8"/>
    <s v="BUCARAMANGA"/>
    <x v="2"/>
    <n v="15709.5"/>
  </r>
  <r>
    <n v="49789"/>
    <s v="BARRIO EL LLANO CUCUTA 9"/>
    <n v="1004942973"/>
    <s v="3015991804"/>
    <s v="3015991804"/>
    <s v="3134895207"/>
    <s v="CL 5 2 08 CENTRO,CENTRO"/>
    <s v="6.6982412"/>
    <s v="-73.5111734"/>
    <s v="SANTANDER"/>
    <s v="EL CARMEN DE CHUCURÍ"/>
    <s v="EL CARMEN DE CHUCURÍ"/>
    <n v="68235"/>
    <s v="2025-11-04"/>
    <n v="8"/>
    <s v="BUCARAMANGA"/>
    <x v="2"/>
    <n v="15709.5"/>
  </r>
  <r>
    <n v="47310"/>
    <s v="BARRIO EL CENTRO CUCUTA 43"/>
    <n v="13338147"/>
    <s v="3102645047"/>
    <s v="3102645047"/>
    <s v="3123415142"/>
    <s v="CR 4 2 2 ESQUINA"/>
    <s v="6.6981332"/>
    <s v="-73.5121423"/>
    <s v="SANTANDER"/>
    <s v="EL CARMEN DE CHUCURÍ"/>
    <s v="EL CARMEN DE CHUCURÍ"/>
    <n v="68235"/>
    <s v="2025-11-04"/>
    <n v="8"/>
    <s v="BUCARAMANGA"/>
    <x v="2"/>
    <n v="15709.5"/>
  </r>
  <r>
    <n v="46038"/>
    <s v="BARRIO EL ESCOBAL CUCUTA 2"/>
    <n v="901273287"/>
    <s v="3546598"/>
    <s v="338168292"/>
    <s v="3138168298"/>
    <s v=" SEC ONCE DE MAEZO"/>
    <s v="6.0560150"/>
    <s v="-73.8152570"/>
    <s v="SANTANDER"/>
    <s v="EL PEÑÓN"/>
    <s v="EL PEÑÓN"/>
    <n v="68250"/>
    <s v="2025-11-06"/>
    <n v="8"/>
    <s v="BUCARAMANGA"/>
    <x v="2"/>
    <n v="15709.5"/>
  </r>
  <r>
    <n v="46410"/>
    <s v="BARRIO URB GARCIA HERREROS I CUCUTA 1"/>
    <n v="1090437851"/>
    <s v="7019657"/>
    <s v="3103210274"/>
    <s v="3103210274"/>
    <s v=" SEC ONCE DE MARZO"/>
    <s v="6.0553350"/>
    <s v="-73.8145709"/>
    <s v="SANTANDER"/>
    <s v="EL PEÑÓN"/>
    <s v="EL PEÑÓN"/>
    <n v="68250"/>
    <s v="2025-11-06"/>
    <n v="8"/>
    <s v="BUCARAMANGA"/>
    <x v="2"/>
    <n v="15709.5"/>
  </r>
  <r>
    <n v="46237"/>
    <s v="BARRIO URB TORCOROMA III CUCUTA"/>
    <n v="1090482642"/>
    <s v="3142238038"/>
    <s v="3142238038"/>
    <s v="3142238038"/>
    <s v="CR 21 22 124 VILLA CAMPESTRE 3,VILLA CAMPESTRE 3"/>
    <s v="7.064343"/>
    <s v="-73.166731"/>
    <s v="SANTANDER"/>
    <s v="GIRÓN"/>
    <s v="GIRÓN"/>
    <n v="68307"/>
    <s v="2025-11-26"/>
    <n v="8"/>
    <s v="BUCARAMANGA"/>
    <x v="2"/>
    <n v="15709.5"/>
  </r>
  <r>
    <n v="73503"/>
    <s v="BARRIO PASAJE COMERC LA BOLSA  MEDELLIN"/>
    <n v="901566263"/>
    <s v="3174364806"/>
    <s v="3174364806"/>
    <s v="3174364806"/>
    <s v="CR 5 7 20 CENTRO,CENTRO"/>
    <s v="6.3135901"/>
    <s v="-73.9493067"/>
    <s v="SANTANDER"/>
    <s v="CIMITARRA"/>
    <s v="CIMITARRA"/>
    <n v="68190"/>
    <s v="2025-11-11"/>
    <n v="16"/>
    <s v="BUCARAMANGA"/>
    <x v="2"/>
    <n v="15709.5"/>
  </r>
  <r>
    <n v="73028"/>
    <s v="BARRIO ENCISO MEDELLIN 19"/>
    <n v="1152206259"/>
    <s v="315 8855996"/>
    <s v="3158855996"/>
    <s v="3158855996"/>
    <s v="CR 5 7 93 CENTRO,CENTRO"/>
    <s v="6.31463999"/>
    <s v="-73.95011276"/>
    <s v="SANTANDER"/>
    <s v="CIMITARRA"/>
    <s v="CIMITARRA"/>
    <n v="68190"/>
    <s v="2025-11-11"/>
    <n v="8"/>
    <s v="BUCARAMANGA"/>
    <x v="2"/>
    <n v="15709.5"/>
  </r>
  <r>
    <n v="71078"/>
    <s v="MEDELLON LA MILAGROSA"/>
    <n v="901234354"/>
    <s v="3123348121"/>
    <s v="3123348121"/>
    <s v="3123348121"/>
    <s v="CR 3 A 4 99 LOCAL 1,CENTRO"/>
    <s v="6.3131050"/>
    <s v="-73.9480167"/>
    <s v="SANTANDER"/>
    <s v="CIMITARRA"/>
    <s v="CIMITARRA"/>
    <n v="68190"/>
    <s v="2025-11-10"/>
    <n v="8"/>
    <s v="BUCARAMANGA"/>
    <x v="2"/>
    <n v="15709.5"/>
  </r>
  <r>
    <n v="71462"/>
    <s v="BARRIO BELEN RINCON 1"/>
    <n v="15271369"/>
    <s v="3203540001"/>
    <s v="3203540001"/>
    <s v="3203540001"/>
    <s v="CR 4 7 15,CENTRO"/>
    <s v="6.31446"/>
    <s v="-73.94921"/>
    <s v="SANTANDER"/>
    <s v="CIMITARRA"/>
    <s v="CIMITARRA"/>
    <n v="68190"/>
    <s v="2025-11-11"/>
    <n v="16"/>
    <s v="BUCARAMANGA"/>
    <x v="2"/>
    <n v="15709.5"/>
  </r>
  <r>
    <n v="69282"/>
    <s v="ARANJUEZ MEDELLIN ANTIOQUIA"/>
    <n v="901522985"/>
    <s v="3123648871"/>
    <s v="3123648871"/>
    <s v="3178179827"/>
    <s v="CR 7 6 58 CENTRO,CENTRO"/>
    <s v="6.31256492"/>
    <s v="-73.94996341"/>
    <s v="SANTANDER"/>
    <s v="CIMITARRA"/>
    <s v="CIMITARRA"/>
    <n v="68190"/>
    <s v="2025-11-11"/>
    <n v="8"/>
    <s v="BUCARAMANGA"/>
    <x v="2"/>
    <n v="15709.5"/>
  </r>
  <r>
    <n v="43195"/>
    <s v="BARRIO NIÑA CECI CUCUTA 2"/>
    <n v="13445896"/>
    <s v="3114686438"/>
    <s v="3114686438"/>
    <s v="3178878473"/>
    <s v="CL 7 3 14 PISO 1 CENTRO,CIMITARRA"/>
    <s v="7.7054627"/>
    <s v="-73.9566082"/>
    <s v="SANTANDER"/>
    <s v="CIMITARRA"/>
    <s v="CIMITARRA"/>
    <n v="68190"/>
    <s v="2025-11-11"/>
    <n v="16"/>
    <s v="BUCARAMANGA"/>
    <x v="2"/>
    <n v="15709.5"/>
  </r>
  <r>
    <n v="42241"/>
    <s v="BARRIO EL CENTRO CUCUTA 24"/>
    <n v="1090452903"/>
    <s v="3156491682"/>
    <s v="3183584141"/>
    <s v="3183584141"/>
    <s v="CR 3 3 B 54 CENTRO,CENTRO"/>
    <s v="6.3125131"/>
    <s v="-73.9467416"/>
    <s v="SANTANDER"/>
    <s v="CIMITARRA"/>
    <s v="CIMITARRA"/>
    <n v="68190"/>
    <s v="2025-11-11"/>
    <n v="8"/>
    <s v="BUCARAMANGA"/>
    <x v="2"/>
    <n v="15709.5"/>
  </r>
  <r>
    <n v="42032"/>
    <s v="BARRIO EL CENTRO CUCUTA 20"/>
    <n v="900909774"/>
    <s v="6248021"/>
    <s v="3115323493"/>
    <s v="3115323493"/>
    <s v=" CR 4  4-52 SAN LUIS DE GACENO BOYACA"/>
    <s v="5.5123455"/>
    <s v="-73.3733661"/>
    <s v="BOYACÁ"/>
    <s v="SAN LUIS DE GACENO"/>
    <s v="SAN LUIS DE GACENO"/>
    <n v="15667"/>
    <s v="2025-11-05"/>
    <n v="8"/>
    <s v="TUNJA"/>
    <x v="2"/>
    <n v="28277.100000000002"/>
  </r>
  <r>
    <n v="42036"/>
    <s v="BARRIO EL CENTRO CUCUTA 22"/>
    <n v="900909774"/>
    <s v="4032936"/>
    <s v="3118125226"/>
    <s v="3118125226"/>
    <s v=" CR 4 6 06"/>
    <s v="4.821098"/>
    <s v="-73.679"/>
    <s v="BOYACÁ"/>
    <s v="SAN LUIS DE GACENO"/>
    <s v="SAN LUIS DE GACENO"/>
    <n v="15667"/>
    <s v="2025-11-06"/>
    <n v="8"/>
    <s v="TUNJA"/>
    <x v="2"/>
    <n v="28277.100000000002"/>
  </r>
  <r>
    <n v="42037"/>
    <s v="BARRIO EL CENTRO CUCUTA 23"/>
    <n v="900909774"/>
    <s v="3185438769"/>
    <s v="3185438769"/>
    <s v="3185438769"/>
    <s v="CR 5 4 36 BRR CENTRO"/>
    <s v="4.8206085"/>
    <s v="-73.1692662"/>
    <s v="BOYACÁ"/>
    <s v="SAN LUIS DE GACENO"/>
    <s v="SAN LUIS DE GACENO"/>
    <n v="15667"/>
    <s v="2025-11-05"/>
    <n v="8"/>
    <s v="TUNJA"/>
    <x v="2"/>
    <n v="28277.100000000002"/>
  </r>
  <r>
    <n v="39283"/>
    <s v="BARRIO CONDOMINIO PARQUE REAL CUCUTA"/>
    <n v="1093770325"/>
    <s v="3103431933"/>
    <s v="3103431933"/>
    <s v="3103431933"/>
    <s v="CL 5 3 47,CENTRO"/>
    <s v="4.8205296"/>
    <s v="-73.1683046"/>
    <s v="BOYACÁ"/>
    <s v="SAN LUIS DE GACENO"/>
    <s v="SAN LUIS DE GACENO"/>
    <n v="15667"/>
    <s v="2025-11-05"/>
    <n v="8"/>
    <s v="TUNJA"/>
    <x v="2"/>
    <n v="28277.100000000002"/>
  </r>
  <r>
    <n v="41848"/>
    <s v="BARRIO AGUAS CALIENTES CUCUTA 1"/>
    <n v="60373383"/>
    <s v="3125852518"/>
    <s v="3125852518"/>
    <s v="3195013484"/>
    <s v="CRA 5 3-42 CENTRO,CENTRO"/>
    <s v="4.817554"/>
    <s v="-73.172530"/>
    <s v="BOYACÁ"/>
    <s v="SAN LUIS DE GACENO"/>
    <s v="SAN LUIS DE GACENO"/>
    <n v="15667"/>
    <s v="2025-11-06"/>
    <n v="8"/>
    <s v="TUNJA"/>
    <x v="2"/>
    <n v="28277.100000000002"/>
  </r>
  <r>
    <n v="41849"/>
    <s v="BARRIO LA LIBERTAD CUCUTA 5"/>
    <n v="60373383"/>
    <m/>
    <s v="3112811881"/>
    <s v="3112811881"/>
    <s v="CR 2 2 29,CENTRO"/>
    <s v="4.8607277"/>
    <s v="-73.2615670"/>
    <s v="BOYACÁ"/>
    <s v="SANTA MARÍA"/>
    <s v="SANTA MARÍA"/>
    <n v="15690"/>
    <s v="2025-11-06"/>
    <n v="8"/>
    <s v="TUNJA"/>
    <x v="2"/>
    <n v="28277.100000000002"/>
  </r>
  <r>
    <n v="38478"/>
    <s v="BARRIO SAN RAFAEL CUCUTA"/>
    <n v="900576569"/>
    <s v="3224121525"/>
    <s v="3224121525"/>
    <s v="3224121525"/>
    <s v="CL 4 1 C 53,CENTRO"/>
    <s v="4.8617"/>
    <s v="-73.261"/>
    <s v="BOYACÁ"/>
    <s v="SANTA MARÍA"/>
    <s v="SANTA MARÍA"/>
    <n v="15690"/>
    <s v="2025-11-06"/>
    <n v="8"/>
    <s v="TUNJA"/>
    <x v="2"/>
    <n v="28277.100000000002"/>
  </r>
  <r>
    <n v="39106"/>
    <s v="BARRIO LA PLAYA CUCUTA 2"/>
    <n v="1094859024"/>
    <s v="3138298157"/>
    <s v="3138298157"/>
    <s v="3138298157"/>
    <s v="CL 5 3 14,CENTRO"/>
    <s v="5.7137378"/>
    <s v="-73.6018784"/>
    <s v="BOYACÁ"/>
    <s v="SANTA SOFÍA"/>
    <s v="SANTA SOFÍA"/>
    <n v="15696"/>
    <s v="2025-11-25"/>
    <n v="8"/>
    <s v="TUNJA"/>
    <x v="2"/>
    <n v="28277.100000000002"/>
  </r>
  <r>
    <n v="38918"/>
    <s v="BARRIO CAOBOS CUCUTA 2"/>
    <n v="13279052"/>
    <s v="3007811524"/>
    <s v="3007811524"/>
    <m/>
    <s v="AV 6 NRO 7-09 APTO 102,SAN FRANCISCO"/>
    <s v="8.0844143"/>
    <s v="-72.8012965"/>
    <s v="NORTE DE SANTANDER"/>
    <s v="SARDINATA"/>
    <s v="SARDINATA"/>
    <n v="54720"/>
    <s v="2025-11-12"/>
    <n v="8"/>
    <s v="CUCUTA"/>
    <x v="2"/>
    <n v="28277.100000000002"/>
  </r>
  <r>
    <n v="34206"/>
    <s v="BARRIO URB PLAYA CUCUTA"/>
    <n v="1090437740"/>
    <s v="5707139"/>
    <s v="3114549955"/>
    <s v="3114549955"/>
    <s v=" CL 20 8 09"/>
    <s v="7.8203209"/>
    <s v="-72.4732253"/>
    <s v="NORTE DE SANTANDER"/>
    <s v="VILLA DEL ROSARIO"/>
    <s v="VILLA DEL ROSARIO"/>
    <n v="54874"/>
    <s v="2025-11-24"/>
    <n v="8"/>
    <s v="CUCUTA"/>
    <x v="2"/>
    <n v="28277.100000000002"/>
  </r>
  <r>
    <n v="34862"/>
    <s v="BARRIO SAN MARTIN I CUCUTA"/>
    <n v="60286580"/>
    <s v="3132882534"/>
    <s v="3132882534"/>
    <s v="3132882534"/>
    <s v="CL 26 NRO 14-28,GRANCOLOMBIA"/>
    <s v="7.8148696"/>
    <s v="-72.4789557"/>
    <s v="NORTE DE SANTANDER"/>
    <s v="VILLA DEL ROSARIO"/>
    <s v="VILLA DEL ROSARIO"/>
    <n v="54874"/>
    <s v="2025-11-25"/>
    <n v="16"/>
    <s v="CUCUTA"/>
    <x v="2"/>
    <n v="28277.100000000002"/>
  </r>
  <r>
    <n v="37338"/>
    <s v="BARRIO SN MARTIN I CUCUTA"/>
    <n v="901081359"/>
    <s v="3142379141"/>
    <s v="3142379141"/>
    <s v="3157964855"/>
    <s v="CL 2N #  15 - 20 SAN GREGORIO"/>
    <s v="7.8390330"/>
    <s v="-72.4789761"/>
    <s v="NORTE DE SANTANDER"/>
    <s v="VILLA DEL ROSARIO"/>
    <s v="VILLA DEL ROSARIO"/>
    <n v="54874"/>
    <s v="2025-11-24"/>
    <n v="8"/>
    <s v="CUCUTA"/>
    <x v="2"/>
    <n v="28277.100000000002"/>
  </r>
  <r>
    <n v="63970"/>
    <s v="BARRIO CENTRO MEDELLIN 91"/>
    <n v="901522985"/>
    <s v="3106173785"/>
    <s v="3106173785"/>
    <s v="3106173785"/>
    <s v="CL 20 12 63,SAN JUDAS"/>
    <s v="7.820785"/>
    <s v="-72.477238"/>
    <s v="NORTE DE SANTANDER"/>
    <s v="VILLA DEL ROSARIO"/>
    <s v="VILLA DEL ROSARIO"/>
    <n v="54874"/>
    <s v="2025-11-24"/>
    <n v="8"/>
    <s v="CUCUTA"/>
    <x v="2"/>
    <n v="28277.100000000002"/>
  </r>
  <r>
    <n v="29271"/>
    <s v="BARRIO LATINO 7 CÚCUTA"/>
    <n v="17320832"/>
    <s v="3176982197"/>
    <s v="3505977616"/>
    <s v="3505977616"/>
    <s v="CR 12 A 1A 150 MZ H CASA 3 CONJUNTO CERRADO PALMAS DE CANARIA,LA PARADA"/>
    <s v="7.8164564"/>
    <s v="-72.4592011"/>
    <s v="NORTE DE SANTANDER"/>
    <s v="VILLA DEL ROSARIO"/>
    <s v="VILLA DEL ROSARIO"/>
    <n v="54874"/>
    <s v="2025-11-24"/>
    <n v="8"/>
    <s v="CUCUTA"/>
    <x v="2"/>
    <n v="28277.100000000002"/>
  </r>
  <r>
    <n v="29576"/>
    <s v="BARRIO LA PLAYA 13 CÚCUTA"/>
    <n v="900469704"/>
    <s v="300-5909182"/>
    <s v="3008476415"/>
    <s v="3008476415"/>
    <s v="CR 23 46 22 EL POBLADO,EL POBLADO"/>
    <s v="7.7054008"/>
    <s v="-73.9558336"/>
    <s v="SANTANDER"/>
    <s v="GIRÓN"/>
    <s v="GIRÓN"/>
    <n v="68307"/>
    <s v="2025-11-26"/>
    <n v="8"/>
    <s v="BUCARAMANGA"/>
    <x v="2"/>
    <n v="15709.5"/>
  </r>
  <r>
    <n v="31898"/>
    <s v="BARRIO URB GARCIA HERREROS I CUCUTA"/>
    <n v="37724618"/>
    <s v="3112643158"/>
    <s v="3112643158"/>
    <s v="3112643158"/>
    <s v="CR 25 31 36 CENTRO,CENTRO"/>
    <s v="7.7181884"/>
    <s v="-73.9916717"/>
    <s v="SANTANDER"/>
    <s v="GIRÓN"/>
    <s v="GIRÓN"/>
    <n v="68307"/>
    <s v="2025-11-21"/>
    <n v="8"/>
    <s v="BUCARAMANGA"/>
    <x v="2"/>
    <n v="15709.5"/>
  </r>
  <r>
    <n v="28659"/>
    <s v="BARRIO PRADOS DEL ESTE CÚCUTA"/>
    <n v="900576569"/>
    <s v="3186465730"/>
    <s v="3186465730"/>
    <s v="3186465730"/>
    <s v="CL 45 22 67,EL POBLADO"/>
    <s v="7.0744601"/>
    <s v="-73.1667103"/>
    <s v="SANTANDER"/>
    <s v="GIRÓN"/>
    <s v="GIRÓN"/>
    <n v="68307"/>
    <s v="2025-11-25"/>
    <n v="8"/>
    <s v="BUCARAMANGA"/>
    <x v="2"/>
    <n v="15709.5"/>
  </r>
  <r>
    <n v="23561"/>
    <s v="BARRIO LA CONCORDIA III - CÚCUTA"/>
    <n v="18188083"/>
    <s v="6909302"/>
    <s v="3112643158"/>
    <s v="3112643158"/>
    <s v="CR 26 31 37,CASCO ANTIGUO"/>
    <s v="7.0685167"/>
    <s v="-73.1699323"/>
    <s v="SANTANDER"/>
    <s v="GIRÓN"/>
    <s v="GIRÓN"/>
    <n v="68307"/>
    <s v="2025-11-21"/>
    <n v="16"/>
    <s v="BUCARAMANGA"/>
    <x v="2"/>
    <n v="15709.5"/>
  </r>
  <r>
    <n v="17512"/>
    <s v="ANSERMA IV CALDAS"/>
    <n v="24391026"/>
    <s v="6460978"/>
    <s v="3003123564"/>
    <s v="3003123564"/>
    <s v=" CR 16 C 60 38"/>
    <s v="7.086823333"/>
    <s v="-73.165491944"/>
    <s v="SANTANDER"/>
    <s v="GIRÓN"/>
    <s v="GIRÓN"/>
    <n v="68307"/>
    <s v="2025-11-25"/>
    <e v="#N/A"/>
    <s v="BUCARAMANGA"/>
    <x v="2"/>
    <n v="15709.5"/>
  </r>
  <r>
    <n v="25851"/>
    <s v="GALICIA ANSERMA - CALDAS"/>
    <n v="901021437"/>
    <s v="6461773"/>
    <s v="3015816386"/>
    <s v="3015816386"/>
    <s v=" CR 25  29-27"/>
    <s v="7.6682636"/>
    <s v="-73.16916231"/>
    <s v="SANTANDER"/>
    <s v="GIRÓN"/>
    <s v="GIRÓN"/>
    <n v="68307"/>
    <s v="2025-11-26"/>
    <n v="8"/>
    <s v="BUCARAMANGA"/>
    <x v="2"/>
    <n v="15709.5"/>
  </r>
  <r>
    <n v="50963"/>
    <s v="BARRIO CENTRO ANSERMA 4"/>
    <n v="24391026"/>
    <s v="7583256"/>
    <s v="3112573807"/>
    <s v="3112573807"/>
    <s v=" CR 5  3 73"/>
    <s v="6.0254100"/>
    <s v="-73.5730150"/>
    <s v="SANTANDER"/>
    <s v="GÜEPSA"/>
    <s v="GÜEPSA"/>
    <n v="68327"/>
    <s v="2025-11-28"/>
    <e v="#N/A"/>
    <s v="BUCARAMANGA"/>
    <x v="2"/>
    <n v="15709.5"/>
  </r>
  <r>
    <n v="60536"/>
    <s v="BARRIO ENCISO MEDELLIN 16"/>
    <n v="8419046"/>
    <s v="3124354"/>
    <s v="3124359486"/>
    <s v="3124359486"/>
    <s v=" CL 4 6 19"/>
    <s v="6.0263280"/>
    <s v="-73.5718950"/>
    <s v="SANTANDER"/>
    <s v="GÜEPSA"/>
    <s v="GÜEPSA"/>
    <n v="68327"/>
    <s v="2025-11-28"/>
    <n v="16"/>
    <s v="BUCARAMANGA"/>
    <x v="2"/>
    <n v="15709.5"/>
  </r>
  <r>
    <n v="78878"/>
    <s v="BARRIO CHUCHURUBI MONTERIA 6"/>
    <n v="71634504"/>
    <s v="3209596264"/>
    <s v="3209596264"/>
    <s v="3209596264"/>
    <s v="CR 6 3 15,CENTRO"/>
    <s v="6.0243435"/>
    <s v="-73.5733767"/>
    <s v="SANTANDER"/>
    <s v="GÜEPSA"/>
    <s v="GÜEPSA"/>
    <n v="68327"/>
    <s v="2025-11-28"/>
    <n v="8"/>
    <s v="BUCARAMANGA"/>
    <x v="2"/>
    <n v="15709.5"/>
  </r>
  <r>
    <n v="66792"/>
    <s v="BARRIO SAN EDUARDO POPAYAN 3"/>
    <n v="4472369"/>
    <s v="3103331058"/>
    <s v="3103331058"/>
    <s v="3103331058"/>
    <s v="CL 4 6 12,BRR CENTRO"/>
    <s v="6.0251240"/>
    <s v="-73.5740580"/>
    <s v="SANTANDER"/>
    <s v="GÜEPSA"/>
    <s v="GÜEPSA"/>
    <n v="68327"/>
    <s v="2025-11-28"/>
    <n v="8"/>
    <s v="BUCARAMANGA"/>
    <x v="2"/>
    <n v="15709.5"/>
  </r>
  <r>
    <n v="63865"/>
    <s v="BARRIO LA PAMBA POPAYAN 1"/>
    <n v="900490352"/>
    <s v="7297123"/>
    <s v="3183483731"/>
    <s v="3183483731"/>
    <s v=" VRD SANTA ROSA"/>
    <s v="6.000278"/>
    <s v="-73.591667"/>
    <s v="SANTANDER"/>
    <s v="GÜEPSA"/>
    <s v="GÜEPSA"/>
    <n v="68327"/>
    <s v="2025-11-28"/>
    <n v="8"/>
    <s v="BUCARAMANGA"/>
    <x v="2"/>
    <n v="15709.5"/>
  </r>
  <r>
    <n v="66881"/>
    <s v="BARRIO VILLA DEL BOSQUE POPAYAN 1"/>
    <n v="901615052"/>
    <s v="8280793"/>
    <s v="3213639678"/>
    <s v="3213639678"/>
    <s v=" CL 4  3-28"/>
    <s v="6.4168065"/>
    <s v="-73.1693663"/>
    <s v="SANTANDER"/>
    <s v="PÁRAMO"/>
    <s v="PÁRAMO"/>
    <n v="68533"/>
    <s v="2025-11-19"/>
    <n v="8"/>
    <s v="BUCARAMANGA"/>
    <x v="2"/>
    <n v="15709.5"/>
  </r>
  <r>
    <n v="41315"/>
    <s v="BARRIO CENTRO POPAYAN 16"/>
    <n v="901148765"/>
    <s v="3115508873"/>
    <s v="3115508873"/>
    <s v="3115508873"/>
    <s v="CR 6 2 29 BRR SAGRADO CORAZON"/>
    <s v="6.4159280"/>
    <s v="-73.1711280"/>
    <s v="SANTANDER"/>
    <s v="PÁRAMO"/>
    <s v="PÁRAMO"/>
    <n v="68533"/>
    <s v="2025-11-19"/>
    <n v="8"/>
    <s v="BUCARAMANGA"/>
    <x v="2"/>
    <n v="15709.5"/>
  </r>
  <r>
    <n v="36823"/>
    <s v="BARRIO VALENCIA POPAYAN 1"/>
    <n v="900958988"/>
    <s v="3123348984"/>
    <s v="3123348984"/>
    <m/>
    <s v="CR 4 5 32,CENTRO"/>
    <s v="5.7142236"/>
    <s v="-73.6024685"/>
    <s v="BOYACÁ"/>
    <s v="SANTA SOFÍA"/>
    <s v="SANTA SOFÍA"/>
    <n v="15696"/>
    <s v="2025-11-25"/>
    <n v="8"/>
    <s v="TUNJA"/>
    <x v="2"/>
    <n v="28277.100000000002"/>
  </r>
  <r>
    <n v="38864"/>
    <s v="BARRIO CENTRO POPAYAN 8"/>
    <n v="900595830"/>
    <s v="2753089"/>
    <s v="3155069094"/>
    <s v="3155069094"/>
    <s v=" SALIDA JENESA  SEC TIERRA NEGRA"/>
    <s v="5.4244643"/>
    <s v="-73.4506610"/>
    <s v="BOYACÁ"/>
    <s v="VENTAQUEMADA"/>
    <s v="VENTAQUEMADA"/>
    <n v="15861"/>
    <s v="2025-11-21"/>
    <n v="8"/>
    <s v="TUNJA"/>
    <x v="2"/>
    <n v="28277.100000000002"/>
  </r>
  <r>
    <n v="52284"/>
    <s v="BARRIO CENTRO MEDELLIN SECTOR HUECO MEDELLIN"/>
    <n v="70826023"/>
    <s v="4363674"/>
    <s v="3183475910"/>
    <s v="3183475910"/>
    <s v=" VRD PUENTE DE BOYACA SEC TIERRA NEGRA"/>
    <s v="5.422190"/>
    <s v="-73.457244"/>
    <s v="BOYACÁ"/>
    <s v="VENTAQUEMADA"/>
    <s v="VENTAQUEMADA"/>
    <n v="15861"/>
    <s v="2025-11-21"/>
    <n v="16"/>
    <s v="TUNJA"/>
    <x v="2"/>
    <n v="28277.100000000002"/>
  </r>
  <r>
    <n v="77904"/>
    <s v="BARRIO MOGAMBO MONTERIA 11"/>
    <n v="1067940364"/>
    <s v="3138296967"/>
    <s v="3138296967"/>
    <s v="3138296967"/>
    <s v="VRD PUENTE DE BOYACA,VEREDA TIERRA NEGRA"/>
    <s v="5.42325638"/>
    <s v="-73.45146393"/>
    <s v="BOYACÁ"/>
    <s v="VENTAQUEMADA"/>
    <s v="VENTAQUEMADA"/>
    <n v="15861"/>
    <s v="2025-11-21"/>
    <n v="8"/>
    <s v="TUNJA"/>
    <x v="2"/>
    <n v="28277.100000000002"/>
  </r>
  <r>
    <n v="77682"/>
    <s v="BARRIO VALLEJO MONTERIA  3"/>
    <n v="37275797"/>
    <s v="3228835843"/>
    <s v="3228835843"/>
    <s v="3228835843"/>
    <s v="VRD PUENTE DE BOYACÁ,KM 15 VIA TUNJA BOGOTÁ,VEREDA PUENTE DE BOYACA"/>
    <s v="5.4438049"/>
    <s v="-73.43659486"/>
    <s v="BOYACÁ"/>
    <s v="VENTAQUEMADA"/>
    <s v="VENTAQUEMADA"/>
    <n v="15861"/>
    <s v="2025-11-21"/>
    <n v="8"/>
    <s v="TUNJA"/>
    <x v="2"/>
    <n v="28277.100000000002"/>
  </r>
  <r>
    <n v="77931"/>
    <s v="BARRIO CANTACLARO MONTERIA 9"/>
    <n v="1067852833"/>
    <s v="4363674"/>
    <s v="3158950412"/>
    <s v="3158950412"/>
    <s v=" VRD PUENTE DE BOYACA"/>
    <s v="5.446410"/>
    <s v="-73.434201"/>
    <s v="BOYACÁ"/>
    <s v="VENTAQUEMADA"/>
    <s v="VENTAQUEMADA"/>
    <n v="15861"/>
    <s v="2025-11-21"/>
    <n v="8"/>
    <s v="TUNJA"/>
    <x v="2"/>
    <n v="28277.100000000002"/>
  </r>
  <r>
    <n v="77932"/>
    <s v="BARRIO _x0009_CGT EL SABANAL MONTERIA"/>
    <n v="1067930375"/>
    <s v="0"/>
    <s v="3117312577"/>
    <s v="3117312577"/>
    <s v="CR 4 13 28 - CENTRO"/>
    <s v="5.233527"/>
    <s v="-75.786207"/>
    <s v="CALDAS"/>
    <s v="ANSERMA"/>
    <s v="ANSERMA"/>
    <n v="17042"/>
    <s v="2025-11-24"/>
    <n v="8"/>
    <s v="MANIZALES"/>
    <x v="6"/>
    <n v="28277.100000000002"/>
  </r>
  <r>
    <n v="78089"/>
    <s v="BARRIO LOS LAURELES MONTERIA 4"/>
    <n v="1047464518"/>
    <s v="3104891085"/>
    <s v="3104891085"/>
    <s v="3137797129"/>
    <s v="CR 5 # 23- 12 - LA AVENIDA,LA AVENIDA"/>
    <s v="5.240205"/>
    <s v="-75.784701"/>
    <s v="CALDAS"/>
    <s v="ANSERMA"/>
    <s v="ANSERMA"/>
    <n v="17042"/>
    <s v="2025-11-13"/>
    <n v="8"/>
    <s v="MANIZALES"/>
    <x v="6"/>
    <n v="28277.100000000002"/>
  </r>
  <r>
    <n v="77464"/>
    <s v="BARRIO CAMILO TORRES MONTERIA 1"/>
    <n v="78115134"/>
    <s v="3134785390"/>
    <s v="3103850454"/>
    <s v="3103850454"/>
    <s v="CR 4 #17- 09 - EL CARMEN,EL CARMEN"/>
    <s v="5.2359066"/>
    <s v="-75.7855687"/>
    <s v="CALDAS"/>
    <s v="ANSERMA"/>
    <s v="ANSERMA"/>
    <n v="17042"/>
    <s v="2025-11-13"/>
    <n v="8"/>
    <s v="MANIZALES"/>
    <x v="6"/>
    <n v="28277.100000000002"/>
  </r>
  <r>
    <n v="76317"/>
    <s v="BARRIO LA GRANJA MONTERIA 24"/>
    <n v="25894834"/>
    <s v="4492577"/>
    <s v="3204317271"/>
    <s v="3204317271"/>
    <s v=" CR 3 3 05"/>
    <s v="5.11721793"/>
    <s v="-74.48001699"/>
    <s v="CUNDINAMARCA"/>
    <s v="QUEBRADANEGRA"/>
    <s v="QUEBRADANEGRA"/>
    <n v="25592"/>
    <s v="2025-11-27"/>
    <n v="16"/>
    <s v="BOGOTA"/>
    <x v="4"/>
    <n v="15709.5"/>
  </r>
  <r>
    <n v="75645"/>
    <s v="BARRIO SANTANDER MONTERIA 1"/>
    <n v="45447332"/>
    <s v="3105546"/>
    <s v="3105546437"/>
    <s v="3105546437"/>
    <s v=" CR 3 3 78"/>
    <s v="5.1171444"/>
    <s v="-74.4786356"/>
    <s v="CUNDINAMARCA"/>
    <s v="QUEBRADANEGRA"/>
    <s v="QUEBRADANEGRA"/>
    <n v="25592"/>
    <s v="2025-11-27"/>
    <n v="16"/>
    <s v="BOGOTA"/>
    <x v="4"/>
    <n v="15709.5"/>
  </r>
  <r>
    <n v="74578"/>
    <s v="BARRIO LA FLORESTA MONTERIA 6"/>
    <n v="98512551"/>
    <m/>
    <s v="3212081405"/>
    <s v="3212081405"/>
    <s v="CL 4 6 32,INSPECCION LA MAGDALENA"/>
    <s v="5.079950"/>
    <s v="-74.488740"/>
    <s v="CUNDINAMARCA"/>
    <s v="QUEBRADANEGRA"/>
    <s v="QUEBRADANEGRA"/>
    <n v="25592"/>
    <s v="2025-11-26"/>
    <n v="8"/>
    <s v="BOGOTA"/>
    <x v="4"/>
    <n v="15709.5"/>
  </r>
  <r>
    <n v="50575"/>
    <s v="BARRIO PABLO ESCOBAR MEDELLIN"/>
    <n v="901234354"/>
    <s v="3138107445"/>
    <s v="3204351002"/>
    <s v="3204351002"/>
    <s v="CL 4 5 31 INSPECCION LA MAGDALENA,INSPECCIÓN LA MAGDALENA"/>
    <s v="5.0800040"/>
    <s v="-74.4883964"/>
    <s v="CUNDINAMARCA"/>
    <s v="QUEBRADANEGRA"/>
    <s v="QUEBRADANEGRA"/>
    <n v="25592"/>
    <s v="2025-11-26"/>
    <n v="16"/>
    <s v="BOGOTA"/>
    <x v="4"/>
    <n v="15709.5"/>
  </r>
  <r>
    <n v="57687"/>
    <s v="BARRIO CENTRO PUERTO TEJADA 6"/>
    <n v="1130950794"/>
    <s v="3227041547"/>
    <s v="3227041547"/>
    <s v="3227041547"/>
    <s v="CR 3 3 65 INSPECCION LA MAGDALENA ,CENTRO"/>
    <s v="5.0799717"/>
    <s v="-74.4871167"/>
    <s v="CUNDINAMARCA"/>
    <s v="QUEBRADANEGRA"/>
    <s v="QUEBRADANEGRA"/>
    <n v="25592"/>
    <s v="2025-11-26"/>
    <e v="#N/A"/>
    <s v="BOGOTA"/>
    <x v="4"/>
    <n v="15709.5"/>
  </r>
  <r>
    <n v="74955"/>
    <s v="BARRIO URBANIZACION ELMORA MONTERIA"/>
    <n v="25857146"/>
    <s v="8680272"/>
    <s v="3134100183"/>
    <s v="3134100183"/>
    <s v=" CL 5 6  4-18 22 CC O Y C LC-3"/>
    <s v="4.17849466"/>
    <s v="-74.42356094"/>
    <s v="CUNDINAMARCA"/>
    <s v="SAN BERNARDO"/>
    <s v="SAN BERNARDO"/>
    <n v="25649"/>
    <s v="2025-11-11"/>
    <n v="8"/>
    <s v="BOGOTA"/>
    <x v="4"/>
    <n v="15709.5"/>
  </r>
  <r>
    <n v="73043"/>
    <s v="BARRIO CENTRO MONTERIA 51"/>
    <n v="1067945268"/>
    <s v="3202351692"/>
    <s v="3202351692"/>
    <s v="3202351692"/>
    <s v="CR 5 5 14—18,CENTRO"/>
    <s v="4.1786722"/>
    <s v="-74.42165"/>
    <s v="CUNDINAMARCA"/>
    <s v="SAN BERNARDO"/>
    <s v="SAN BERNARDO"/>
    <n v="25649"/>
    <s v="2025-11-11"/>
    <n v="16"/>
    <s v="BOGOTA"/>
    <x v="4"/>
    <n v="15709.5"/>
  </r>
  <r>
    <n v="72143"/>
    <s v="CORDOBA MONTERIA"/>
    <n v="1131108725"/>
    <s v="3115703267"/>
    <s v="3115703267"/>
    <m/>
    <s v="CL 6 3 44,LA ASENCION"/>
    <s v="4.1789529"/>
    <s v="-74.4221554"/>
    <s v="CUNDINAMARCA"/>
    <s v="SAN BERNARDO"/>
    <s v="SAN BERNARDO"/>
    <n v="25649"/>
    <s v="2025-11-11"/>
    <n v="8"/>
    <s v="BOGOTA"/>
    <x v="4"/>
    <n v="15709.5"/>
  </r>
  <r>
    <n v="72144"/>
    <s v="MONTERIA VEREDA AGUAS NEGRAS"/>
    <n v="1131108725"/>
    <s v="3112391359"/>
    <s v="3112391359"/>
    <s v="3018207990"/>
    <s v="CL 7 3 - 54,SANTA TERESA"/>
    <s v="4.1786359"/>
    <s v="-74.4226638"/>
    <s v="CUNDINAMARCA"/>
    <s v="SAN BERNARDO"/>
    <s v="SAN BERNARDO"/>
    <n v="25649"/>
    <s v="2025-11-11"/>
    <n v="8"/>
    <s v="BOGOTA"/>
    <x v="4"/>
    <n v="15709.5"/>
  </r>
  <r>
    <n v="70481"/>
    <s v="BARRIO URBANIZACION PORTAL DE ALMERIA MONTERIA"/>
    <n v="43045431"/>
    <s v="8465619"/>
    <s v="3025838317"/>
    <s v="3025838317"/>
    <s v="CL 5A  N 5 09"/>
    <s v="4.8472464"/>
    <s v="-74.6216062"/>
    <s v="CUNDINAMARCA"/>
    <s v="SAN JUAN DE RIOSECO"/>
    <s v="SAN JUAN DE RIOSECO"/>
    <n v="25662"/>
    <s v="2025-11-05"/>
    <n v="16"/>
    <s v="BOGOTA"/>
    <x v="4"/>
    <n v="15709.5"/>
  </r>
  <r>
    <n v="68962"/>
    <s v="BARRIO LA JULIA MONTERIA 1"/>
    <n v="34994459"/>
    <s v="4944263"/>
    <s v="3194730422"/>
    <s v="3194730422"/>
    <s v="CR 6 3 68"/>
    <s v="4.845731"/>
    <s v="-74.6221644"/>
    <s v="CUNDINAMARCA"/>
    <s v="SAN JUAN DE RIOSECO"/>
    <s v="SAN JUAN DE RIOSECO"/>
    <n v="25662"/>
    <s v="2025-11-06"/>
    <n v="8"/>
    <s v="BOGOTA"/>
    <x v="4"/>
    <n v="15709.5"/>
  </r>
  <r>
    <n v="69036"/>
    <s v="LOS LAURELES MONTERIA 4"/>
    <n v="34996196"/>
    <m/>
    <s v="3236410575"/>
    <s v="3203672793"/>
    <s v="SAN JUAN DE RIO SECO SAN AGUSTIN,CENTRO"/>
    <s v="4.8470898"/>
    <s v="-74.6212222"/>
    <s v="CUNDINAMARCA"/>
    <s v="SAN JUAN DE RIOSECO"/>
    <s v="SAN JUAN DE RIOSECO"/>
    <n v="25662"/>
    <s v="2025-11-05"/>
    <n v="8"/>
    <s v="BOGOTA"/>
    <x v="4"/>
    <n v="15709.5"/>
  </r>
  <r>
    <n v="68357"/>
    <s v="BARRIO JUAN XXIII MONTERIA 6"/>
    <n v="15077605"/>
    <m/>
    <s v="3114927436"/>
    <s v="3104746738"/>
    <s v="CR 6 4 46,SAN JUAN RIOSECO"/>
    <s v="4.846253"/>
    <s v="-74.622123"/>
    <s v="CUNDINAMARCA"/>
    <s v="SAN JUAN DE RIOSECO"/>
    <s v="SAN JUAN DE RIOSECO"/>
    <n v="25662"/>
    <s v="2025-11-05"/>
    <n v="16"/>
    <s v="BOGOTA"/>
    <x v="4"/>
    <n v="15709.5"/>
  </r>
  <r>
    <n v="66406"/>
    <s v="BARRIO CANTA CLARO MONTERIA 3"/>
    <n v="1067845530"/>
    <s v="0"/>
    <s v="3115014050"/>
    <s v="3115014050"/>
    <s v="cra 4 #5 -02"/>
    <s v="4.8468482"/>
    <s v="-74.6213786"/>
    <s v="CUNDINAMARCA"/>
    <s v="SAN JUAN DE RIOSECO"/>
    <s v="SAN JUAN DE RIOSECO"/>
    <n v="25662"/>
    <s v="2025-11-05"/>
    <n v="8"/>
    <s v="BOGOTA"/>
    <x v="4"/>
    <n v="15709.5"/>
  </r>
  <r>
    <n v="67801"/>
    <s v="BARRIO VILLA ROCIO MONTERIA"/>
    <n v="1067965085"/>
    <s v="3203469411"/>
    <s v="3203469411"/>
    <s v="3203469411"/>
    <s v="CRR 7  3 49"/>
    <s v="4.8447638"/>
    <s v="-74.6228160"/>
    <s v="CUNDINAMARCA"/>
    <s v="SAN JUAN DE RIOSECO"/>
    <s v="SAN JUAN DE RIOSECO"/>
    <n v="25662"/>
    <s v="2025-11-06"/>
    <n v="8"/>
    <s v="BOGOTA"/>
    <x v="4"/>
    <n v="15709.5"/>
  </r>
  <r>
    <n v="65136"/>
    <s v="BARRIO NUEVA ESPERANZA MONTERIA 1"/>
    <n v="25799836"/>
    <s v="3112579307"/>
    <s v="3112579307"/>
    <s v="3112579307"/>
    <s v="VRD KM 63 VIA VILLETA VEREDA SANTA INES. PREDIO EL CARMELO"/>
    <s v="4.9134464"/>
    <s v="-74.4192198"/>
    <s v="CUNDINAMARCA"/>
    <s v="SASAIMA"/>
    <s v="SASAIMA"/>
    <n v="25718"/>
    <s v="2025-11-21"/>
    <n v="16"/>
    <s v="BOGOTA"/>
    <x v="4"/>
    <n v="15709.5"/>
  </r>
  <r>
    <n v="45965"/>
    <s v="BARRIO ARANJUEZ MEDELLIN 9"/>
    <n v="43620095"/>
    <s v="3123103799"/>
    <s v="3156682745"/>
    <s v="3123103799"/>
    <s v="CR 7 #3N - 03,SANTANDER"/>
    <s v="7.8394338"/>
    <s v="-72.4704909"/>
    <s v="NORTE DE SANTANDER"/>
    <s v="VILLA DEL ROSARIO"/>
    <s v="VILLA DEL ROSARIO"/>
    <n v="54874"/>
    <s v="2025-11-24"/>
    <n v="16"/>
    <s v="CUCUTA"/>
    <x v="2"/>
    <n v="28277.100000000002"/>
  </r>
  <r>
    <n v="45399"/>
    <s v="BARRIO GUAYABAL MEDELLIN 5"/>
    <n v="900873271"/>
    <s v="0"/>
    <s v="3246256334"/>
    <s v="3246256334"/>
    <s v="CR 12 6 A - 82,ANTONIO NARIÑO"/>
    <s v="7.8432816"/>
    <s v="-72.4738852"/>
    <s v="NORTE DE SANTANDER"/>
    <s v="VILLA DEL ROSARIO"/>
    <s v="VILLA DEL ROSARIO"/>
    <n v="54874"/>
    <s v="2025-11-25"/>
    <n v="8"/>
    <s v="CUCUTA"/>
    <x v="2"/>
    <n v="28277.100000000002"/>
  </r>
  <r>
    <n v="10030"/>
    <s v="GENOVA - QUINDIO"/>
    <n v="9800568"/>
    <s v="3157975879"/>
    <s v="0"/>
    <s v="3006780355"/>
    <s v="CRA 1 NRO 9 - 36,BRR VILLA ANTIGUA"/>
    <s v="7.82888943"/>
    <s v="-72.46330688"/>
    <s v="NORTE DE SANTANDER"/>
    <s v="VILLA DEL ROSARIO"/>
    <s v="VILLA DEL ROSARIO"/>
    <n v="54874"/>
    <s v="2025-11-24"/>
    <e v="#N/A"/>
    <s v="CUCUTA"/>
    <x v="2"/>
    <n v="28277.100000000002"/>
  </r>
  <r>
    <n v="73624"/>
    <s v="BARRIO QUIMBAYA QUIMBAYA"/>
    <n v="901524537"/>
    <s v="3132702531"/>
    <s v="3132702531"/>
    <s v="3208458324"/>
    <s v="CL 2 5 44,SAGRADO CORAZON"/>
    <s v="6.4156820"/>
    <s v="-73.1708584"/>
    <s v="SANTANDER"/>
    <s v="PÁRAMO"/>
    <s v="PÁRAMO"/>
    <n v="68533"/>
    <s v="2025-11-19"/>
    <e v="#N/A"/>
    <s v="BUCARAMANGA"/>
    <x v="2"/>
    <n v="15709.5"/>
  </r>
  <r>
    <n v="59635"/>
    <s v="BARRIO LA CASTELLANA MONTERIA 8"/>
    <n v="900312766"/>
    <s v="3016846485"/>
    <s v="3016846485"/>
    <m/>
    <s v="CR 12 # 3 - 91 BRR VILLANUEVA PIEDECUESTA,VILLANUEVA"/>
    <s v="6.9924167"/>
    <s v="-73.0482500"/>
    <s v="SANTANDER"/>
    <s v="PIEDECUESTA"/>
    <s v="PIEDECUESTA"/>
    <n v="68547"/>
    <s v="2025-11-13"/>
    <n v="8"/>
    <s v="BUCARAMANGA"/>
    <x v="2"/>
    <n v="15709.5"/>
  </r>
  <r>
    <n v="60721"/>
    <s v="BARRIO PANZENU MONTERIA 1"/>
    <n v="25799771"/>
    <s v="3118313651"/>
    <s v="3118313651"/>
    <s v="3118313651"/>
    <s v="VRD TABACAL FINCA VILLA EVA,PIEDECUESTA"/>
    <s v="6.8928800"/>
    <s v="-73.0391917"/>
    <s v="SANTANDER"/>
    <s v="PIEDECUESTA"/>
    <s v="PIEDECUESTA"/>
    <n v="68547"/>
    <s v="2025-11-21"/>
    <n v="16"/>
    <s v="BUCARAMANGA"/>
    <x v="2"/>
    <n v="15709.5"/>
  </r>
  <r>
    <n v="54245"/>
    <s v="BARRIO RANCHO GRANDE MONTERIA 4"/>
    <n v="1067901073"/>
    <s v="3222712350"/>
    <s v="3222712350"/>
    <s v="3222712350"/>
    <s v="CL 1 N # 1 W - 04 BRR EL REFUJIO PIEDECUESTA,EL REFUJIO"/>
    <s v="6.9928160"/>
    <s v="-73.0623574"/>
    <s v="SANTANDER"/>
    <s v="PIEDECUESTA"/>
    <s v="PIEDECUESTA"/>
    <n v="68547"/>
    <s v="2025-11-13"/>
    <n v="16"/>
    <s v="BUCARAMANGA"/>
    <x v="2"/>
    <n v="15709.5"/>
  </r>
  <r>
    <n v="57788"/>
    <s v="BARRIO CANTACLARO MONTERIA 3"/>
    <n v="1067845530"/>
    <s v="3205677521"/>
    <s v="3205677521"/>
    <m/>
    <s v="CA 15 D BRR EL EDEN PIEDECUESTA,BRR EL EDEN PIEDECUESTA"/>
    <s v="6.9963715"/>
    <s v="-73.0799766"/>
    <s v="SANTANDER"/>
    <s v="PIEDECUESTA"/>
    <s v="PIEDECUESTA"/>
    <n v="68547"/>
    <s v="2025-11-04"/>
    <n v="8"/>
    <s v="BUCARAMANGA"/>
    <x v="2"/>
    <n v="15709.5"/>
  </r>
  <r>
    <n v="51592"/>
    <s v="BARRIO NUEVO HORIZONTE MONTERIA"/>
    <n v="6890589"/>
    <s v="3014315435"/>
    <s v="3014315435"/>
    <s v="3014315435"/>
    <s v="VRD 1 FINCA EL MIRADOR,FINCA EL MIRADOR"/>
    <s v="7.0203540"/>
    <s v="-73.0977720"/>
    <s v="SANTANDER"/>
    <s v="PIEDECUESTA"/>
    <s v="PIEDECUESTA"/>
    <n v="68547"/>
    <s v="2025-11-13"/>
    <n v="16"/>
    <s v="BUCARAMANGA"/>
    <x v="2"/>
    <n v="15709.5"/>
  </r>
  <r>
    <n v="49766"/>
    <s v="BARRIO EL PORTAL MONTERIA"/>
    <n v="10775736"/>
    <s v="3102280881"/>
    <s v="3102280881"/>
    <s v="3102280881"/>
    <s v="CL 6 # 15 D - 06 BRR CABECERA PIEDECUESTA,CABECERA 2 PIEDECUESTA"/>
    <s v="6.9917941"/>
    <s v="-73.0444343"/>
    <s v="SANTANDER"/>
    <s v="PIEDECUESTA"/>
    <s v="PIEDECUESTA"/>
    <n v="68547"/>
    <s v="2025-11-13"/>
    <n v="8"/>
    <s v="BUCARAMANGA"/>
    <x v="2"/>
    <n v="15709.5"/>
  </r>
  <r>
    <n v="38746"/>
    <s v="BARRIO CENTRO MEDELLIN 35"/>
    <n v="98761464"/>
    <s v="3118358795"/>
    <s v="3118358795"/>
    <m/>
    <s v="CR 15 A # 1 N - 03 BRR SAN CARLOS PIEDECUESTA,SAN CARLOS"/>
    <s v="6.9993157"/>
    <s v="-73.0518873"/>
    <s v="SANTANDER"/>
    <s v="PIEDECUESTA"/>
    <s v="PIEDECUESTA"/>
    <n v="68547"/>
    <s v="2025-11-13"/>
    <n v="16"/>
    <s v="BUCARAMANGA"/>
    <x v="2"/>
    <n v="15709.5"/>
  </r>
  <r>
    <n v="43642"/>
    <s v="BARRIO ENCISO MEDELLIN 8"/>
    <n v="44000656"/>
    <s v="3172782414"/>
    <s v="3002239187"/>
    <s v="3002239187"/>
    <s v="CL 12 # 11-23 SAN ANTONIO PIEDECUESTA,SAN ANTONIO PIEDECUESTA"/>
    <s v="6.9859840"/>
    <s v="-73.0461320"/>
    <s v="SANTANDER"/>
    <s v="PIEDECUESTA"/>
    <s v="PIEDECUESTA"/>
    <n v="68547"/>
    <s v="2025-11-24"/>
    <n v="16"/>
    <s v="BUCARAMANGA"/>
    <x v="2"/>
    <n v="15709.5"/>
  </r>
  <r>
    <n v="36213"/>
    <s v="BARRIO BELEN PARQUE MEDELLIN"/>
    <n v="900324648"/>
    <s v="3116761905"/>
    <s v="3166890088"/>
    <s v="3116761905"/>
    <s v="CR 5 B 22 40,PASEO DEL PUENTE 2"/>
    <s v="6.98344922"/>
    <s v="-73.4918198"/>
    <s v="SANTANDER"/>
    <s v="PIEDECUESTA"/>
    <s v="PIEDECUESTA"/>
    <n v="68547"/>
    <s v="2025-11-04"/>
    <n v="8"/>
    <s v="BUCARAMANGA"/>
    <x v="2"/>
    <n v="15709.5"/>
  </r>
  <r>
    <n v="43550"/>
    <s v="BARRIO CAMPO ALEGRE MONTERIA 1"/>
    <n v="10933021"/>
    <s v="0"/>
    <s v="3142276466"/>
    <s v="3142276466"/>
    <s v="CR 2 3 38 PRIMER SEC - BR LIBERTAD"/>
    <s v="1.20735843"/>
    <s v="-77.46237664"/>
    <s v="NARIÑO"/>
    <s v="CONSACÁ"/>
    <s v="CONSACÁ"/>
    <n v="52207"/>
    <s v="2025-11-25"/>
    <n v="8"/>
    <s v="PASTO"/>
    <x v="5"/>
    <n v="28277.100000000002"/>
  </r>
  <r>
    <n v="48514"/>
    <s v="BARRIO VILLA MELISA MONTERIA"/>
    <n v="10772008"/>
    <s v="3167721921"/>
    <s v="3167721921"/>
    <m/>
    <s v="BRR LIBERTAD SEC 2,LIBERTAD"/>
    <s v="1.2071527"/>
    <s v="-77.4634691"/>
    <s v="NARIÑO"/>
    <s v="CONSACÁ"/>
    <s v="CONSACÁ"/>
    <n v="52207"/>
    <s v="2025-11-06"/>
    <n v="8"/>
    <s v="PASTO"/>
    <x v="5"/>
    <n v="28277.100000000002"/>
  </r>
  <r>
    <n v="13849"/>
    <s v="BARRIO TIMANCO NEIVA"/>
    <n v="36312190"/>
    <s v="5775777"/>
    <s v="3209448155"/>
    <s v="3209448155"/>
    <s v=" CL 17 17 02"/>
    <s v="7.8859941"/>
    <s v="-72.4724104"/>
    <s v="NORTE DE SANTANDER"/>
    <s v="CÚCUTA"/>
    <s v="CÚCUTA"/>
    <n v="54001"/>
    <s v="2025-11-28"/>
    <n v="16"/>
    <s v="CUCUTA"/>
    <x v="2"/>
    <n v="28277.100000000002"/>
  </r>
  <r>
    <n v="31447"/>
    <s v="BARRIO AGUACATALA 3"/>
    <n v="21894255"/>
    <s v="3202970158"/>
    <s v="3202970158"/>
    <m/>
    <s v="CL 7 NRO 0-83,LATINO"/>
    <s v="7.8907909"/>
    <s v="-72.5000193"/>
    <s v="NORTE DE SANTANDER"/>
    <s v="CÚCUTA"/>
    <s v="CÚCUTA"/>
    <n v="54001"/>
    <s v="2025-11-14"/>
    <n v="8"/>
    <s v="CUCUTA"/>
    <x v="2"/>
    <n v="28277.100000000002"/>
  </r>
  <r>
    <n v="27988"/>
    <s v="BARRIO CENTRO 3 MEDELLIN"/>
    <n v="900411976"/>
    <s v="3016505071"/>
    <s v="3016505071"/>
    <m/>
    <s v="AV 7 NRO 20-13 KDX 199 2,EL SALADO"/>
    <s v="7.9363602"/>
    <s v="-72.4955636"/>
    <s v="NORTE DE SANTANDER"/>
    <s v="CÚCUTA"/>
    <s v="CÚCUTA"/>
    <n v="54001"/>
    <s v="2025-11-13"/>
    <n v="8"/>
    <s v="CUCUTA"/>
    <x v="2"/>
    <n v="28277.100000000002"/>
  </r>
  <r>
    <n v="30195"/>
    <s v="BARRIO MANRIQUE 18 - MEDELLÍN "/>
    <n v="98668669"/>
    <s v="3213601613"/>
    <s v="3213601613"/>
    <m/>
    <s v="MZ B LT 3 URB LAS TERRAZAS VRD BUENA ESPERANZA ,VRD BUENA ESPERANZA"/>
    <s v="8.1618690"/>
    <s v="-72.4609938"/>
    <s v="NORTE DE SANTANDER"/>
    <s v="CÚCUTA"/>
    <s v="CÚCUTA"/>
    <n v="54001"/>
    <s v="2025-11-24"/>
    <n v="16"/>
    <s v="CUCUTA"/>
    <x v="2"/>
    <n v="28277.100000000002"/>
  </r>
  <r>
    <n v="39687"/>
    <s v="BARRIO CENTRO YUMBO 1"/>
    <n v="890306372"/>
    <s v="3057071050"/>
    <s v="3057071050"/>
    <m/>
    <s v="MZ 10 CS 1 LC 102 ,TRIGAL DEL NORTE"/>
    <s v="7.9457745"/>
    <s v="-72.5034244"/>
    <s v="NORTE DE SANTANDER"/>
    <s v="CÚCUTA"/>
    <s v="CÚCUTA"/>
    <n v="54001"/>
    <s v="2025-11-24"/>
    <e v="#N/A"/>
    <s v="CUCUTA"/>
    <x v="2"/>
    <n v="28277.100000000002"/>
  </r>
  <r>
    <n v="68947"/>
    <s v="BARRIO CENTRO NEIVA 32"/>
    <n v="801002644"/>
    <s v="3132823223"/>
    <s v="3132823223"/>
    <m/>
    <s v="CL 18 NRO 1E-35,CAOBOS"/>
    <s v="7.8798843"/>
    <s v="-72.4960944"/>
    <s v="NORTE DE SANTANDER"/>
    <s v="CÚCUTA"/>
    <s v="CÚCUTA"/>
    <n v="54001"/>
    <s v="2025-11-13"/>
    <n v="8"/>
    <s v="CUCUTA"/>
    <x v="2"/>
    <n v="28277.100000000002"/>
  </r>
  <r>
    <n v="70058"/>
    <s v="BARRIO QUIRINAL NEIVA 4"/>
    <n v="1075308669"/>
    <s v="3228738763"/>
    <s v="3228738763"/>
    <m/>
    <s v="KDX 19 11,VDA MATECAÑA"/>
    <s v="8.1933730"/>
    <s v="-72.4907615"/>
    <s v="NORTE DE SANTANDER"/>
    <s v="CÚCUTA"/>
    <s v="CÚCUTA"/>
    <n v="54001"/>
    <s v="2025-11-05"/>
    <n v="8"/>
    <s v="CUCUTA"/>
    <x v="2"/>
    <n v="28277.100000000002"/>
  </r>
  <r>
    <n v="67890"/>
    <s v="BARRIO TEJARES DEL SUR NEIVA"/>
    <n v="36347643"/>
    <s v="3112733886"/>
    <s v="3112733886"/>
    <m/>
    <s v="AV 3 19 97 LC 2,SAN LUIS"/>
    <s v="7.8868475"/>
    <s v="-72.4845113"/>
    <s v="NORTE DE SANTANDER"/>
    <s v="CÚCUTA"/>
    <s v="CÚCUTA"/>
    <n v="54001"/>
    <s v="2025-11-24"/>
    <n v="8"/>
    <s v="CUCUTA"/>
    <x v="2"/>
    <n v="28277.100000000002"/>
  </r>
  <r>
    <n v="67804"/>
    <s v="BARRIO NORTE NEIVA"/>
    <n v="900397839"/>
    <s v="3116787288"/>
    <s v="3116787288"/>
    <m/>
    <s v="AV 1 CL 3 LC 5,TRIGAL DEL NORTE"/>
    <s v="7.9449659"/>
    <s v="-72.5033777"/>
    <s v="NORTE DE SANTANDER"/>
    <s v="CÚCUTA"/>
    <s v="CÚCUTA"/>
    <n v="54001"/>
    <s v="2025-11-24"/>
    <n v="8"/>
    <s v="CUCUTA"/>
    <x v="2"/>
    <n v="28277.100000000002"/>
  </r>
  <r>
    <n v="64277"/>
    <s v="BARRIO CENTRO NEIVA 30"/>
    <n v="36346152"/>
    <s v="6419838"/>
    <s v="3114408967"/>
    <s v="3114408967"/>
    <s v=" CR 4 3 70"/>
    <s v="6.1374420"/>
    <s v="-73.0989010"/>
    <s v="SANTANDER"/>
    <s v="ENCINO"/>
    <s v="ENCINO"/>
    <n v="68264"/>
    <s v="2025-11-18"/>
    <n v="16"/>
    <s v="BUCARAMANGA"/>
    <x v="2"/>
    <n v="15709.5"/>
  </r>
  <r>
    <n v="56762"/>
    <s v="BARRIO CENTRO NEIVA 29"/>
    <n v="900651102"/>
    <s v="3142055811"/>
    <s v="0"/>
    <s v="3142055811"/>
    <s v="CR 6 3 16,CENTRO"/>
    <s v="6.8750860"/>
    <s v="-72.8560610"/>
    <s v="SANTANDER"/>
    <s v="GUACA"/>
    <s v="GUACA"/>
    <n v="68318"/>
    <s v="2025-11-10"/>
    <n v="8"/>
    <s v="BUCARAMANGA"/>
    <x v="2"/>
    <n v="15709.5"/>
  </r>
  <r>
    <n v="28357"/>
    <s v="BARRIO ENCISO MEDELLIN"/>
    <n v="1035427036"/>
    <s v="2876262"/>
    <s v="3154704983"/>
    <s v="3154704983"/>
    <s v=" CR 30  36-12 PALMIRA"/>
    <s v="3.5332108"/>
    <s v="-76.2997198"/>
    <s v="VALLE DEL CAUCA"/>
    <s v="PALMIRA"/>
    <s v="PALMIRA"/>
    <n v="76520"/>
    <s v="2025-11-28"/>
    <n v="16"/>
    <s v="CALI"/>
    <x v="5"/>
    <n v="15709.5"/>
  </r>
  <r>
    <n v="18323"/>
    <s v="LAS CABAÑAS III BELLO"/>
    <n v="900470242"/>
    <s v="3017748763"/>
    <s v="3014849958"/>
    <s v="3017748763"/>
    <s v="KM 6 VIA CENCAR AER BONILLA ARAGON LC EXTERNO PQ 1 LC 01,ZONA FRANCA"/>
    <s v="3.5604811"/>
    <s v="-76.4495133"/>
    <s v="VALLE DEL CAUCA"/>
    <s v="PALMIRA"/>
    <s v="PALMIRA"/>
    <n v="76520"/>
    <s v="2025-11-20"/>
    <n v="8"/>
    <s v="CALI"/>
    <x v="5"/>
    <n v="15709.5"/>
  </r>
  <r>
    <n v="57051"/>
    <s v="BARRIO LUIS IGNACIO ANDRADE NEIVA "/>
    <n v="1075311341"/>
    <s v="3147399595"/>
    <s v="3143995950"/>
    <s v="3147399595"/>
    <s v="CR 42 47 A 3 PORTAL DE LAS PALMAS,PORTAL DE LAS PALMAS"/>
    <s v="3.5428576"/>
    <s v="-76.3131198"/>
    <s v="VALLE DEL CAUCA"/>
    <s v="PALMIRA"/>
    <s v="PALMIRA"/>
    <n v="76520"/>
    <s v="2025-11-14"/>
    <n v="8"/>
    <s v="CALI"/>
    <x v="5"/>
    <n v="15709.5"/>
  </r>
  <r>
    <n v="58404"/>
    <s v="BARRIO EL CENTRO NEIVA 7"/>
    <n v="17655564"/>
    <m/>
    <s v="3014128985"/>
    <s v="3014128985"/>
    <s v=" CR 12 CALLE 9 23 CENTRO"/>
    <s v="9.24469472"/>
    <s v="-75.1464833"/>
    <s v="SUCRE"/>
    <s v="SAN LUIS DE SINCÉ"/>
    <s v="SINCÉ"/>
    <n v="70742"/>
    <s v="2025-11-13"/>
    <n v="8"/>
    <s v="SINCELEJO"/>
    <x v="1"/>
    <n v="28277.100000000002"/>
  </r>
  <r>
    <n v="53374"/>
    <s v="BARRIO EDUARDO SANTOS NEIVA"/>
    <n v="36183212"/>
    <s v="3012537796"/>
    <s v="3012537796"/>
    <m/>
    <s v="CR 2 18 12 AP 101,EL ARROYITO"/>
    <s v="9.5264112"/>
    <s v="-75.5836952"/>
    <s v="SUCRE"/>
    <s v="SANTIAGO DE TOLÚ"/>
    <s v="SANTIAGO DE TOLÚ"/>
    <n v="70820"/>
    <s v="2025-11-19"/>
    <n v="16"/>
    <s v="SINCELEJO"/>
    <x v="1"/>
    <n v="28277.100000000002"/>
  </r>
  <r>
    <n v="50490"/>
    <s v="BARRIO LUIS CARLOS GALAN NEIVA 1"/>
    <n v="1088294525"/>
    <s v="3113742262"/>
    <s v="3113742265"/>
    <s v="3113742265"/>
    <s v="CL 4 CR 4 – 65, CGTO VARSOVIA"/>
    <s v="9.4059121"/>
    <s v="-75.4937751"/>
    <s v="SUCRE"/>
    <s v="TOLÚ VIEJO"/>
    <s v="TOLÚ VIEJO"/>
    <n v="70823"/>
    <s v="2025-11-19"/>
    <n v="8"/>
    <s v="SINCELEJO"/>
    <x v="1"/>
    <n v="28277.100000000002"/>
  </r>
  <r>
    <n v="39911"/>
    <s v="BARRIO LUIS CARLOS GALAN 1 ETAPA NEIVA"/>
    <n v="7687030"/>
    <m/>
    <s v="3007473078"/>
    <s v="3007473078"/>
    <s v=" DG 2 TR 4 16 P1"/>
    <s v="9.4512670"/>
    <s v="-75.4383380"/>
    <s v="SUCRE"/>
    <s v="TOLÚ VIEJO"/>
    <s v="TOLÚ VIEJO"/>
    <n v="70823"/>
    <s v="2025-11-19"/>
    <n v="8"/>
    <s v="SINCELEJO"/>
    <x v="1"/>
    <n v="28277.100000000002"/>
  </r>
  <r>
    <n v="36993"/>
    <s v="BARRIO NEIVA HUILA 2"/>
    <n v="7718323"/>
    <s v="3157208501"/>
    <s v="3177895728"/>
    <s v="3157208501"/>
    <s v="CR 10 1 189 BRR PILOTO"/>
    <s v="3.2577971"/>
    <s v="-76.5447847"/>
    <s v="VALLE DEL CAUCA"/>
    <s v="JAMUNDÍ"/>
    <s v="JAMUNDÍ"/>
    <n v="76364"/>
    <s v="2025-11-18"/>
    <n v="16"/>
    <s v="CALI"/>
    <x v="5"/>
    <n v="15709.5"/>
  </r>
  <r>
    <n v="37409"/>
    <s v="BARRIO MINUTO DE DIOS 4 ETAPA NEIVA"/>
    <n v="1075270403"/>
    <s v="3105028295"/>
    <s v="3105028295"/>
    <m/>
    <s v="CR 18 12 05 LC 01 BRR SACHAMATE,SACHAMATE"/>
    <s v="3.2665904"/>
    <s v="-76.5444925"/>
    <s v="VALLE DEL CAUCA"/>
    <s v="JAMUNDÍ"/>
    <s v="JAMUNDÍ"/>
    <n v="76364"/>
    <s v="2025-11-18"/>
    <n v="16"/>
    <s v="CALI"/>
    <x v="5"/>
    <n v="15709.5"/>
  </r>
  <r>
    <n v="16748"/>
    <s v="MATERIALES EMO - MEDELLIN"/>
    <n v="801002644"/>
    <s v="3148161859"/>
    <s v="3148161859"/>
    <s v="3148161859"/>
    <s v="CR 7 16B 42 BRR CIUDAD SUR LC 2,BELLO HORIZONTE"/>
    <s v="3.2654400"/>
    <s v="-76.5346713"/>
    <s v="VALLE DEL CAUCA"/>
    <s v="JAMUNDÍ"/>
    <s v="JAMUNDÍ"/>
    <n v="76364"/>
    <s v="2025-11-18"/>
    <n v="8"/>
    <s v="CALI"/>
    <x v="5"/>
    <n v="15709.5"/>
  </r>
  <r>
    <n v="35096"/>
    <s v="BARRIO JARDIN  1 NEIVA"/>
    <n v="1075224615"/>
    <s v="628933621"/>
    <s v="3104542238"/>
    <s v="3104542238"/>
    <s v="CORREGIMIENTO DE BITACO, MUNICIPIO DE LA CUMBRE-VALLE"/>
    <s v="3.6105593"/>
    <s v="-76.5993600"/>
    <s v="VALLE DEL CAUCA"/>
    <s v="LA CUMBRE"/>
    <s v="LA CUMBRE"/>
    <n v="76377"/>
    <s v="2025-11-25"/>
    <n v="8"/>
    <s v="CALI"/>
    <x v="5"/>
    <n v="15709.5"/>
  </r>
  <r>
    <n v="27156"/>
    <s v="BARRIO CENTRO 2  NEIVA"/>
    <n v="83224064"/>
    <s v="5614971"/>
    <s v="3236124013"/>
    <s v="3236124013"/>
    <s v=" TV 20 A 54 A 11"/>
    <s v="6.1271000"/>
    <s v="-75.3790996"/>
    <s v="ANTIOQUIA"/>
    <s v="RIONEGRO"/>
    <s v="RIONEGRO"/>
    <n v="5615"/>
    <s v="2025-11-10"/>
    <n v="8"/>
    <s v="MEDELLIN"/>
    <x v="0"/>
    <n v="15709.5"/>
  </r>
  <r>
    <n v="25614"/>
    <s v="BARRIO GRANJAS IX - NEIVA"/>
    <n v="55063537"/>
    <s v="5610035"/>
    <s v="3127318772"/>
    <s v="3127318772"/>
    <s v=" CR 46 49 75 RIONEGRO ANTIOQUIA"/>
    <s v="6.1538553"/>
    <s v="-75.3707991"/>
    <s v="ANTIOQUIA"/>
    <s v="RIONEGRO"/>
    <s v="RIONEGRO"/>
    <n v="5615"/>
    <s v="2025-11-06"/>
    <n v="8"/>
    <s v="MEDELLIN"/>
    <x v="0"/>
    <n v="15709.5"/>
  </r>
  <r>
    <n v="18978"/>
    <s v="BARRIO TIMANCO 1 NEIVA"/>
    <n v="55162620"/>
    <s v="5619323"/>
    <s v="3116143383"/>
    <s v="3116143383"/>
    <s v=" CR 54 A  24-59"/>
    <s v="6.1307600"/>
    <s v="-75.3791067"/>
    <s v="ANTIOQUIA"/>
    <s v="RIONEGRO"/>
    <s v="RIONEGRO"/>
    <n v="5615"/>
    <s v="2025-11-10"/>
    <n v="8"/>
    <s v="MEDELLIN"/>
    <x v="0"/>
    <n v="15709.5"/>
  </r>
  <r>
    <n v="14661"/>
    <s v="BARRIO GUAYABAL III MEDELLIN"/>
    <n v="900020155"/>
    <s v="5613241"/>
    <s v="3117209350"/>
    <s v="3117209350"/>
    <s v=" CR 47 54 24"/>
    <s v="6.1566480"/>
    <s v="-75.3708032"/>
    <s v="ANTIOQUIA"/>
    <s v="RIONEGRO"/>
    <s v="RIONEGRO"/>
    <n v="5615"/>
    <s v="2025-11-06"/>
    <n v="8"/>
    <s v="MEDELLIN"/>
    <x v="0"/>
    <n v="15709.5"/>
  </r>
  <r>
    <n v="63001"/>
    <s v="BARRIO CENTRO MADRID 4"/>
    <n v="900912012"/>
    <s v="3138962577"/>
    <s v="3138962577"/>
    <m/>
    <s v="KDX 217 1,VDA AGUA CLARA"/>
    <s v="8.2377626"/>
    <s v="-72.4266507"/>
    <s v="NORTE DE SANTANDER"/>
    <s v="CÚCUTA"/>
    <s v="CÚCUTA"/>
    <n v="54001"/>
    <s v="2025-11-24"/>
    <e v="#N/A"/>
    <s v="CUCUTA"/>
    <x v="2"/>
    <n v="28277.100000000002"/>
  </r>
  <r>
    <n v="79152"/>
    <s v="BARRIO LAS DELICIAS VALLEDUPAR 2"/>
    <n v="1065598928"/>
    <s v="3145939910"/>
    <s v="3019724337"/>
    <s v="3019724337"/>
    <s v="CL 9 6-54 CEN CC ATLANTIS LC 35 ,CENTRO"/>
    <s v="7.8879378"/>
    <s v="-72.5057209"/>
    <s v="NORTE DE SANTANDER"/>
    <s v="CÚCUTA"/>
    <s v="CÚCUTA"/>
    <n v="54001"/>
    <s v="2025-11-14"/>
    <n v="8"/>
    <s v="CUCUTA"/>
    <x v="2"/>
    <n v="28277.100000000002"/>
  </r>
  <r>
    <n v="76396"/>
    <s v="BARRIO EL LIMONAR VALLEDUPAR"/>
    <n v="901014521"/>
    <s v="3163509818"/>
    <s v="3163509818"/>
    <s v="3163509818"/>
    <s v="MZ 11 LT 27 LC 1 PISO 1 CLARET,CLARET"/>
    <s v="7.9146483"/>
    <s v="-72.5297436"/>
    <s v="NORTE DE SANTANDER"/>
    <s v="CÚCUTA"/>
    <s v="CÚCUTA"/>
    <n v="54001"/>
    <s v="2025-11-24"/>
    <n v="8"/>
    <s v="CUCUTA"/>
    <x v="2"/>
    <n v="28277.100000000002"/>
  </r>
  <r>
    <n v="78444"/>
    <s v="BARRIO ENRIQUE PUPO VALLEDUPAR 1"/>
    <n v="1098200028"/>
    <s v="3246256334"/>
    <s v="3246256334"/>
    <m/>
    <s v="BIS NOA GALPON B LC 338 CENABASTOS,TASAJERO"/>
    <s v="7.9283593"/>
    <s v="-72.4938444"/>
    <s v="NORTE DE SANTANDER"/>
    <s v="CÚCUTA"/>
    <s v="CÚCUTA"/>
    <n v="54001"/>
    <s v="2025-11-24"/>
    <n v="16"/>
    <s v="CUCUTA"/>
    <x v="2"/>
    <n v="28277.100000000002"/>
  </r>
  <r>
    <n v="77715"/>
    <s v="BARRIO SANTANA VALLEDUPAR"/>
    <n v="49609355"/>
    <s v="3166482510"/>
    <s v="3166482510"/>
    <m/>
    <s v="CL 13 A 13-21 LC 2,TOLEDO PLATA"/>
    <s v="7.9400932"/>
    <s v="-72.5139743"/>
    <s v="NORTE DE SANTANDER"/>
    <s v="CÚCUTA"/>
    <s v="CÚCUTA"/>
    <n v="54001"/>
    <s v="2025-11-24"/>
    <n v="8"/>
    <s v="CUCUTA"/>
    <x v="2"/>
    <n v="28277.100000000002"/>
  </r>
  <r>
    <n v="66013"/>
    <s v="BARRIO NIQUIA BELLO 16"/>
    <n v="901154313"/>
    <s v="3214916206"/>
    <s v="3214916206"/>
    <s v="3214916206"/>
    <s v="AV 8 7-93,EL CENTRO"/>
    <s v="7.8884129"/>
    <s v="-72.5073619"/>
    <s v="NORTE DE SANTANDER"/>
    <s v="CÚCUTA"/>
    <s v="CÚCUTA"/>
    <n v="54001"/>
    <s v="2025-11-14"/>
    <n v="16"/>
    <s v="CUCUTA"/>
    <x v="2"/>
    <n v="28277.100000000002"/>
  </r>
  <r>
    <n v="59108"/>
    <s v="BARRIO LA SELVA BELLO 2"/>
    <n v="71229268"/>
    <s v="3057071050"/>
    <s v="3057071050"/>
    <s v="3057071050"/>
    <s v="CL 8 B N NRO 15E-08 MZ 22 LT 8 ,CIUDAD JARDIN"/>
    <s v="7.9092611"/>
    <s v="-72.4883465"/>
    <s v="NORTE DE SANTANDER"/>
    <s v="CÚCUTA"/>
    <s v="CÚCUTA"/>
    <n v="54001"/>
    <s v="2025-11-27"/>
    <n v="16"/>
    <s v="CUCUTA"/>
    <x v="2"/>
    <n v="28277.100000000002"/>
  </r>
  <r>
    <n v="61400"/>
    <s v="BARRIO PARQUE PRINCIPAL BELLO 1"/>
    <n v="1152439346"/>
    <s v="3182471805"/>
    <s v="3177770680"/>
    <s v="3182471805"/>
    <s v="CL 35 NRO. 2 E- 66 PORTAL DE BUENOS AIRES,PORTAL DE BUENOS AIRES"/>
    <s v="3.5313219"/>
    <s v="-76.2754247"/>
    <s v="VALLE DEL CAUCA"/>
    <s v="PALMIRA"/>
    <s v="PALMIRA"/>
    <n v="76520"/>
    <s v="2025-11-19"/>
    <n v="8"/>
    <s v="CALI"/>
    <x v="5"/>
    <n v="15709.5"/>
  </r>
  <r>
    <n v="56825"/>
    <s v="BARRIO ARAUCARIAS 1 BELLO"/>
    <n v="71758980"/>
    <s v="3182800773"/>
    <s v="3182800773"/>
    <s v="3182800773"/>
    <s v="CL 31 NRO 26-36,CENTRO"/>
    <s v="3.5278093"/>
    <s v="-76.2974908"/>
    <s v="VALLE DEL CAUCA"/>
    <s v="PALMIRA"/>
    <s v="PALMIRA"/>
    <n v="76520"/>
    <s v="2025-11-14"/>
    <n v="8"/>
    <s v="CALI"/>
    <x v="5"/>
    <n v="15709.5"/>
  </r>
  <r>
    <n v="58468"/>
    <s v="BARRIO CABAÑAS BELLO 8"/>
    <n v="901038123"/>
    <s v="0"/>
    <s v="3205725493"/>
    <s v="3205725493"/>
    <s v="CR 25 A  46-08-ALTAMIRA"/>
    <s v="3.5414"/>
    <s v="-76.29414"/>
    <s v="VALLE DEL CAUCA"/>
    <s v="PALMIRA"/>
    <s v="PALMIRA"/>
    <n v="76520"/>
    <s v="2025-11-20"/>
    <n v="16"/>
    <s v="CALI"/>
    <x v="5"/>
    <n v="15709.5"/>
  </r>
  <r>
    <n v="58469"/>
    <s v="BARRIO NIQUIA BELLO 12"/>
    <n v="901038123"/>
    <s v="2765381"/>
    <s v="3147980314"/>
    <s v="3107405348"/>
    <s v="CR 5 E 33 C 39 MARÍA CANO,BUENOS AIRES"/>
    <s v="3.5299651"/>
    <s v="-76.2751035"/>
    <s v="VALLE DEL CAUCA"/>
    <s v="PALMIRA"/>
    <s v="PALMIRA"/>
    <n v="76520"/>
    <s v="2025-11-19"/>
    <n v="16"/>
    <s v="CALI"/>
    <x v="5"/>
    <n v="15709.5"/>
  </r>
  <r>
    <n v="75060"/>
    <s v="BARRIO BELLA VISTA VALLEDUPAR 2"/>
    <n v="1064116488"/>
    <s v="3103283822"/>
    <s v="3127800112"/>
    <s v="3103283822"/>
    <s v="CR 48 N 51-15,SAN FRANCISCO"/>
    <s v="6.1545410"/>
    <s v="-75.3724059"/>
    <s v="ANTIOQUIA"/>
    <s v="RIONEGRO"/>
    <s v="RIONEGRO"/>
    <n v="5615"/>
    <s v="2025-11-06"/>
    <n v="16"/>
    <s v="MEDELLIN"/>
    <x v="0"/>
    <n v="15709.5"/>
  </r>
  <r>
    <n v="77093"/>
    <s v="BARRIO KENNEDY VALLEDUPAR 1"/>
    <n v="1065589072"/>
    <s v="3232912901"/>
    <s v="3174010325"/>
    <s v="3232912901"/>
    <s v="KM 3 VIA LLANOGRANDE SEC LA AMALITA TRANSVERSAL"/>
    <s v="6.1319933"/>
    <s v="-75.4006877"/>
    <s v="ANTIOQUIA"/>
    <s v="RIONEGRO"/>
    <s v="RIONEGRO"/>
    <n v="5615"/>
    <s v="2025-11-10"/>
    <n v="8"/>
    <s v="MEDELLIN"/>
    <x v="0"/>
    <n v="15709.5"/>
  </r>
  <r>
    <n v="75424"/>
    <s v="BARRIO URBANIZACION MARIA VALERIA VALLEDUPAR"/>
    <n v="49718237"/>
    <s v="3861477"/>
    <s v="3192609779"/>
    <s v="3192609779"/>
    <s v=" CR 46 52 54 CE RIONEGRO PLAZA"/>
    <s v="6.1558779"/>
    <s v="-75.3705685"/>
    <s v="ANTIOQUIA"/>
    <s v="RIONEGRO"/>
    <s v="RIONEGRO"/>
    <n v="5615"/>
    <s v="2025-11-06"/>
    <n v="8"/>
    <s v="MEDELLIN"/>
    <x v="0"/>
    <n v="15709.5"/>
  </r>
  <r>
    <n v="76687"/>
    <s v="BRR VILLA MIRIAN VALLEDUPAR"/>
    <n v="1065656417"/>
    <s v="6151541"/>
    <s v="3008184814"/>
    <s v="3008875464"/>
    <s v="CL 23 55 D 14,SAN ANTONIO DE PEREIRA"/>
    <s v="6.1302312"/>
    <s v="-75.3818086"/>
    <s v="ANTIOQUIA"/>
    <s v="RIONEGRO"/>
    <s v="RIONEGRO"/>
    <n v="5615"/>
    <s v="2025-11-10"/>
    <n v="8"/>
    <s v="MEDELLIN"/>
    <x v="0"/>
    <n v="15709.5"/>
  </r>
  <r>
    <n v="75059"/>
    <s v="BARRIO FRANCISCO DE PAULA SANTANDER VALLEDUPAR"/>
    <n v="1067594516"/>
    <s v="3017243958"/>
    <s v="3017243958"/>
    <s v="3017243958"/>
    <s v="CR 47 75 SUR 12"/>
    <s v="6.151825"/>
    <s v="-75.620819"/>
    <s v="ANTIOQUIA"/>
    <s v="SABANETA"/>
    <s v="SABANETA"/>
    <n v="5631"/>
    <s v="2025-11-05"/>
    <n v="8"/>
    <s v="MEDELLIN"/>
    <x v="0"/>
    <n v="15709.5"/>
  </r>
  <r>
    <n v="72957"/>
    <s v="BARRIO DON CARMELO VALLEDUPAR 5"/>
    <n v="72260553"/>
    <m/>
    <s v="3160517478"/>
    <s v="3163688785"/>
    <s v="CL 10 14 A 141,ENTRADA ROZO"/>
    <s v="3.6151166"/>
    <s v="-76.3923362"/>
    <s v="VALLE DEL CAUCA"/>
    <s v="PALMIRA"/>
    <s v="PALMIRA"/>
    <n v="76520"/>
    <s v="2025-11-18"/>
    <n v="8"/>
    <s v="CALI"/>
    <x v="5"/>
    <n v="15709.5"/>
  </r>
  <r>
    <n v="72573"/>
    <s v="BARRIO DONGOND VALLEDUPAR"/>
    <n v="1066291207"/>
    <s v="2836136"/>
    <s v="3196507112"/>
    <s v="3103749925"/>
    <s v="CL 47 # 28 A - 04,URB. LOS SAMANES"/>
    <s v="3.5423199"/>
    <s v="-76.2970192"/>
    <s v="VALLE DEL CAUCA"/>
    <s v="PALMIRA"/>
    <s v="PALMIRA"/>
    <n v="76520"/>
    <s v="2025-11-14"/>
    <n v="8"/>
    <s v="CALI"/>
    <x v="5"/>
    <n v="15709.5"/>
  </r>
  <r>
    <n v="66078"/>
    <s v="BARRIO LAS DELICIAS VALLEDUPAR 1"/>
    <n v="1065635801"/>
    <s v="2738718"/>
    <s v="3116127948"/>
    <s v="3116127948"/>
    <s v=" CL 57 38 03"/>
    <s v="3.5474904"/>
    <s v="-76.3102193"/>
    <s v="VALLE DEL CAUCA"/>
    <s v="PALMIRA"/>
    <s v="PALMIRA"/>
    <n v="76520"/>
    <s v="2025-11-14"/>
    <n v="8"/>
    <s v="CALI"/>
    <x v="5"/>
    <n v="15709.5"/>
  </r>
  <r>
    <n v="67359"/>
    <s v="BARRIO LA ESPERANZA VALLEDUPAR 7"/>
    <n v="1065639200"/>
    <s v="2859849"/>
    <s v="3183938842"/>
    <s v="3128602063"/>
    <s v=" CR 41 35 38"/>
    <s v="3.5326943"/>
    <s v="-76.3112418"/>
    <s v="VALLE DEL CAUCA"/>
    <s v="PALMIRA"/>
    <s v="PALMIRA"/>
    <n v="76520"/>
    <s v="2025-11-18"/>
    <n v="8"/>
    <s v="CALI"/>
    <x v="5"/>
    <n v="15709.5"/>
  </r>
  <r>
    <n v="68355"/>
    <s v="NUEVA ESPERANZA 2"/>
    <n v="1121300546"/>
    <s v="8212625"/>
    <s v="3004042527"/>
    <s v="3004042527"/>
    <s v=" CL PRINCIPAL"/>
    <s v="8.7579683"/>
    <s v="-76.5301993"/>
    <s v="ANTIOQUIA"/>
    <s v="SAN JUAN DE URABÁ"/>
    <s v="SAN JUAN DE URABÁ"/>
    <n v="5659"/>
    <s v="2025-11-24"/>
    <n v="8"/>
    <s v="MONTERIA"/>
    <x v="1"/>
    <n v="15709.5"/>
  </r>
  <r>
    <n v="41093"/>
    <s v="BARRIO LAS GRANJAS BELLO"/>
    <n v="98645876"/>
    <s v="6450054"/>
    <s v="3203039211"/>
    <s v="3203039211"/>
    <s v=" CR 3 2 35  CENTRO"/>
    <s v="5.56600500"/>
    <s v="-73.45120000"/>
    <s v="BOYACÁ"/>
    <s v="SORA"/>
    <s v="SORA"/>
    <n v="15762"/>
    <s v="2025-11-14"/>
    <n v="8"/>
    <s v="TUNJA"/>
    <x v="2"/>
    <n v="28277.100000000002"/>
  </r>
  <r>
    <n v="40187"/>
    <s v="BARRIO CABAÑAS BELLO 4"/>
    <n v="94503783"/>
    <m/>
    <s v="3115299611"/>
    <s v="3115299611"/>
    <s v=" CR 3 4 07  CENTRO"/>
    <s v="5.9378098"/>
    <s v="-73.5126417"/>
    <s v="BOYACÁ"/>
    <s v="TOGÜÍ"/>
    <s v="TOGÜÍ"/>
    <n v="15816"/>
    <s v="2025-11-06"/>
    <n v="16"/>
    <s v="TUNJA"/>
    <x v="2"/>
    <n v="28277.100000000002"/>
  </r>
  <r>
    <n v="45938"/>
    <s v="BARRIO CALLE PRINCIPAL BELLO 3"/>
    <n v="901246235"/>
    <s v="3108848215"/>
    <s v="3108848215"/>
    <s v="3108848215"/>
    <s v="CR 2 4 21 PISO 2,CENTRO"/>
    <s v="5.93757922"/>
    <s v="-73.51173628"/>
    <s v="BOYACÁ"/>
    <s v="TOGÜÍ"/>
    <s v="TOGÜÍ"/>
    <n v="15816"/>
    <s v="2025-11-06"/>
    <n v="8"/>
    <s v="TUNJA"/>
    <x v="2"/>
    <n v="28277.100000000002"/>
  </r>
  <r>
    <n v="51699"/>
    <s v="BARRIO LOS FUNDADORES VALLEDUPAR 4"/>
    <n v="80111622"/>
    <s v="3208663573"/>
    <s v="3208663573"/>
    <s v="3208663573"/>
    <s v="CR 3 3 56 ,CENTRO"/>
    <s v="5.93792558"/>
    <s v="-73.51361323"/>
    <s v="BOYACÁ"/>
    <s v="TOGÜÍ"/>
    <s v="TOGÜÍ"/>
    <n v="15816"/>
    <s v="2025-11-25"/>
    <n v="16"/>
    <s v="TUNJA"/>
    <x v="2"/>
    <n v="28277.100000000002"/>
  </r>
  <r>
    <n v="51038"/>
    <s v="BARRIO CENTRO VALLEDUPAR 24"/>
    <n v="900220829"/>
    <s v="3144918728"/>
    <s v="3144918728"/>
    <s v="3102828935"/>
    <s v="CR 3 NO.4-65,CENTRO"/>
    <s v="5.4361017"/>
    <s v="-73.2953529"/>
    <s v="BOYACÁ"/>
    <s v="VIRACACHÁ"/>
    <s v="VIRACACHÁ"/>
    <n v="15879"/>
    <s v="2025-11-13"/>
    <n v="8"/>
    <s v="TUNJA"/>
    <x v="2"/>
    <n v="28277.100000000002"/>
  </r>
  <r>
    <n v="38670"/>
    <s v=" BARRIO CENTRO VALLEDUPAR   20"/>
    <n v="806013052"/>
    <s v="3147269349"/>
    <s v="3147269349"/>
    <s v="3147269349"/>
    <s v="VRD ALEGRIAS FINCA LA TOMASITA - VDA ALEGRIAS,VDA ALEGRIAS"/>
    <s v="5.3069218"/>
    <s v="-75.4951145"/>
    <s v="CALDAS"/>
    <s v="ARANZAZU"/>
    <s v="ARANZAZU"/>
    <n v="17050"/>
    <s v="2025-11-20"/>
    <n v="8"/>
    <s v="MANIZALES"/>
    <x v="6"/>
    <n v="28277.100000000002"/>
  </r>
  <r>
    <n v="43270"/>
    <s v="BARRIO DON ALBERTO VALLEDUPAR"/>
    <n v="66862923"/>
    <s v="6666775"/>
    <s v="3117108230"/>
    <s v="3104064344"/>
    <s v="CR 4 N  14 25"/>
    <s v="4.99326067"/>
    <s v="-75.8127576"/>
    <s v="CALDAS"/>
    <s v="BELALCÁZAR"/>
    <s v="BELALCÁZAR"/>
    <n v="17088"/>
    <s v="2025-11-10"/>
    <n v="16"/>
    <s v="MANIZALES"/>
    <x v="6"/>
    <n v="28277.100000000002"/>
  </r>
  <r>
    <n v="43271"/>
    <s v="BARRIO LA GRANJA VALLEDUPAR 4"/>
    <n v="16212279"/>
    <m/>
    <s v="3218442632"/>
    <s v="3122904092"/>
    <s v=" CR 5 # 11 - 27"/>
    <s v="4.9930789"/>
    <s v="-75.8127991"/>
    <s v="CALDAS"/>
    <s v="BELALCÁZAR"/>
    <s v="BELALCÁZAR"/>
    <n v="17088"/>
    <s v="2025-11-10"/>
    <n v="8"/>
    <s v="MANIZALES"/>
    <x v="6"/>
    <n v="28277.100000000002"/>
  </r>
  <r>
    <n v="24759"/>
    <s v="BARRIO OBRERO III - VALLEDUPAR"/>
    <n v="93437085"/>
    <s v="3226370152"/>
    <s v="3226370152"/>
    <s v="3206424918"/>
    <s v="CORR HUISITO,HUISITO"/>
    <s v="2.5088820"/>
    <s v="-77.0632702"/>
    <s v="CAUCA"/>
    <s v="EL TAMBO"/>
    <s v="EL TAMBO"/>
    <n v="19256"/>
    <s v="2025-11-19"/>
    <n v="8"/>
    <s v="CALI"/>
    <x v="5"/>
    <n v="15709.5"/>
  </r>
  <r>
    <n v="62622"/>
    <s v="BARRIO LAS PALMAS NADRID MADRID"/>
    <n v="900078103"/>
    <s v="3107919571"/>
    <s v="3107919571"/>
    <s v="3135451495"/>
    <s v="CGT HUISITO,HUISITO"/>
    <s v="2.5084243"/>
    <s v="-77.0642633"/>
    <s v="CAUCA"/>
    <s v="EL TAMBO"/>
    <s v="EL TAMBO"/>
    <n v="19256"/>
    <s v="2025-11-19"/>
    <e v="#N/A"/>
    <s v="CALI"/>
    <x v="5"/>
    <n v="15709.5"/>
  </r>
  <r>
    <n v="64784"/>
    <s v="BARRIO INSP SAN JUAN DEL LOZADA LA MACARENA"/>
    <n v="1075282651"/>
    <s v="3206057277"/>
    <s v="3017812835"/>
    <s v="3185186982"/>
    <s v="PIAGUA TAMBO,PIAGUA CORREGIMIENTO PIAGIA"/>
    <s v="2.4375919"/>
    <s v="-76.7738516"/>
    <s v="CAUCA"/>
    <s v="EL TAMBO"/>
    <s v="EL TAMBO"/>
    <n v="19256"/>
    <s v="2025-11-19"/>
    <e v="#N/A"/>
    <s v="CALI"/>
    <x v="5"/>
    <n v="15709.5"/>
  </r>
  <r>
    <n v="29998"/>
    <s v="BARRIO BELLO LA 2000 "/>
    <n v="901038123"/>
    <s v="3124039040"/>
    <s v="3124039040"/>
    <s v="3124039040"/>
    <s v="AV 4 NRO 10N-231 LT 2B,EL BOSQUE"/>
    <s v="7.9115108"/>
    <s v="-72.4988920"/>
    <s v="NORTE DE SANTANDER"/>
    <s v="CÚCUTA"/>
    <s v="CÚCUTA"/>
    <n v="54001"/>
    <s v="2025-11-21"/>
    <n v="16"/>
    <s v="CUCUTA"/>
    <x v="2"/>
    <n v="28277.100000000002"/>
  </r>
  <r>
    <n v="13676"/>
    <s v="BARRIO VILLA DEL SOL BELLO"/>
    <n v="27978881"/>
    <s v="3218964932"/>
    <s v="3218964932"/>
    <s v="3218964632"/>
    <s v="CL 8 NRO 5-60 CC COOSACUT LOCAL 70 Y 72,EL CENTRO"/>
    <s v="7.8889570"/>
    <s v="-72.5050141"/>
    <s v="NORTE DE SANTANDER"/>
    <s v="CÚCUTA"/>
    <s v="CÚCUTA"/>
    <n v="54001"/>
    <s v="2025-11-27"/>
    <n v="16"/>
    <s v="CUCUTA"/>
    <x v="2"/>
    <n v="28277.100000000002"/>
  </r>
  <r>
    <n v="21147"/>
    <s v="BARRIO VALLE MESA - VALLEDUPAR"/>
    <n v="20803840"/>
    <s v="3107637314"/>
    <s v="3107637314"/>
    <s v="3107637314"/>
    <s v="KDX 1 A 3 MZ H LT 16,VALLES DE GIRON"/>
    <s v="7.8861876"/>
    <s v="-72.5432371"/>
    <s v="NORTE DE SANTANDER"/>
    <s v="CÚCUTA"/>
    <s v="CÚCUTA"/>
    <n v="54001"/>
    <s v="2025-11-21"/>
    <n v="16"/>
    <s v="CUCUTA"/>
    <x v="2"/>
    <n v="28277.100000000002"/>
  </r>
  <r>
    <n v="20581"/>
    <s v="BARRIO FUNDADORES IV VALLEDUPAR"/>
    <n v="49722200"/>
    <s v="3112489434"/>
    <s v="3112489434"/>
    <s v="3112489434"/>
    <s v="CL 9 7-97,EL CENTRO"/>
    <s v="7.8874362"/>
    <s v="-72.5071229"/>
    <s v="NORTE DE SANTANDER"/>
    <s v="CÚCUTA"/>
    <s v="CÚCUTA"/>
    <n v="54001"/>
    <s v="2025-11-20"/>
    <n v="16"/>
    <s v="CUCUTA"/>
    <x v="2"/>
    <n v="28277.100000000002"/>
  </r>
  <r>
    <n v="14655"/>
    <s v="RISARALDA III - CALDAS"/>
    <n v="33945042"/>
    <s v="3114891992"/>
    <s v="3114891992"/>
    <s v="3114891992"/>
    <s v="AV 3 NRO 8 07,SAN LUIS"/>
    <s v="7.907245"/>
    <s v="-72.469535"/>
    <s v="NORTE DE SANTANDER"/>
    <s v="CÚCUTA"/>
    <s v="CÚCUTA"/>
    <n v="54001"/>
    <s v="2025-11-28"/>
    <e v="#N/A"/>
    <s v="CUCUTA"/>
    <x v="2"/>
    <n v="28277.100000000002"/>
  </r>
  <r>
    <n v="50417"/>
    <s v="BARRIO CALLE PRINCIPAL RISARALDA"/>
    <n v="33945042"/>
    <s v="3209310273"/>
    <s v="3209310273"/>
    <s v="3112489434"/>
    <s v="CL 2 NRO 5-03,DOÑA CECI"/>
    <s v="7.8978950"/>
    <s v="-72.5270566"/>
    <s v="NORTE DE SANTANDER"/>
    <s v="CÚCUTA"/>
    <s v="CÚCUTA"/>
    <n v="54001"/>
    <s v="2025-11-24"/>
    <e v="#N/A"/>
    <s v="CUCUTA"/>
    <x v="2"/>
    <n v="28277.100000000002"/>
  </r>
  <r>
    <n v="19652"/>
    <s v="BARRIO CENTRO IV VILLAMARIA"/>
    <n v="34000929"/>
    <s v="3702440"/>
    <s v="3004417355"/>
    <s v="3004417355"/>
    <s v=" CR 3B  3-75"/>
    <s v="9.2325073"/>
    <s v="-74.7438508"/>
    <s v="BOLÍVAR"/>
    <s v="MAGANGUÉ"/>
    <s v="MAGANGUÉ"/>
    <n v="13430"/>
    <s v="2025-11-26"/>
    <n v="8"/>
    <s v="CARTAGENA"/>
    <x v="1"/>
    <n v="28277.100000000002"/>
  </r>
  <r>
    <n v="32319"/>
    <s v="BARRIO LA PRADERA VILLAMARIA CALDAS"/>
    <n v="93383230"/>
    <s v="6877080"/>
    <s v="3013716949"/>
    <s v="3013716949"/>
    <s v=" CR 3  14 A-47 "/>
    <s v="9.2347657"/>
    <s v="-74.7444914"/>
    <s v="BOLÍVAR"/>
    <s v="MAGANGUÉ"/>
    <s v="MAGANGUÉ"/>
    <n v="13430"/>
    <s v="2025-11-26"/>
    <n v="16"/>
    <s v="CARTAGENA"/>
    <x v="1"/>
    <n v="28277.100000000002"/>
  </r>
  <r>
    <n v="30509"/>
    <s v="BARRIO VILLA DIANA FUNZA"/>
    <n v="52257154"/>
    <s v="3012344865"/>
    <s v="3012344865"/>
    <s v="3012344865"/>
    <s v="CR 4 14 87 P 2 AP 1,CENTRO"/>
    <s v="9.2346284"/>
    <s v="-74.7448498"/>
    <s v="BOLÍVAR"/>
    <s v="MAGANGUÉ"/>
    <s v="MAGANGUÉ"/>
    <n v="13430"/>
    <s v="2025-11-26"/>
    <e v="#N/A"/>
    <s v="CARTAGENA"/>
    <x v="1"/>
    <n v="28277.100000000002"/>
  </r>
  <r>
    <n v="34733"/>
    <s v="BARRIO FUNZA FUNZA 2"/>
    <n v="79854361"/>
    <s v="7706321"/>
    <s v="3114845759"/>
    <s v="3114845759"/>
    <s v=" CL 11 B 17 73"/>
    <s v="5.7196316"/>
    <s v="-72.9333903"/>
    <s v="BOYACÁ"/>
    <s v="SOGAMOSO"/>
    <s v="SOGAMOSO"/>
    <n v="15759"/>
    <s v="2025-11-20"/>
    <e v="#N/A"/>
    <s v="TUNJA"/>
    <x v="2"/>
    <n v="28277.100000000002"/>
  </r>
  <r>
    <n v="34442"/>
    <s v="BARRIO PROVIVIENDA FUNZA"/>
    <n v="79854361"/>
    <s v="7714089"/>
    <s v="3114845759"/>
    <s v="3114845759"/>
    <s v=" CR 11 7 64"/>
    <s v="5.7112"/>
    <s v="-72.933"/>
    <s v="BOYACÁ"/>
    <s v="SOGAMOSO"/>
    <s v="SOGAMOSO"/>
    <n v="15759"/>
    <s v="2025-11-20"/>
    <e v="#N/A"/>
    <s v="TUNJA"/>
    <x v="2"/>
    <n v="28277.100000000002"/>
  </r>
  <r>
    <n v="34443"/>
    <s v="BARRIO FUNZA FUNZA 1"/>
    <n v="860090873"/>
    <s v="6495647"/>
    <s v="3114960922"/>
    <s v="3114960922"/>
    <s v="CR 14 # 6 -33"/>
    <s v="5.7120256"/>
    <s v="-72.9343568"/>
    <s v="BOYACÁ"/>
    <s v="SOGAMOSO"/>
    <s v="SOGAMOSO"/>
    <n v="15759"/>
    <s v="2025-11-12"/>
    <e v="#N/A"/>
    <s v="TUNJA"/>
    <x v="2"/>
    <n v="28277.100000000002"/>
  </r>
  <r>
    <n v="80922"/>
    <s v="BARRIO CENTRO VILLA RICA 5"/>
    <n v="1007616390"/>
    <s v="3134039296"/>
    <s v="3103144794"/>
    <s v="3134039296"/>
    <s v="CL PRINCIPAL HUISITO,CL PRINCIPAL HUISITO"/>
    <s v="2.5084724"/>
    <s v="-77.0635772"/>
    <s v="CAUCA"/>
    <s v="EL TAMBO"/>
    <s v="EL TAMBO"/>
    <n v="19256"/>
    <s v="2025-11-19"/>
    <e v="#N/A"/>
    <s v="CALI"/>
    <x v="5"/>
    <n v="15709.5"/>
  </r>
  <r>
    <n v="35743"/>
    <s v="BARRIO CENTRO LA MESA 2"/>
    <n v="20865643"/>
    <s v="0"/>
    <s v="3152305754"/>
    <s v="3152305754"/>
    <s v="CR 2 NRO. 12 - 62 LOCAL 1"/>
    <s v="2.613051388"/>
    <s v="-76.3764505"/>
    <s v="CAUCA"/>
    <s v="SILVIA"/>
    <s v="SILVIA"/>
    <n v="19743"/>
    <s v="2025-11-07"/>
    <e v="#N/A"/>
    <s v="CALI"/>
    <x v="5"/>
    <n v="15709.5"/>
  </r>
  <r>
    <n v="77605"/>
    <s v="BARRIO VILLAS DEL NUEVO SIGLO LA MESA"/>
    <n v="20989428"/>
    <s v="3155219270"/>
    <s v="3155219270"/>
    <s v="3155219270"/>
    <s v="VRD PITAYO,VRD PITAYO"/>
    <s v="2.7135014"/>
    <s v="-76.3245340"/>
    <s v="CAUCA"/>
    <s v="SILVIA"/>
    <s v="SILVIA"/>
    <n v="19743"/>
    <s v="2025-11-07"/>
    <e v="#N/A"/>
    <s v="CALI"/>
    <x v="5"/>
    <n v="15709.5"/>
  </r>
  <r>
    <n v="32380"/>
    <s v="VEREDA SANTA ROSA 2 GUEPSA"/>
    <n v="901166630"/>
    <s v="8278093"/>
    <s v="3209864171"/>
    <s v="3217346704"/>
    <s v=" CR  18   16   53"/>
    <s v="2.3524055"/>
    <s v="-76.6834651"/>
    <s v="CAUCA"/>
    <s v="TIMBÍO"/>
    <s v="TIMBÍO"/>
    <n v="19807"/>
    <s v="2025-11-10"/>
    <e v="#N/A"/>
    <s v="CALI"/>
    <x v="5"/>
    <n v="15709.5"/>
  </r>
  <r>
    <n v="53986"/>
    <s v="BARRIO CENTRO PIEDECUESTA 5"/>
    <n v="91496409"/>
    <s v="0"/>
    <s v="3234476644"/>
    <s v="3234771137"/>
    <s v="CR 20 NO 18 - 71 BRR OSPINA PEREZ,OSPINA PEREZ"/>
    <s v="2.3544706"/>
    <s v="-76.6844575"/>
    <s v="CAUCA"/>
    <s v="TIMBÍO"/>
    <s v="TIMBÍO"/>
    <n v="19807"/>
    <s v="2025-11-10"/>
    <e v="#N/A"/>
    <s v="CALI"/>
    <x v="5"/>
    <n v="15709.5"/>
  </r>
  <r>
    <n v="53987"/>
    <s v="BARRIO SAN RAFAEL PIEDECUESTA 3"/>
    <n v="91496409"/>
    <s v="5840832"/>
    <s v="3215393403"/>
    <s v="3215393403"/>
    <s v="TRANSVERSAL 9 10A 34 APARTAMENTO 01 BARRIO SANTA CLARA"/>
    <s v="8.88694029"/>
    <s v="-75.79063056"/>
    <s v="CÓRDOBA"/>
    <s v="CERETÉ"/>
    <s v="CERETÉ"/>
    <n v="23162"/>
    <s v="2025-11-12"/>
    <e v="#N/A"/>
    <s v="MONTERIA"/>
    <x v="1"/>
    <n v="15709.5"/>
  </r>
  <r>
    <n v="53988"/>
    <s v="BARRIO HOYO GRANDE PIEDECUESTA"/>
    <n v="91496409"/>
    <s v="7641234"/>
    <s v="3126695038"/>
    <s v="3126695038"/>
    <s v=" CR 14 13 20"/>
    <s v="8.88694029"/>
    <s v="-75.79063056"/>
    <s v="CÓRDOBA"/>
    <s v="CERETÉ"/>
    <s v="CERETÉ"/>
    <n v="23162"/>
    <s v="2025-11-24"/>
    <e v="#N/A"/>
    <s v="MONTERIA"/>
    <x v="1"/>
    <n v="15709.5"/>
  </r>
  <r>
    <n v="53989"/>
    <s v="BARRIO PINARES DE GRANADA PIEDECUESTA"/>
    <n v="91496409"/>
    <s v="7744017"/>
    <s v="3107190368"/>
    <s v="3107190368"/>
    <s v=" CL 14 15 13"/>
    <s v="8.8881047"/>
    <s v="-75.7920633"/>
    <s v="CÓRDOBA"/>
    <s v="CERETÉ"/>
    <s v="CERETÉ"/>
    <n v="23162"/>
    <s v="2025-11-12"/>
    <e v="#N/A"/>
    <s v="MONTERIA"/>
    <x v="1"/>
    <n v="15709.5"/>
  </r>
  <r>
    <n v="77022"/>
    <s v="BARRIO OBRERO LA UNIO"/>
    <n v="1085304724"/>
    <s v="3126231555"/>
    <s v="3126231555"/>
    <s v="3145243021"/>
    <s v="CL 9A 14 - 92 BRR LA ESPERANZA"/>
    <s v="8.8824914"/>
    <s v="-75.7902830"/>
    <s v="CÓRDOBA"/>
    <s v="CERETÉ"/>
    <s v="CERETÉ"/>
    <n v="23162"/>
    <s v="2025-11-20"/>
    <e v="#N/A"/>
    <s v="MONTERIA"/>
    <x v="1"/>
    <n v="15709.5"/>
  </r>
  <r>
    <n v="71552"/>
    <s v="BARRIO VEREDA PLANADAS FINCA CAMPO VERDE PIEDECUESTA"/>
    <n v="1102359107"/>
    <s v="3002659903"/>
    <s v="3002659903"/>
    <s v="3002659903"/>
    <s v="CL 14 12 52,CENTRO"/>
    <s v="8.8885035"/>
    <s v="-75.7902537"/>
    <s v="CÓRDOBA"/>
    <s v="CERETÉ"/>
    <s v="CERETÉ"/>
    <n v="23162"/>
    <s v="2025-11-21"/>
    <e v="#N/A"/>
    <s v="MONTERIA"/>
    <x v="1"/>
    <n v="15709.5"/>
  </r>
  <r>
    <n v="13126"/>
    <s v="BARRIO SANTA ISABEL - PALMIRA "/>
    <n v="94319765"/>
    <s v="3234385083"/>
    <s v="3234385083"/>
    <s v="3234385083"/>
    <s v="CR 11 A 15 24 LOC 2,SANTA CLARA"/>
    <s v="8.889278"/>
    <s v="-75.789337"/>
    <s v="CÓRDOBA"/>
    <s v="CERETÉ"/>
    <s v="CERETÉ"/>
    <n v="23162"/>
    <s v="2025-11-24"/>
    <e v="#N/A"/>
    <s v="MONTERIA"/>
    <x v="1"/>
    <n v="15709.5"/>
  </r>
  <r>
    <n v="80952"/>
    <s v="BARRIO ALTAMIRA PALMIRA 3"/>
    <n v="1113628789"/>
    <s v="3008142879"/>
    <s v="3008142879"/>
    <s v="3008142879"/>
    <s v="CR 15 CL 10 62 LC 3,LA ESPERANZA"/>
    <s v="8.884695"/>
    <s v="-75.790536"/>
    <s v="CÓRDOBA"/>
    <s v="CERETÉ"/>
    <s v="CERETÉ"/>
    <n v="23162"/>
    <s v="2025-11-20"/>
    <e v="#N/A"/>
    <s v="MONTERIA"/>
    <x v="1"/>
    <n v="15709.5"/>
  </r>
  <r>
    <n v="71966"/>
    <s v="PALMIRA EL RECREO"/>
    <n v="1113695474"/>
    <s v="3104166537"/>
    <s v="3022105311"/>
    <s v="3104166537"/>
    <s v="CL 6 A SUR KR 10 43 BRR ORO BLANCO,CORREGIMIENTO EL CAÑITO"/>
    <s v="8.8701114"/>
    <s v="-75.8178440"/>
    <s v="CÓRDOBA"/>
    <s v="CERETÉ"/>
    <s v="CERETÉ"/>
    <n v="23162"/>
    <s v="2025-11-20"/>
    <e v="#N/A"/>
    <s v="MONTERIA"/>
    <x v="1"/>
    <n v="15709.5"/>
  </r>
  <r>
    <n v="69068"/>
    <s v="BARRIO LA ESPERANZA PALMIRA 1"/>
    <n v="1113682948"/>
    <s v="3114153873"/>
    <s v="3114153873"/>
    <s v="3114153873"/>
    <s v="CR 2 A 1C 195,VEREDA EL ZAPAL"/>
    <s v="8.9269212"/>
    <s v="-75.7663698"/>
    <s v="CÓRDOBA"/>
    <s v="CERETÉ"/>
    <s v="CERETÉ"/>
    <n v="23162"/>
    <s v="2025-11-04"/>
    <e v="#N/A"/>
    <s v="MONTERIA"/>
    <x v="1"/>
    <n v="15709.5"/>
  </r>
  <r>
    <n v="60371"/>
    <s v="BARRIO NUEVO PALMIRA 1"/>
    <n v="1114873804"/>
    <s v="3014396700"/>
    <s v="3014396700"/>
    <s v="3014396700"/>
    <s v="CR 14 9A 4,LA ESPERANZA"/>
    <s v="8.8822459"/>
    <s v="-75.7894973"/>
    <s v="CÓRDOBA"/>
    <s v="CERETÉ"/>
    <s v="CERETÉ"/>
    <n v="23162"/>
    <s v="2025-11-24"/>
    <e v="#N/A"/>
    <s v="MONTERIA"/>
    <x v="1"/>
    <n v="15709.5"/>
  </r>
  <r>
    <n v="52649"/>
    <s v="BARRIO BARRIO EL RECREO PALMIRA"/>
    <n v="32754406"/>
    <s v="3108681851"/>
    <s v="3108681851"/>
    <s v="3108681851"/>
    <s v="CL 17A NRO 25 98,GAITAN"/>
    <s v="7.8799267"/>
    <s v="-72.5251109"/>
    <s v="NORTE DE SANTANDER"/>
    <s v="CÚCUTA"/>
    <s v="CÚCUTA"/>
    <n v="54001"/>
    <s v="2025-11-21"/>
    <e v="#N/A"/>
    <s v="CUCUTA"/>
    <x v="2"/>
    <n v="28277.100000000002"/>
  </r>
  <r>
    <n v="40667"/>
    <s v="BARRIO LAS AMERICAS PALMIRA"/>
    <n v="66776045"/>
    <s v="3112267474"/>
    <s v="3112267474"/>
    <s v="3112267474"/>
    <s v="MZ D1 CASA 26,URB TORCOROMA 3"/>
    <s v="7.890130"/>
    <s v="-72.472229"/>
    <s v="NORTE DE SANTANDER"/>
    <s v="CÚCUTA"/>
    <s v="CÚCUTA"/>
    <n v="54001"/>
    <s v="2025-11-27"/>
    <e v="#N/A"/>
    <s v="CUCUTA"/>
    <x v="2"/>
    <n v="28277.100000000002"/>
  </r>
  <r>
    <n v="39487"/>
    <s v="BARRIO CENTRO SANTANDER DE QUILICHAO 6"/>
    <n v="890306372"/>
    <s v="3125777194"/>
    <s v="3125777194"/>
    <s v="3125777194"/>
    <s v="CL 17 NRO 19 159,VALLESTER"/>
    <s v="7.885025"/>
    <s v="-72.469420"/>
    <s v="NORTE DE SANTANDER"/>
    <s v="CÚCUTA"/>
    <s v="CÚCUTA"/>
    <n v="54001"/>
    <s v="2025-11-21"/>
    <e v="#N/A"/>
    <s v="CUCUTA"/>
    <x v="2"/>
    <n v="28277.100000000002"/>
  </r>
  <r>
    <n v="41420"/>
    <s v="BARRIO CENTRO SANTNADER DE QUILICHAO"/>
    <n v="901148765"/>
    <s v="3107877898"/>
    <s v="3107877898"/>
    <s v="3105679817"/>
    <s v="CL 17 NRO 15 57,LA LIBERTAD"/>
    <s v="7.886251"/>
    <s v="-72.4737540"/>
    <s v="NORTE DE SANTANDER"/>
    <s v="CÚCUTA"/>
    <s v="CÚCUTA"/>
    <n v="54001"/>
    <s v="2025-11-21"/>
    <e v="#N/A"/>
    <s v="CUCUTA"/>
    <x v="2"/>
    <n v="28277.100000000002"/>
  </r>
  <r>
    <n v="65767"/>
    <s v="BARRIO LA MAGDALENA CORREGIMIENTO CASTILLA COYAIMA"/>
    <n v="1109492676"/>
    <s v="3204264500"/>
    <s v="3204264500"/>
    <s v="3204264500"/>
    <s v="CR 12 55 12,GUSTAVO JIMÉNEZ"/>
    <s v="5.7550110"/>
    <s v="-72.9081850"/>
    <s v="BOYACÁ"/>
    <s v="SOGAMOSO"/>
    <s v="SOGAMOSO"/>
    <n v="15759"/>
    <s v="2025-11-18"/>
    <e v="#N/A"/>
    <s v="TUNJA"/>
    <x v="2"/>
    <n v="28277.100000000002"/>
  </r>
  <r>
    <n v="77431"/>
    <s v="BARRIO VILLA LUCIA YOPAL 3"/>
    <n v="1118554266"/>
    <s v="3202334107"/>
    <s v="3107694581"/>
    <s v="3202334107"/>
    <s v="CR 26 16 08,EL CARMEN"/>
    <s v="5.725"/>
    <s v="-72.939"/>
    <s v="BOYACÁ"/>
    <s v="SOGAMOSO"/>
    <s v="SOGAMOSO"/>
    <n v="15759"/>
    <s v="2025-11-18"/>
    <n v="8"/>
    <s v="TUNJA"/>
    <x v="2"/>
    <n v="28277.100000000002"/>
  </r>
  <r>
    <n v="74556"/>
    <s v="BARRIO CORREGIMIENTO 1 LA CHAPARRERA YOPAL"/>
    <n v="47440525"/>
    <s v="3214227877"/>
    <s v="3214227877"/>
    <s v="3214227877"/>
    <s v="CR 17 NO.2-99,LOS ARRAYANES"/>
    <s v="5.7102"/>
    <s v="-72.938"/>
    <s v="BOYACÁ"/>
    <s v="SOGAMOSO"/>
    <s v="SOGAMOSO"/>
    <n v="15759"/>
    <s v="2025-11-21"/>
    <n v="8"/>
    <s v="TUNJA"/>
    <x v="2"/>
    <n v="28277.100000000002"/>
  </r>
  <r>
    <n v="34137"/>
    <s v="BARRIO NUEVO HABITAT II YOPAL"/>
    <n v="1121823729"/>
    <s v="3173793909"/>
    <s v="3015068183"/>
    <s v="3008668042"/>
    <s v="CR 15 A 8-9 ,EL SOCORRO"/>
    <s v="8.8801461"/>
    <s v="-75.7918971"/>
    <s v="CÓRDOBA"/>
    <s v="CERETÉ"/>
    <s v="CERETÉ"/>
    <n v="23162"/>
    <s v="2025-11-24"/>
    <n v="8"/>
    <s v="MONTERIA"/>
    <x v="1"/>
    <n v="15709.5"/>
  </r>
  <r>
    <n v="37695"/>
    <s v="BARRIO EL CENTRO YOPAL 1"/>
    <n v="9431245"/>
    <s v="3241258074"/>
    <s v="3022105311"/>
    <s v="3104166537"/>
    <s v="CR 27 2-97 C EL QUEMADO CORREGIMIENTO EL QUEMAO"/>
    <s v="8.8698886"/>
    <s v="-75.8180063"/>
    <s v="CÓRDOBA"/>
    <s v="CERETÉ"/>
    <s v="CERETÉ"/>
    <n v="23162"/>
    <s v="2025-11-24"/>
    <n v="8"/>
    <s v="MONTERIA"/>
    <x v="1"/>
    <n v="15709.5"/>
  </r>
  <r>
    <n v="37184"/>
    <s v="BARRIO PROVIVIENDA YOPAL"/>
    <n v="41329247"/>
    <s v="7685047"/>
    <s v="3205722517"/>
    <s v="3205722517"/>
    <s v=" CL 11  16-05"/>
    <s v="8.1722085"/>
    <s v="-76.0591918"/>
    <s v="CÓRDOBA"/>
    <s v="TIERRALTA"/>
    <s v="TIERRALTA"/>
    <n v="23807"/>
    <s v="2025-11-07"/>
    <n v="8"/>
    <s v="MONTERIA"/>
    <x v="1"/>
    <n v="15709.5"/>
  </r>
  <r>
    <n v="33768"/>
    <s v="BARRIO CASIMENA I YOPAL"/>
    <n v="88177710"/>
    <s v="3004559451"/>
    <s v="3004559451"/>
    <s v="3004559451"/>
    <s v="CR 16 18 46,BRR ESCOLAR"/>
    <s v="8.1710144"/>
    <s v="-76.0571019"/>
    <s v="CÓRDOBA"/>
    <s v="TIERRALTA"/>
    <s v="TIERRALTA"/>
    <n v="23807"/>
    <s v="2025-11-06"/>
    <n v="16"/>
    <s v="MONTERIA"/>
    <x v="1"/>
    <n v="15709.5"/>
  </r>
  <r>
    <n v="22910"/>
    <s v="BARRIO CENTRO - BITUIMA"/>
    <n v="20398498"/>
    <s v="3126501395"/>
    <s v="3126501395"/>
    <s v="3126501395"/>
    <s v="CL 19 19 E 12,SAN CARLOS"/>
    <s v="8.1639650"/>
    <s v="-76.0610517"/>
    <s v="CÓRDOBA"/>
    <s v="TIERRALTA"/>
    <s v="TIERRALTA"/>
    <n v="23807"/>
    <s v="2025-11-06"/>
    <e v="#N/A"/>
    <s v="MONTERIA"/>
    <x v="1"/>
    <n v="15709.5"/>
  </r>
  <r>
    <n v="43552"/>
    <s v="BARRIO ESQUINA PARROQUIA BITUIMA"/>
    <n v="11442555"/>
    <s v="3116827436"/>
    <s v="3116827436"/>
    <m/>
    <s v="CL 10 17 - 51,19 DE MARZO"/>
    <s v="8.1719130"/>
    <s v="-76.0611182"/>
    <s v="CÓRDOBA"/>
    <s v="TIERRALTA"/>
    <s v="TIERRALTA"/>
    <n v="23807"/>
    <s v="2025-11-06"/>
    <e v="#N/A"/>
    <s v="MONTERIA"/>
    <x v="1"/>
    <n v="15709.5"/>
  </r>
  <r>
    <n v="32607"/>
    <s v="BARRIO CENTRO COGUA 1"/>
    <n v="80550629"/>
    <s v="3204633648"/>
    <s v="3204633648"/>
    <s v="3204633648"/>
    <s v="CL 10 CR 43 - 10 SBN,LAS BALSAS"/>
    <s v="8.1622709"/>
    <s v="-76.0718593"/>
    <s v="CÓRDOBA"/>
    <s v="TIERRALTA"/>
    <s v="TIERRALTA"/>
    <n v="23807"/>
    <s v="2025-11-06"/>
    <n v="8"/>
    <s v="MONTERIA"/>
    <x v="1"/>
    <n v="15709.5"/>
  </r>
  <r>
    <n v="74258"/>
    <s v="BARRIO SUTATAUSA VRD PENAS DE BOQUERON"/>
    <n v="1076667973"/>
    <s v="3112325433"/>
    <s v="3134717439"/>
    <s v="3134717439"/>
    <s v="AV 3 NRO 12-36,MOTILONES"/>
    <s v="7.9205899"/>
    <s v="-72.5220595"/>
    <s v="NORTE DE SANTANDER"/>
    <s v="CÚCUTA"/>
    <s v="CÚCUTA"/>
    <n v="54001"/>
    <s v="2025-11-21"/>
    <e v="#N/A"/>
    <s v="CUCUTA"/>
    <x v="2"/>
    <n v="28277.100000000002"/>
  </r>
  <r>
    <n v="11088"/>
    <s v="SANTA ROSA DE VITERBO - BOYACA"/>
    <n v="46456606"/>
    <s v="3214575984"/>
    <s v="3214575984"/>
    <s v="3214575984"/>
    <s v="AV 7 NRO 2N 26,SEVILLA"/>
    <s v="7.9008863"/>
    <s v="-72.5074553"/>
    <s v="NORTE DE SANTANDER"/>
    <s v="CÚCUTA"/>
    <s v="CÚCUTA"/>
    <n v="54001"/>
    <s v="2025-11-24"/>
    <e v="#N/A"/>
    <s v="CUCUTA"/>
    <x v="2"/>
    <n v="28277.100000000002"/>
  </r>
  <r>
    <n v="48358"/>
    <s v="BARRIO CENTRO SANTA ROSA DE VITERBO 4"/>
    <n v="901379238"/>
    <s v="3204262072"/>
    <s v="3232371506"/>
    <s v="3204262072"/>
    <s v="AV 25 NRO 22 97,GAITAN"/>
    <s v="7.8767715"/>
    <s v="-72.5246500"/>
    <s v="NORTE DE SANTANDER"/>
    <s v="CÚCUTA"/>
    <s v="CÚCUTA"/>
    <n v="54001"/>
    <s v="2025-11-21"/>
    <e v="#N/A"/>
    <s v="CUCUTA"/>
    <x v="2"/>
    <n v="28277.100000000002"/>
  </r>
  <r>
    <n v="50336"/>
    <s v="BARRIO LA UNION SANTA ROSA DE VITERBO"/>
    <n v="74301286"/>
    <s v="3214227877"/>
    <s v="3214227877"/>
    <s v="3214227877"/>
    <s v="CL 11 NO.26-05, BR VALDES TABERA"/>
    <s v="5.721"/>
    <s v="-72.939"/>
    <s v="BOYACÁ"/>
    <s v="SOGAMOSO"/>
    <s v="SOGAMOSO"/>
    <n v="15759"/>
    <s v="2025-11-21"/>
    <e v="#N/A"/>
    <s v="TUNJA"/>
    <x v="2"/>
    <n v="28277.100000000002"/>
  </r>
  <r>
    <n v="53819"/>
    <s v="BARRIO CENTRO SANTA ROSA DE VITERBO 6"/>
    <n v="74301286"/>
    <s v="7752509"/>
    <s v="3185496771"/>
    <s v="3226425027"/>
    <s v=" CL 22 11 2 BIS 20  EL LAGUITO"/>
    <s v="5.7247820"/>
    <s v="-72.9236890"/>
    <s v="BOYACÁ"/>
    <s v="SOGAMOSO"/>
    <s v="SOGAMOSO"/>
    <n v="15759"/>
    <s v="2025-11-18"/>
    <e v="#N/A"/>
    <s v="TUNJA"/>
    <x v="2"/>
    <n v="28277.100000000002"/>
  </r>
  <r>
    <n v="74576"/>
    <s v="BARRIO CENTRO SANTA ROSA DE VITERBO 9"/>
    <n v="1052400758"/>
    <s v="7712618"/>
    <s v="3213858112"/>
    <s v="3213858112"/>
    <s v=" CR 23 2 110"/>
    <s v="5.7094"/>
    <s v="-72.940"/>
    <s v="BOYACÁ"/>
    <s v="SOGAMOSO"/>
    <s v="SOGAMOSO"/>
    <n v="15759"/>
    <s v="2025-11-20"/>
    <e v="#N/A"/>
    <s v="TUNJA"/>
    <x v="2"/>
    <n v="28277.100000000002"/>
  </r>
  <r>
    <n v="72679"/>
    <s v="SOTAQUIRA EL RECUERDO"/>
    <n v="1026254765"/>
    <s v="7701978"/>
    <s v="3133868803"/>
    <s v="3133868803"/>
    <s v=" CR 14 14 01"/>
    <s v="5.7188"/>
    <s v="-72.9293"/>
    <s v="BOYACÁ"/>
    <s v="SOGAMOSO"/>
    <s v="SOGAMOSO"/>
    <n v="15759"/>
    <s v="2025-11-20"/>
    <e v="#N/A"/>
    <s v="TUNJA"/>
    <x v="2"/>
    <n v="28277.100000000002"/>
  </r>
  <r>
    <n v="78814"/>
    <s v="BARRIO VEREDA BOSIGAS SOTAQUIRÁ"/>
    <n v="24124969"/>
    <s v="7740687"/>
    <s v="3114845759"/>
    <s v="3114845759"/>
    <s v=" CR 18 9 19"/>
    <s v="5.71"/>
    <s v="-72.93"/>
    <s v="BOYACÁ"/>
    <s v="SOGAMOSO"/>
    <s v="SOGAMOSO"/>
    <n v="15759"/>
    <s v="2025-11-21"/>
    <n v="8"/>
    <s v="TUNJA"/>
    <x v="2"/>
    <n v="28277.100000000002"/>
  </r>
  <r>
    <n v="53962"/>
    <s v="BARRIO COMPRORIENTE TIBASOSA"/>
    <n v="74326787"/>
    <s v="7732815"/>
    <s v="3103406407"/>
    <s v="3103406407"/>
    <s v=" CL 4 7 03"/>
    <s v="5.5018876"/>
    <s v="-73.3348425"/>
    <s v="BOYACÁ"/>
    <s v="SORACÁ"/>
    <s v="SORACÁ"/>
    <n v="15764"/>
    <s v="2025-11-24"/>
    <e v="#N/A"/>
    <s v="TUNJA"/>
    <x v="2"/>
    <n v="28277.100000000002"/>
  </r>
  <r>
    <n v="55441"/>
    <s v="BARRIO COOMPRORIENTE TIBASOSA"/>
    <n v="74301286"/>
    <s v="3114086668"/>
    <s v="3145861145"/>
    <s v="3114086668"/>
    <s v="CR 23 10 55,BRR 19 DE MARZO"/>
    <s v="8.1694109"/>
    <s v="-76.063424"/>
    <s v="CÓRDOBA"/>
    <s v="TIERRALTA"/>
    <s v="TIERRALTA"/>
    <n v="23807"/>
    <s v="2025-11-06"/>
    <e v="#N/A"/>
    <s v="MONTERIA"/>
    <x v="1"/>
    <n v="15709.5"/>
  </r>
  <r>
    <n v="72255"/>
    <s v="TIBASOSA VEREDA SANTA TERESA"/>
    <n v="901123631"/>
    <s v="3196338275"/>
    <s v="3196338275"/>
    <s v="3196338275"/>
    <s v="CR 17 #9 F-21 BRR EL POBLADO"/>
    <s v="4.721773"/>
    <s v="-74.229827"/>
    <s v="CUNDINAMARCA"/>
    <s v="MOSQUERA"/>
    <s v="MOSQUERA"/>
    <n v="25473"/>
    <s v="2025-11-11"/>
    <e v="#N/A"/>
    <s v="BOGOTA"/>
    <x v="4"/>
    <n v="15709.5"/>
  </r>
  <r>
    <n v="80380"/>
    <s v="BARRIO EL PARAISO ALFEREZ REAL MANIZALES"/>
    <n v="30334379"/>
    <s v="0"/>
    <s v="3197196557"/>
    <s v="3197196557"/>
    <s v="CR 3 13 12 C.C EL TREBOL LC 54,CC EL TREBOL"/>
    <s v="4.7111342"/>
    <s v="-74.2225731"/>
    <s v="CUNDINAMARCA"/>
    <s v="MOSQUERA"/>
    <s v="MOSQUERA"/>
    <n v="25473"/>
    <s v="2025-11-28"/>
    <n v="8"/>
    <s v="BOGOTA"/>
    <x v="4"/>
    <n v="15709.5"/>
  </r>
  <r>
    <n v="73808"/>
    <s v="BARRIO ENEA MANIZALES 5"/>
    <n v="34000628"/>
    <s v="3227606722"/>
    <s v="3227606722"/>
    <s v="3227606722"/>
    <s v="CR 3 21 24 LC 2 BRR EL CABRERO"/>
    <s v="4.7133989"/>
    <s v="-74.2186155"/>
    <s v="CUNDINAMARCA"/>
    <s v="MOSQUERA"/>
    <s v="MOSQUERA"/>
    <n v="25473"/>
    <s v="2025-11-20"/>
    <n v="8"/>
    <s v="BOGOTA"/>
    <x v="4"/>
    <n v="15709.5"/>
  </r>
  <r>
    <n v="64755"/>
    <s v="BARRIO FATIMA MANIZALES 6"/>
    <n v="1053810080"/>
    <s v="3166881824"/>
    <s v="3166881824"/>
    <s v="3166881824"/>
    <s v="CL 17 10 B 41 IN 2 BRR SANTELMO.SANTELMO"/>
    <s v="4.7174756"/>
    <s v="-74.2241565"/>
    <s v="CUNDINAMARCA"/>
    <s v="MOSQUERA"/>
    <s v="MOSQUERA"/>
    <n v="25473"/>
    <s v="2025-11-24"/>
    <n v="16"/>
    <s v="BOGOTA"/>
    <x v="4"/>
    <n v="15709.5"/>
  </r>
  <r>
    <n v="67736"/>
    <s v="BARRIO CHAPINERO MANIZALES"/>
    <n v="1053813691"/>
    <s v="3017065954"/>
    <s v="3017065954"/>
    <s v="3017065954"/>
    <s v="CL 11 A 12 04 LOCAL 3"/>
    <s v="4.6903431"/>
    <s v="-74.1712793"/>
    <s v="CUNDINAMARCA"/>
    <s v="MOSQUERA"/>
    <s v="MOSQUERA"/>
    <n v="25473"/>
    <s v="2025-11-14"/>
    <n v="8"/>
    <s v="BOGOTA"/>
    <x v="4"/>
    <n v="15709.5"/>
  </r>
  <r>
    <n v="51031"/>
    <s v="BARRIO BOSQUE MANIZALES"/>
    <n v="75084799"/>
    <s v="3206852307"/>
    <s v="3206852307"/>
    <s v="3206852307"/>
    <s v="CR 8 A 17 A 18,VILLA MARIA ET 4"/>
    <s v="4.7159289"/>
    <s v="-74.2225642"/>
    <s v="CUNDINAMARCA"/>
    <s v="MOSQUERA"/>
    <s v="MOSQUERA"/>
    <n v="25473"/>
    <s v="2025-11-24"/>
    <n v="16"/>
    <s v="BOGOTA"/>
    <x v="4"/>
    <n v="15709.5"/>
  </r>
  <r>
    <n v="46202"/>
    <s v="BARRIO ALTA SUIZA"/>
    <n v="1019021882"/>
    <s v="3225129622"/>
    <s v="3225129622"/>
    <s v="3225129622"/>
    <s v="CL 14 NRO 17 38,SAN JOSE"/>
    <s v="7.8807525"/>
    <s v="-72.5159835"/>
    <s v="NORTE DE SANTANDER"/>
    <s v="CÚCUTA"/>
    <s v="CÚCUTA"/>
    <n v="54001"/>
    <s v="2025-11-20"/>
    <n v="8"/>
    <s v="CUCUTA"/>
    <x v="2"/>
    <n v="28277.100000000002"/>
  </r>
  <r>
    <n v="36361"/>
    <s v="BARRIO AGUSTINOS MANIZALES"/>
    <n v="75088769"/>
    <s v="3133397427"/>
    <s v="3133397427"/>
    <s v="3133397427"/>
    <s v="AV 11 10 28,EL LLANO"/>
    <s v="7.8855004"/>
    <s v="-72.5100005"/>
    <s v="NORTE DE SANTANDER"/>
    <s v="CÚCUTA"/>
    <s v="CÚCUTA"/>
    <n v="54001"/>
    <s v="2025-11-20"/>
    <n v="8"/>
    <s v="CUCUTA"/>
    <x v="2"/>
    <n v="28277.100000000002"/>
  </r>
  <r>
    <n v="36667"/>
    <s v="BARRIO CENTRO MANIZALES 3"/>
    <n v="75088769"/>
    <s v="3123780109"/>
    <s v="3123780109"/>
    <s v="3123780109"/>
    <s v="CL 10B #12B - 23 URB ANIVERSARIO 1"/>
    <s v="7.8914389"/>
    <s v="-72.4763404"/>
    <s v="NORTE DE SANTANDER"/>
    <s v="CÚCUTA"/>
    <s v="CÚCUTA"/>
    <n v="54001"/>
    <s v="2025-11-20"/>
    <n v="8"/>
    <s v="CUCUTA"/>
    <x v="2"/>
    <n v="28277.100000000002"/>
  </r>
  <r>
    <n v="25757"/>
    <s v="BARRIO FATIMA MANIZALES"/>
    <n v="25158336"/>
    <s v="3143706323"/>
    <s v="3232042878"/>
    <s v="3232042878"/>
    <s v="CL 9 NRO 6-43 LC 116,CENTRO"/>
    <s v="7.8873658"/>
    <s v="-72.5056657"/>
    <s v="NORTE DE SANTANDER"/>
    <s v="CÚCUTA"/>
    <s v="CÚCUTA"/>
    <n v="54001"/>
    <s v="2025-11-25"/>
    <n v="16"/>
    <s v="CUCUTA"/>
    <x v="2"/>
    <n v="28277.100000000002"/>
  </r>
  <r>
    <n v="15094"/>
    <s v="BARRIO BLOQUES DE NORTE MANIZALES"/>
    <n v="15987417"/>
    <s v="3059380919"/>
    <s v="3059380919"/>
    <s v="3183971797"/>
    <s v="MZ A LOTE 10 LOCAL 2 URB PLENO SOL SABANA VERDE,URB PLENO SOL"/>
    <s v="7.8994881"/>
    <s v="-72.5459852"/>
    <s v="NORTE DE SANTANDER"/>
    <s v="CÚCUTA"/>
    <s v="CÚCUTA"/>
    <n v="54001"/>
    <s v="2025-11-24"/>
    <n v="16"/>
    <s v="CUCUTA"/>
    <x v="2"/>
    <n v="28277.100000000002"/>
  </r>
  <r>
    <n v="15643"/>
    <s v="BARRIO EL CAMPIN II MANIZALES"/>
    <n v="10260031"/>
    <s v="3204041988"/>
    <s v="3204041988"/>
    <s v="3204041988"/>
    <s v="CL 16 NRO 5-94,BENJAMIN HERRERA"/>
    <s v="7.914693"/>
    <s v="-72.500999"/>
    <s v="NORTE DE SANTANDER"/>
    <s v="CÚCUTA"/>
    <s v="CÚCUTA"/>
    <n v="54001"/>
    <s v="2025-11-20"/>
    <n v="16"/>
    <s v="CUCUTA"/>
    <x v="2"/>
    <n v="28277.100000000002"/>
  </r>
  <r>
    <n v="79134"/>
    <s v="BARRIO SAN JUAN DEL LOSADA SAN VICENTE DEL CAGUAN"/>
    <n v="1110485794"/>
    <s v="3115896868"/>
    <s v="3115896868"/>
    <s v="3115896868"/>
    <s v="AV 3 NRO 9 -82 BR SAN LUIS LOCAL 2,SAN LUIS"/>
    <s v="7.8955426"/>
    <s v="-72.4824312"/>
    <s v="NORTE DE SANTANDER"/>
    <s v="CÚCUTA"/>
    <s v="CÚCUTA"/>
    <n v="54001"/>
    <s v="2025-11-28"/>
    <e v="#N/A"/>
    <s v="CUCUTA"/>
    <x v="2"/>
    <n v="28277.100000000002"/>
  </r>
  <r>
    <n v="79132"/>
    <s v="BARRIO SAN JUAN DE LOZADA SAN VICENTE DEL CAGUAN"/>
    <n v="1083928675"/>
    <s v="3102247957"/>
    <s v="3102247957"/>
    <s v="3245720094"/>
    <s v="CL 5 NRO 4-58,LA VICTORIA"/>
    <s v="7.9099099"/>
    <s v="-72.5278917"/>
    <s v="NORTE DE SANTANDER"/>
    <s v="CÚCUTA"/>
    <s v="CÚCUTA"/>
    <n v="54001"/>
    <s v="2025-11-24"/>
    <e v="#N/A"/>
    <s v="CUCUTA"/>
    <x v="2"/>
    <n v="28277.100000000002"/>
  </r>
  <r>
    <n v="61419"/>
    <s v="BARRIO SAN JUAN DEL LOZADA SAN VICENTE DEL CAGUAN"/>
    <n v="96355845"/>
    <s v="3044229226"/>
    <s v="3205422849"/>
    <s v="3205422849"/>
    <s v="CL 12 6 44 CENTRO,CENTRO"/>
    <s v="4.9848380"/>
    <s v="-75.6060826"/>
    <s v="CALDAS"/>
    <s v="CHINCHINÁ"/>
    <s v="CHINCHINÁ"/>
    <n v="17174"/>
    <s v="2025-11-10"/>
    <e v="#N/A"/>
    <s v="MANIZALES"/>
    <x v="6"/>
    <n v="28277.100000000002"/>
  </r>
  <r>
    <n v="16270"/>
    <s v="BARRIO SAN MARCOS"/>
    <n v="42132201"/>
    <s v="7566443"/>
    <s v="3128514153"/>
    <s v="3128514153"/>
    <s v=" CL 7  10-32 CENTRO"/>
    <s v="3.1738889"/>
    <s v="-76.26122673"/>
    <s v="CAUCA"/>
    <s v="CORINTO"/>
    <s v="CORINTO"/>
    <n v="19212"/>
    <s v="2025-11-06"/>
    <n v="8"/>
    <s v="CALI"/>
    <x v="5"/>
    <n v="15709.5"/>
  </r>
  <r>
    <n v="80388"/>
    <s v="BARRIO TINAJAS PEREIRA"/>
    <n v="1005286945"/>
    <s v="8270154"/>
    <s v="3137676572"/>
    <s v="3137676572"/>
    <s v=" CL 7 9 59"/>
    <s v="3.1744269"/>
    <s v="-76.2624542"/>
    <s v="CAUCA"/>
    <s v="CORINTO"/>
    <s v="CORINTO"/>
    <n v="19212"/>
    <s v="2025-11-06"/>
    <n v="8"/>
    <s v="CALI"/>
    <x v="5"/>
    <n v="15709.5"/>
  </r>
  <r>
    <n v="80959"/>
    <s v="BARRIO CENTRO PEREIRA 54"/>
    <n v="901403130"/>
    <s v="0"/>
    <s v="3218287584"/>
    <s v="3218287584"/>
    <s v="CL 6 11 39"/>
    <s v="3.1738658"/>
    <s v="-76.2595435"/>
    <s v="CAUCA"/>
    <s v="CORINTO"/>
    <s v="CORINTO"/>
    <n v="19212"/>
    <s v="2025-11-06"/>
    <e v="#N/A"/>
    <s v="CALI"/>
    <x v="5"/>
    <n v="15709.5"/>
  </r>
  <r>
    <n v="79648"/>
    <s v="BARRIO CUBA PEREIRA 12"/>
    <n v="900381458"/>
    <s v="3107886197"/>
    <s v="3107886197"/>
    <s v="3107886197"/>
    <s v="CR 10 10 09,20 DE AGOSTO"/>
    <s v="3.1723771"/>
    <s v="-76.2634235"/>
    <s v="CAUCA"/>
    <s v="CORINTO"/>
    <s v="CORINTO"/>
    <n v="19212"/>
    <s v="2025-11-06"/>
    <n v="8"/>
    <s v="CALI"/>
    <x v="5"/>
    <n v="15709.5"/>
  </r>
  <r>
    <n v="79195"/>
    <s v="BARRIO CUBA PEREIRA 11"/>
    <n v="1088261920"/>
    <s v="3007727118"/>
    <s v="3007727118"/>
    <s v="3007727118"/>
    <s v="CR 10 3 54 BRR LA PLAYA,LA PLAYA"/>
    <s v="3.1757677"/>
    <s v="-76.2591691"/>
    <s v="CAUCA"/>
    <s v="CORINTO"/>
    <s v="CORINTO"/>
    <n v="19212"/>
    <s v="2025-11-06"/>
    <n v="8"/>
    <s v="CALI"/>
    <x v="5"/>
    <n v="15709.5"/>
  </r>
  <r>
    <n v="75477"/>
    <s v="BARRIO CENTRO PEREIRA  49"/>
    <n v="901608925"/>
    <s v="3145639249"/>
    <s v="3145639249"/>
    <s v="3145639249"/>
    <s v="CL 9 4-26,CENTRO"/>
    <s v="8.18530928"/>
    <s v="-75.08225204"/>
    <s v="CÓRDOBA"/>
    <s v="AYAPEL"/>
    <s v="AYAPEL"/>
    <n v="23068"/>
    <s v="2025-11-11"/>
    <n v="8"/>
    <s v="MONTERIA"/>
    <x v="1"/>
    <n v="15709.5"/>
  </r>
  <r>
    <n v="71028"/>
    <s v="BARRIO CENTRO PEREIRA 46"/>
    <n v="901403130"/>
    <s v="3106307554"/>
    <s v="3106307554"/>
    <s v="3226010228"/>
    <s v="AV 6 10-75,OTRO"/>
    <s v="8.3140284"/>
    <s v="-75.1419004"/>
    <s v="CÓRDOBA"/>
    <s v="AYAPEL"/>
    <s v="AYAPEL"/>
    <n v="23068"/>
    <s v="2025-11-11"/>
    <n v="8"/>
    <s v="MONTERIA"/>
    <x v="1"/>
    <n v="15709.5"/>
  </r>
  <r>
    <n v="60598"/>
    <s v="BARRIO CENTRO PEREIRA 36"/>
    <n v="4415330"/>
    <s v="3012796370"/>
    <s v="3012796370"/>
    <s v="3012796370"/>
    <s v="CR 7 25 127,OSPINA PEREZ"/>
    <s v="8.3085445"/>
    <s v="-75.1452700"/>
    <s v="CÓRDOBA"/>
    <s v="AYAPEL"/>
    <s v="AYAPEL"/>
    <n v="23068"/>
    <s v="2025-11-11"/>
    <n v="8"/>
    <s v="MONTERIA"/>
    <x v="1"/>
    <n v="15709.5"/>
  </r>
  <r>
    <n v="33895"/>
    <s v="BARRIO CENTRO PEREIRA 4"/>
    <n v="901042503"/>
    <s v="3128991589"/>
    <s v="3128991589"/>
    <s v="3128991589"/>
    <s v="CL 11 8 56,LLERAS CAMARGO"/>
    <s v="8.313448"/>
    <s v="-75.143987"/>
    <s v="CÓRDOBA"/>
    <s v="AYAPEL"/>
    <s v="AYAPEL"/>
    <n v="23068"/>
    <s v="2025-11-11"/>
    <n v="8"/>
    <s v="MONTERIA"/>
    <x v="1"/>
    <n v="15709.5"/>
  </r>
  <r>
    <n v="26919"/>
    <s v="BARRIO SAN JORGE PEREIRA"/>
    <n v="11294043"/>
    <s v="0"/>
    <s v="3123339751"/>
    <s v="3123339751"/>
    <s v="CL 2 NO. 3 69,CENTRO"/>
    <s v="5.066969"/>
    <s v="-73.880696"/>
    <s v="CUNDINAMARCA"/>
    <s v="NEMOCÓN"/>
    <s v="NEMOCÓN"/>
    <n v="25486"/>
    <s v="2025-11-24"/>
    <n v="8"/>
    <s v="BOGOTA"/>
    <x v="4"/>
    <n v="15709.5"/>
  </r>
  <r>
    <n v="78886"/>
    <s v="BARRIO LOS COMUNEROS PUENTE NACIONAL"/>
    <n v="13617959"/>
    <s v="3138084212"/>
    <s v="3107593248"/>
    <s v="3107593248"/>
    <s v="CR 6 1 07 SUR,CENTRO"/>
    <s v="5.0673199"/>
    <s v="-73.8805052"/>
    <s v="CUNDINAMARCA"/>
    <s v="NEMOCÓN"/>
    <s v="NEMOCÓN"/>
    <n v="25486"/>
    <s v="2025-11-24"/>
    <e v="#N/A"/>
    <s v="BOGOTA"/>
    <x v="4"/>
    <n v="15709.5"/>
  </r>
  <r>
    <n v="75853"/>
    <s v="BARRIO CENTRO PUENTE NACIONAL 4"/>
    <n v="1101176439"/>
    <s v="0"/>
    <s v="3143954177"/>
    <s v="3133983775"/>
    <s v="CR 6 7 11,NOCAIMA"/>
    <s v="5.0703267"/>
    <s v="-74.3773050"/>
    <s v="CUNDINAMARCA"/>
    <s v="NOCAIMA"/>
    <s v="NOCAIMA"/>
    <n v="25491"/>
    <s v="2025-11-24"/>
    <e v="#N/A"/>
    <s v="BOGOTA"/>
    <x v="4"/>
    <n v="15709.5"/>
  </r>
  <r>
    <n v="37010"/>
    <s v="BARRIO CENTRO PUENTE NACIONAL 1"/>
    <n v="28307566"/>
    <s v="0"/>
    <s v="3124430217"/>
    <s v="3124430217"/>
    <s v="CL 6 8 04,EL RETIRO"/>
    <s v="5.0700085"/>
    <s v="-74.3794422"/>
    <s v="CUNDINAMARCA"/>
    <s v="NOCAIMA"/>
    <s v="NOCAIMA"/>
    <n v="25491"/>
    <s v="2025-11-24"/>
    <e v="#N/A"/>
    <s v="BOGOTA"/>
    <x v="4"/>
    <n v="15709.5"/>
  </r>
  <r>
    <n v="18344"/>
    <s v="BARRIO CENTRO XX SINCELEJO"/>
    <n v="800253616"/>
    <s v="3112599866"/>
    <s v="3112599866"/>
    <s v="3112599866"/>
    <s v="cra 4 # 6-14 centro"/>
    <s v="5.0692246"/>
    <s v="-74.3773688"/>
    <s v="CUNDINAMARCA"/>
    <s v="NOCAIMA"/>
    <s v="NOCAIMA"/>
    <n v="25491"/>
    <s v="2025-11-25"/>
    <n v="8"/>
    <s v="BOGOTA"/>
    <x v="4"/>
    <n v="15709.5"/>
  </r>
  <r>
    <n v="77186"/>
    <s v="BARRIO SAN CARLOS SINCELEJOS"/>
    <n v="9192909"/>
    <s v="0"/>
    <s v="3125133842"/>
    <s v="3125133842"/>
    <s v="CRA 7 NRO 6 - 52 CENTRO,EL RETIRO"/>
    <s v="5.0701845"/>
    <s v="-74.3782435"/>
    <s v="CUNDINAMARCA"/>
    <s v="NOCAIMA"/>
    <s v="NOCAIMA"/>
    <n v="25491"/>
    <s v="2025-11-24"/>
    <n v="8"/>
    <s v="BOGOTA"/>
    <x v="4"/>
    <n v="15709.5"/>
  </r>
  <r>
    <n v="77808"/>
    <s v="BARRIO AVENIDA OKALA SINCELEJO 1"/>
    <n v="43740682"/>
    <s v="3134053020"/>
    <s v="3118996971"/>
    <s v="3118996971"/>
    <s v="CL 7 7 25 BRR LAGUNITAS,LAGUNITAS"/>
    <s v="4.6824827"/>
    <s v="-74.7155370"/>
    <s v="CUNDINAMARCA"/>
    <s v="PULÍ"/>
    <s v="PULÍ"/>
    <n v="25580"/>
    <s v="2025-11-25"/>
    <n v="8"/>
    <s v="BOGOTA"/>
    <x v="4"/>
    <n v="15709.5"/>
  </r>
  <r>
    <n v="76748"/>
    <s v="BARRIO AV ARGELIA SINCELEJO"/>
    <n v="92510386"/>
    <s v="3112274721"/>
    <s v="3114601664"/>
    <s v="3114601664"/>
    <s v="AV 2 1 31 B CENTRO QUIPILE,CENTRO"/>
    <s v="4.7413740"/>
    <s v="-74.5339549"/>
    <s v="CUNDINAMARCA"/>
    <s v="QUIPILE"/>
    <s v="QUIPILE"/>
    <n v="25596"/>
    <s v="2025-11-24"/>
    <n v="16"/>
    <s v="BOGOTA"/>
    <x v="4"/>
    <n v="15709.5"/>
  </r>
  <r>
    <n v="72306"/>
    <s v="SINCELEJO CUATRO VIENTOS"/>
    <n v="64919335"/>
    <s v="3227434051"/>
    <s v="3227434051"/>
    <s v="3015406150"/>
    <s v="CL PRINCIPAL 4 33 IPM LA SIERRA.IPM LA SIERRA"/>
    <s v="4.7901014"/>
    <s v="-74.551646"/>
    <s v="CUNDINAMARCA"/>
    <s v="QUIPILE"/>
    <s v="QUIPILE"/>
    <n v="25596"/>
    <s v="2025-11-24"/>
    <n v="8"/>
    <s v="BOGOTA"/>
    <x v="4"/>
    <n v="15709.5"/>
  </r>
  <r>
    <n v="65311"/>
    <s v="BARRIO CENTRO SINCELEJO 21"/>
    <n v="64581471"/>
    <s v="3138222742"/>
    <s v="3138222742"/>
    <s v="3183554376"/>
    <s v="CL 3 3 - 35 BRR CENTRO INSPECCION LA VIRGEN .INSPECCION LA VIRGEN"/>
    <s v="4.6517999"/>
    <s v="-74.5685414"/>
    <s v="CUNDINAMARCA"/>
    <s v="QUIPILE"/>
    <s v="QUIPILE"/>
    <n v="25596"/>
    <s v="2025-11-24"/>
    <n v="8"/>
    <s v="BOGOTA"/>
    <x v="4"/>
    <n v="15709.5"/>
  </r>
  <r>
    <n v="40167"/>
    <s v="BARRIO CENTRO SINCELEJO 10"/>
    <n v="64581899"/>
    <s v="8282758"/>
    <s v="3105702932"/>
    <s v="3105702932"/>
    <s v=" CR 6 3 91"/>
    <s v="5.04320635"/>
    <s v="-73.79771705"/>
    <s v="CUNDINAMARCA"/>
    <s v="SESQUILÉ"/>
    <s v="SESQUILÉ"/>
    <n v="25736"/>
    <s v="2025-11-07"/>
    <n v="8"/>
    <s v="BOGOTA"/>
    <x v="4"/>
    <n v="15709.5"/>
  </r>
  <r>
    <n v="35260"/>
    <s v="BARRIO BOSTON SINCELEJO"/>
    <n v="900638635"/>
    <s v="6050962"/>
    <s v="3227335991"/>
    <s v="3125553586"/>
    <s v=" VRD BOITA"/>
    <s v="5.0538673"/>
    <s v="-73.8072795"/>
    <s v="CUNDINAMARCA"/>
    <s v="SESQUILÉ"/>
    <s v="SESQUILÉ"/>
    <n v="25736"/>
    <s v="2025-11-24"/>
    <n v="8"/>
    <s v="BOGOTA"/>
    <x v="4"/>
    <n v="15709.5"/>
  </r>
  <r>
    <n v="38719"/>
    <s v="BARRIO EL CORTIJO SINCELEJO"/>
    <n v="92533159"/>
    <m/>
    <s v="3118355857"/>
    <s v="3118355859"/>
    <s v="cra 8 no 6-39 segundo piso"/>
    <s v="5.0464838"/>
    <s v="-73.798324"/>
    <s v="CUNDINAMARCA"/>
    <s v="SESQUILÉ"/>
    <s v="SESQUILÉ"/>
    <n v="25736"/>
    <s v="2025-11-24"/>
    <n v="16"/>
    <s v="BOGOTA"/>
    <x v="4"/>
    <n v="15709.5"/>
  </r>
  <r>
    <n v="39870"/>
    <s v="BARRIO BOSTON SINCELEJO 1"/>
    <n v="800253616"/>
    <s v="1"/>
    <s v="3123399185"/>
    <s v="3123399185"/>
    <s v="VDA BOITA,VEREDA BOITA"/>
    <s v="5.0531544"/>
    <s v="-73.8076218"/>
    <s v="CUNDINAMARCA"/>
    <s v="SESQUILÉ"/>
    <s v="SESQUILÉ"/>
    <n v="25736"/>
    <s v="2025-11-24"/>
    <n v="8"/>
    <s v="BOGOTA"/>
    <x v="4"/>
    <n v="15709.5"/>
  </r>
  <r>
    <n v="33522"/>
    <s v="BARRIO LA PALMA SINCELEJO"/>
    <n v="1143337129"/>
    <s v="0"/>
    <s v="3143752623"/>
    <s v="3143752623"/>
    <s v="CR 8 #6 -12"/>
    <s v="5.046327"/>
    <s v="-73.7988150"/>
    <s v="CUNDINAMARCA"/>
    <s v="SESQUILÉ"/>
    <s v="SESQUILÉ"/>
    <n v="25736"/>
    <s v="2025-11-07"/>
    <n v="8"/>
    <s v="BOGOTA"/>
    <x v="4"/>
    <n v="15709.5"/>
  </r>
  <r>
    <n v="24567"/>
    <s v="BARRIO AVENIDA OCALA - SINCELEJO"/>
    <n v="900925006"/>
    <s v="3112638344"/>
    <s v="3112638344"/>
    <s v="3214165581"/>
    <s v="CR 6 4 49,SESQUILE"/>
    <s v="5.0441217"/>
    <s v="-73.7970283"/>
    <s v="CUNDINAMARCA"/>
    <s v="SESQUILÉ"/>
    <s v="SESQUILÉ"/>
    <n v="25736"/>
    <s v="2025-11-07"/>
    <n v="8"/>
    <s v="BOGOTA"/>
    <x v="4"/>
    <n v="15709.5"/>
  </r>
  <r>
    <n v="17271"/>
    <s v="BARRIO LA GRANJA IBAGUE"/>
    <n v="5937128"/>
    <s v="3105818330"/>
    <s v="3105818330"/>
    <s v="3208884812"/>
    <s v="CL 5 6 - 78 LC 2,SESQUILE"/>
    <s v="5.0448896"/>
    <s v="-73.7974855"/>
    <s v="CUNDINAMARCA"/>
    <s v="SESQUILÉ"/>
    <s v="SESQUILÉ"/>
    <n v="25736"/>
    <s v="2025-11-24"/>
    <n v="8"/>
    <s v="BOGOTA"/>
    <x v="4"/>
    <n v="15709.5"/>
  </r>
  <r>
    <n v="16255"/>
    <s v="BARRIO VARSOVIA II IBAGUE"/>
    <n v="93366285"/>
    <s v="7228945"/>
    <s v="3138453642"/>
    <s v="3138453642"/>
    <s v="CL 18 SUR 11 B 44"/>
    <s v="4.5688753"/>
    <s v="-74.2372564"/>
    <s v="CUNDINAMARCA"/>
    <s v="SOACHA"/>
    <s v="SOACHA"/>
    <n v="25754"/>
    <s v="2025-11-12"/>
    <n v="8"/>
    <s v="BOGOTA"/>
    <x v="4"/>
    <n v="15709.5"/>
  </r>
  <r>
    <n v="78083"/>
    <s v="BARRIO NUEVA CASTILLA SUPER IBAGUE"/>
    <n v="1110518655"/>
    <s v="7816445"/>
    <s v="3164650650"/>
    <s v="3103148237"/>
    <s v=" CL 14  7-93"/>
    <s v="4.5828302"/>
    <s v="-74.2184271"/>
    <s v="CUNDINAMARCA"/>
    <s v="SOACHA"/>
    <s v="SOACHA"/>
    <n v="25754"/>
    <s v="2025-11-12"/>
    <n v="8"/>
    <s v="BOGOTA"/>
    <x v="4"/>
    <n v="15709.5"/>
  </r>
  <r>
    <n v="78528"/>
    <s v="BARRIO JARDIN SANTANDER IBAGUE  1"/>
    <n v="1104706033"/>
    <s v="3014962272"/>
    <s v="3014962272"/>
    <m/>
    <s v="CL 13 30 - 242 LC 2 CON FEIJOA CIUDAD VERDE,CONJUNTO FEIJOA CIUDAD VERDE/ SOACHA"/>
    <s v="4.5993453"/>
    <s v="-74.2219498"/>
    <s v="CUNDINAMARCA"/>
    <s v="SOACHA"/>
    <s v="SOACHA"/>
    <n v="25754"/>
    <s v="2025-11-04"/>
    <n v="8"/>
    <s v="BOGOTA"/>
    <x v="4"/>
    <n v="15709.5"/>
  </r>
  <r>
    <n v="78382"/>
    <s v="BARRIO LA SAMARIA IBAGUE"/>
    <n v="1088026850"/>
    <s v="3157623555"/>
    <s v="3112790362"/>
    <s v="3157623555"/>
    <s v="BIS KM 36 KDX 4 1 CORR AGUA CLARA VIA AL PUERTO,VDA LA JARRA"/>
    <s v="8.2112296"/>
    <s v="-72.4265658"/>
    <s v="NORTE DE SANTANDER"/>
    <s v="CÚCUTA"/>
    <s v="CÚCUTA"/>
    <n v="54001"/>
    <s v="2025-11-24"/>
    <n v="8"/>
    <s v="CUCUTA"/>
    <x v="2"/>
    <n v="28277.100000000002"/>
  </r>
  <r>
    <n v="77676"/>
    <s v="BARRIO FRANCIA IBAGUE"/>
    <n v="19363882"/>
    <m/>
    <s v="3007685812"/>
    <s v="3245250297"/>
    <s v="CL 21 # 13 - 04,BARRIO ALFONSO LÓPEZ"/>
    <s v="7.876618"/>
    <s v="-72.509980"/>
    <s v="NORTE DE SANTANDER"/>
    <s v="CÚCUTA"/>
    <s v="CÚCUTA"/>
    <n v="54001"/>
    <s v="2025-11-28"/>
    <n v="8"/>
    <s v="CUCUTA"/>
    <x v="2"/>
    <n v="28277.100000000002"/>
  </r>
  <r>
    <n v="78381"/>
    <s v="BARRIO GRANDA IBAGUE"/>
    <n v="1110461982"/>
    <s v="3163550909"/>
    <s v="3115986804"/>
    <s v="3115986804"/>
    <s v="AV 5 A # 0 - 49 LC 1,LA MERCED"/>
    <s v="7.8970071"/>
    <s v="-72.5052609"/>
    <s v="NORTE DE SANTANDER"/>
    <s v="CÚCUTA"/>
    <s v="CÚCUTA"/>
    <n v="54001"/>
    <s v="2025-11-25"/>
    <n v="8"/>
    <s v="CUCUTA"/>
    <x v="2"/>
    <n v="28277.100000000002"/>
  </r>
  <r>
    <n v="75410"/>
    <s v="BARRIO RICAURTE PARTE ALTA IBAGUE 2"/>
    <n v="46450200"/>
    <s v="0"/>
    <s v="3108921487"/>
    <s v="3108921487"/>
    <s v="MZ D21 LOTE 13,URB TORCOROMA II"/>
    <s v="7.895356"/>
    <s v="-72.470902"/>
    <s v="NORTE DE SANTANDER"/>
    <s v="CÚCUTA"/>
    <s v="CÚCUTA"/>
    <n v="54001"/>
    <s v="2025-11-24"/>
    <n v="8"/>
    <s v="CUCUTA"/>
    <x v="2"/>
    <n v="28277.100000000002"/>
  </r>
  <r>
    <n v="73076"/>
    <s v="BARRIO CENTRO IBAGUE 47"/>
    <n v="80111905"/>
    <s v="0"/>
    <s v="3114519214"/>
    <s v="3114519214"/>
    <s v="AV 17 5A 23,URB TORCOROMA SIGLO XXI"/>
    <s v="7.8965827"/>
    <s v="-72.4713106"/>
    <s v="NORTE DE SANTANDER"/>
    <s v="CÚCUTA"/>
    <s v="CÚCUTA"/>
    <n v="54001"/>
    <s v="2025-11-28"/>
    <n v="8"/>
    <s v="CUCUTA"/>
    <x v="2"/>
    <n v="28277.100000000002"/>
  </r>
  <r>
    <n v="70850"/>
    <s v="BARRIO CENTRO IBAGUE 46"/>
    <n v="1110448327"/>
    <s v="3115233002"/>
    <s v="3143869024"/>
    <s v="3143869024"/>
    <s v="CL 0 NRO. 6 - 24 LC 2,LA MERCED"/>
    <s v="7.9099099"/>
    <s v="-72.4915095"/>
    <s v="NORTE DE SANTANDER"/>
    <s v="CÚCUTA"/>
    <s v="CÚCUTA"/>
    <n v="54001"/>
    <s v="2025-11-25"/>
    <n v="8"/>
    <s v="CUCUTA"/>
    <x v="2"/>
    <n v="28277.100000000002"/>
  </r>
  <r>
    <n v="67622"/>
    <s v="BARRIO SAN ANTONIO IBAGUE 1"/>
    <n v="65763427"/>
    <s v="3004940299"/>
    <s v="3004940299"/>
    <s v="3004940299"/>
    <s v="CL 9 5 A 15,CENTRO"/>
    <s v="8.3148891"/>
    <s v="-75.1413865"/>
    <s v="CÓRDOBA"/>
    <s v="AYAPEL"/>
    <s v="AYAPEL"/>
    <n v="23068"/>
    <s v="2025-11-11"/>
    <n v="8"/>
    <s v="MONTERIA"/>
    <x v="1"/>
    <n v="15709.5"/>
  </r>
  <r>
    <n v="67380"/>
    <s v="BARRIO LOS MARTIRES IBAGUE 4"/>
    <n v="1110492992"/>
    <s v="7799766"/>
    <s v="3105621245"/>
    <s v="3105621245"/>
    <s v=" FRENTE AL PALACIO MUNICIPAL SAN ANDRES DE SOTAVENTO CORDOBA"/>
    <s v="9.1452805"/>
    <s v="-75.5091796"/>
    <s v="CÓRDOBA"/>
    <s v="SAN ANDRÉS DE SOTAVENTO"/>
    <s v="SAN ANDRÉS DE SOTAVENTO"/>
    <n v="23670"/>
    <s v="2025-11-19"/>
    <n v="16"/>
    <s v="MONTERIA"/>
    <x v="1"/>
    <n v="15709.5"/>
  </r>
  <r>
    <n v="65316"/>
    <s v="BARRIO URB VASCONIA IBAGUE"/>
    <n v="6030761"/>
    <s v="3147019286"/>
    <s v="3147019286"/>
    <s v="3147019286"/>
    <s v="CR 7 E CL 9-192 LC 01,LAS FLORES"/>
    <s v="9.1458672"/>
    <s v="-75.5096154"/>
    <s v="CÓRDOBA"/>
    <s v="SAN ANDRÉS DE SOTAVENTO"/>
    <s v="SAN ANDRÉS DE SOTAVENTO"/>
    <n v="23670"/>
    <s v="2025-11-19"/>
    <n v="8"/>
    <s v="MONTERIA"/>
    <x v="1"/>
    <n v="15709.5"/>
  </r>
  <r>
    <n v="63485"/>
    <s v="BARRIO PRADERAS DE SANTA RITA IBAGUE 1"/>
    <n v="80111905"/>
    <s v="7730072"/>
    <s v="3008190156"/>
    <s v="3008190156"/>
    <s v="CR 14 12B 11  local 2"/>
    <s v="9.37380381"/>
    <s v="-75.75948523"/>
    <s v="CÓRDOBA"/>
    <s v="SAN ANTERO"/>
    <s v="SAN ANTERO"/>
    <n v="23672"/>
    <s v="2025-11-06"/>
    <n v="16"/>
    <s v="MONTERIA"/>
    <x v="1"/>
    <n v="15709.5"/>
  </r>
  <r>
    <n v="64973"/>
    <s v="BARRIO AMBALA IBAGUE 11"/>
    <n v="65553424"/>
    <s v="3002569806"/>
    <s v="3013313660"/>
    <s v="3013313660"/>
    <s v="CR 14 13 A -52,OTRO"/>
    <s v="9.3754531"/>
    <s v="-75.7591629"/>
    <s v="CÓRDOBA"/>
    <s v="SAN ANTERO"/>
    <s v="SAN ANTERO"/>
    <n v="23672"/>
    <s v="2025-11-06"/>
    <n v="8"/>
    <s v="MONTERIA"/>
    <x v="1"/>
    <n v="15709.5"/>
  </r>
  <r>
    <n v="65322"/>
    <s v="BARRIO GALAN IBAGUE 1"/>
    <n v="65732523"/>
    <s v="0"/>
    <s v="3124746391"/>
    <s v="3144166930"/>
    <s v="CL 7 21 122 BRR LA CRINOLINA,LA CRINOLINA"/>
    <s v="5.1357177"/>
    <s v="-74.1570312"/>
    <s v="CUNDINAMARCA"/>
    <s v="PACHO"/>
    <s v="PACHO"/>
    <n v="25513"/>
    <s v="2025-11-18"/>
    <n v="8"/>
    <s v="BOGOTA"/>
    <x v="4"/>
    <n v="15709.5"/>
  </r>
  <r>
    <n v="18095"/>
    <s v="BARRIO KENNEDY IBAGUE"/>
    <n v="14234425"/>
    <s v="0"/>
    <s v="3223057969"/>
    <s v="3223057969"/>
    <s v="CL 8 27 181"/>
    <s v="5.1418421"/>
    <s v="-74.1579459"/>
    <s v="CUNDINAMARCA"/>
    <s v="PACHO"/>
    <s v="PACHO"/>
    <n v="25513"/>
    <s v="2025-11-19"/>
    <n v="16"/>
    <s v="BOGOTA"/>
    <x v="4"/>
    <n v="15709.5"/>
  </r>
  <r>
    <n v="64175"/>
    <s v="BARRIO EL CARMEN IBAGUE 11"/>
    <n v="28936832"/>
    <s v="0"/>
    <s v="3213679546"/>
    <s v="3213679546"/>
    <s v="CL 8 14 19 CEN,CENTRO"/>
    <s v="5.1286978"/>
    <s v="-74.1594132"/>
    <s v="CUNDINAMARCA"/>
    <s v="PACHO"/>
    <s v="PACHO"/>
    <n v="25513"/>
    <s v="2025-11-19"/>
    <n v="8"/>
    <s v="BOGOTA"/>
    <x v="4"/>
    <n v="15709.5"/>
  </r>
  <r>
    <n v="61235"/>
    <s v="BARRIO CENTRO IBAGUE 34"/>
    <n v="1110547024"/>
    <s v="3123088895"/>
    <s v="3123088895"/>
    <s v="3123088895"/>
    <s v="CLL 8 Nº 12-18 BRR KENNEDY"/>
    <s v="5.1274285"/>
    <s v="-74.1602800"/>
    <s v="CUNDINAMARCA"/>
    <s v="PACHO"/>
    <s v="PACHO"/>
    <n v="25513"/>
    <s v="2025-11-19"/>
    <n v="8"/>
    <s v="BOGOTA"/>
    <x v="4"/>
    <n v="15709.5"/>
  </r>
  <r>
    <n v="61606"/>
    <s v="BARRIO MODELIA I IBAGUE 1"/>
    <n v="1006124226"/>
    <s v="8450086"/>
    <s v="3115380315"/>
    <s v="3115380315"/>
    <s v=" CL 3  4-01"/>
    <s v="4.6162167"/>
    <s v="-74.3517442"/>
    <s v="CUNDINAMARCA"/>
    <s v="SAN ANTONIO DEL TEQUENDAMA"/>
    <s v="SAN ANTONIO DEL TEQUENDAMA"/>
    <n v="25645"/>
    <s v="2025-11-10"/>
    <n v="8"/>
    <s v="BOGOTA"/>
    <x v="4"/>
    <n v="15709.5"/>
  </r>
  <r>
    <n v="60996"/>
    <s v="BARRIO EL SALADO IBAGUE 8"/>
    <n v="1005703282"/>
    <s v="3132233010"/>
    <s v="3132233010"/>
    <s v="3132233010"/>
    <s v="KM 19 VIA BOGOTA / MESITAS VDA VANCOUVER.SECTOR BELLAVISTA"/>
    <s v="4.5887218"/>
    <s v="-74.3502209"/>
    <s v="CUNDINAMARCA"/>
    <s v="SAN ANTONIO DEL TEQUENDAMA"/>
    <s v="SAN ANTONIO DEL TEQUENDAMA"/>
    <n v="25645"/>
    <s v="2025-11-10"/>
    <n v="16"/>
    <s v="BOGOTA"/>
    <x v="4"/>
    <n v="15709.5"/>
  </r>
  <r>
    <n v="59249"/>
    <s v="BARRIO LOS CEDROS"/>
    <n v="38140611"/>
    <s v="3143043253"/>
    <s v="3204640506"/>
    <s v="3132971817"/>
    <s v="URB VILLA GLORIA LAS MERCEDES LT 1 ET 4 LC 2,URB. VILLA GLORIA"/>
    <s v="4.9682428"/>
    <s v="-74.2884633"/>
    <s v="CUNDINAMARCA"/>
    <s v="SAN FRANCISCO"/>
    <s v="SAN FRANCISCO"/>
    <n v="25658"/>
    <s v="2025-11-07"/>
    <n v="16"/>
    <s v="BOGOTA"/>
    <x v="4"/>
    <n v="15709.5"/>
  </r>
  <r>
    <n v="58685"/>
    <s v="BARRIO LAS FERIAS IBAGUE 1"/>
    <n v="65808373"/>
    <s v="0"/>
    <s v="3118127555"/>
    <s v="3118127555"/>
    <s v="CR 2 2 01,VILLA CARMENZA"/>
    <s v="4.9686720"/>
    <s v="-74.2878982"/>
    <s v="CUNDINAMARCA"/>
    <s v="SAN FRANCISCO"/>
    <s v="SAN FRANCISCO"/>
    <n v="25658"/>
    <s v="2025-11-07"/>
    <n v="16"/>
    <s v="BOGOTA"/>
    <x v="4"/>
    <n v="15709.5"/>
  </r>
  <r>
    <n v="60123"/>
    <s v="BARRIO ANCON IBAGUE 3"/>
    <n v="28815896"/>
    <s v="3102649666"/>
    <s v="3102649666"/>
    <m/>
    <s v="DG 32 10 20 BALCONES DE MERCURIO II PISO 2,&quot;RINCÓN DE SANTA FE CONJUNTO BALCONES DE MERCURIO"/>
    <s v="4.5904367"/>
    <s v="-74.2062183"/>
    <s v="CUNDINAMARCA"/>
    <s v="SOACHA"/>
    <s v="SOACHA"/>
    <n v="25754"/>
    <s v="2025-11-04"/>
    <n v="8"/>
    <s v="BOGOTA"/>
    <x v="4"/>
    <n v="15709.5"/>
  </r>
  <r>
    <n v="55942"/>
    <s v="BARRIO JORDAN III ETAPA IBAGUE"/>
    <n v="1005715081"/>
    <s v="3204309382"/>
    <s v="3204309382"/>
    <m/>
    <s v="CL 22 B 7A 56,CAMILO TORRES SOACHA"/>
    <s v="4.5844990"/>
    <s v="-74.2117600"/>
    <s v="CUNDINAMARCA"/>
    <s v="SOACHA"/>
    <s v="SOACHA"/>
    <n v="25754"/>
    <s v="2025-11-25"/>
    <n v="16"/>
    <s v="BOGOTA"/>
    <x v="4"/>
    <n v="15709.5"/>
  </r>
  <r>
    <n v="55066"/>
    <s v="BARRIO HIPODROMO IBAGUE 6"/>
    <n v="1105613162"/>
    <s v="3212356827"/>
    <s v="3105693310"/>
    <s v="3105693310"/>
    <s v="TV 4D 5 30 SUR CA 84,QUINTAS DE LA LAGUNA"/>
    <s v="4.5726348"/>
    <s v="-74.2276658"/>
    <s v="CUNDINAMARCA"/>
    <s v="SOACHA"/>
    <s v="SOACHA"/>
    <n v="25754"/>
    <s v="2025-11-10"/>
    <n v="8"/>
    <s v="BOGOTA"/>
    <x v="4"/>
    <n v="15709.5"/>
  </r>
  <r>
    <n v="54100"/>
    <s v="BARRIO AMBALA IBAGUE 7"/>
    <n v="65553424"/>
    <s v="3118731616"/>
    <s v="3118731616"/>
    <m/>
    <s v="CR 5 ESTE 24 61,RICAURTE"/>
    <s v="4.5781325"/>
    <s v="-74.2077067"/>
    <s v="CUNDINAMARCA"/>
    <s v="SOACHA"/>
    <s v="SOACHA"/>
    <n v="25754"/>
    <s v="2025-11-20"/>
    <n v="16"/>
    <s v="BOGOTA"/>
    <x v="4"/>
    <n v="15709.5"/>
  </r>
  <r>
    <n v="53378"/>
    <s v="BARIO PICALEÑA IBAGUE"/>
    <n v="65766868"/>
    <s v="3186940845"/>
    <s v="3186940845"/>
    <s v="3168239966"/>
    <s v="CL 1 4 F 32,LAGOS DE MALIBÚ"/>
    <s v="4.5754878"/>
    <s v="-74.2258448"/>
    <s v="CUNDINAMARCA"/>
    <s v="SOACHA"/>
    <s v="SOACHA"/>
    <n v="25754"/>
    <s v="2025-11-24"/>
    <n v="16"/>
    <s v="BOGOTA"/>
    <x v="4"/>
    <n v="15709.5"/>
  </r>
  <r>
    <n v="54471"/>
    <s v="BARRIO RICAURTE PARTE BAJA IBAGUE 1"/>
    <n v="1110573514"/>
    <s v="3114630996"/>
    <s v="3114630996"/>
    <s v="3114630996"/>
    <s v="CL 30 A 6 G 46 ESTE,SAN MATEO"/>
    <s v="4.5795104"/>
    <s v="-74.2009268"/>
    <s v="CUNDINAMARCA"/>
    <s v="SOACHA"/>
    <s v="SOACHA"/>
    <n v="25754"/>
    <s v="2025-11-26"/>
    <n v="16"/>
    <s v="BOGOTA"/>
    <x v="4"/>
    <n v="15709.5"/>
  </r>
  <r>
    <n v="49350"/>
    <s v="BARRIO URBANIZACION SANTA ANA IBAGUE"/>
    <n v="65553424"/>
    <s v="3187369105"/>
    <s v="3187369105"/>
    <s v="3212047655"/>
    <s v="CR 7 32 35 LC 211,SAN MATEO SOACHA"/>
    <s v="4.588177"/>
    <s v="-74.204596"/>
    <s v="CUNDINAMARCA"/>
    <s v="SOACHA"/>
    <s v="SOACHA"/>
    <n v="25754"/>
    <s v="2025-11-20"/>
    <n v="8"/>
    <s v="BOGOTA"/>
    <x v="4"/>
    <n v="15709.5"/>
  </r>
  <r>
    <n v="50893"/>
    <s v="BARRIO AVENIDA PEDRO TAFUR IBAGUE"/>
    <n v="1030641597"/>
    <s v="3115647886"/>
    <s v="3133793107"/>
    <s v="3133793107"/>
    <s v="TV 12A 38C 53,LEON X111"/>
    <s v="4.5921033"/>
    <s v="-74.1993750"/>
    <s v="CUNDINAMARCA"/>
    <s v="SOACHA"/>
    <s v="SOACHA"/>
    <n v="25754"/>
    <s v="2025-11-24"/>
    <n v="8"/>
    <s v="BOGOTA"/>
    <x v="4"/>
    <n v="15709.5"/>
  </r>
  <r>
    <n v="46763"/>
    <s v="BARRIO LA POLA IBAGUE 4"/>
    <n v="80111905"/>
    <s v="3022731103"/>
    <s v="3022731103"/>
    <s v="3505831388"/>
    <s v="AV 6 NRO 8-72 CENTRO COMERCIAL FANTASTICO LOCAL 108 BR EL CENTRO"/>
    <s v="7.887967"/>
    <s v="-72.505241"/>
    <s v="NORTE DE SANTANDER"/>
    <s v="CÚCUTA"/>
    <s v="CÚCUTA"/>
    <n v="54001"/>
    <s v="2025-11-27"/>
    <n v="16"/>
    <s v="CUCUTA"/>
    <x v="2"/>
    <n v="28277.100000000002"/>
  </r>
  <r>
    <n v="43949"/>
    <s v="BARRIO EL BUNDE IV IBAGUE"/>
    <n v="1110535285"/>
    <s v="3108720932"/>
    <s v="0"/>
    <s v="3124857645"/>
    <s v="AV 7 NRO 5-55 LC 239 CC LAS MERCEDES,CALLEJON"/>
    <s v="7.8913012"/>
    <s v="-72.5065001"/>
    <s v="NORTE DE SANTANDER"/>
    <s v="CÚCUTA"/>
    <s v="CÚCUTA"/>
    <n v="54001"/>
    <s v="2025-11-24"/>
    <n v="16"/>
    <s v="CUCUTA"/>
    <x v="2"/>
    <n v="28277.100000000002"/>
  </r>
  <r>
    <n v="43218"/>
    <s v="BARRIO INTERLAKEN IBAGUE 2"/>
    <n v="1110527349"/>
    <s v="0"/>
    <s v="3223531577"/>
    <s v="3224647950"/>
    <s v="Avenida 9e #6n-95 santa lucia"/>
    <s v="7.8947667"/>
    <s v="-72.4724133"/>
    <s v="NORTE DE SANTANDER"/>
    <s v="CÚCUTA"/>
    <s v="CÚCUTA"/>
    <n v="54001"/>
    <s v="2025-11-24"/>
    <n v="16"/>
    <s v="CUCUTA"/>
    <x v="2"/>
    <n v="28277.100000000002"/>
  </r>
  <r>
    <n v="40034"/>
    <s v="BARRIO VILLA MARLEN 2 IBAGUE"/>
    <n v="1110539404"/>
    <s v="3007201258"/>
    <s v="3007201258"/>
    <s v="3136570964"/>
    <s v="CL 8 NRO 6-65 LOC 24-034 A PS.2 CC ALEJANDRIA BR EL CENTRO"/>
    <s v="7.888593"/>
    <s v="-72.505879"/>
    <s v="NORTE DE SANTANDER"/>
    <s v="CÚCUTA"/>
    <s v="CÚCUTA"/>
    <n v="54001"/>
    <s v="2025-11-27"/>
    <n v="8"/>
    <s v="CUCUTA"/>
    <x v="2"/>
    <n v="28277.100000000002"/>
  </r>
  <r>
    <n v="29051"/>
    <s v="BARRIO EL PAYASO IBAGUÉ"/>
    <n v="822000897"/>
    <s v="5781820"/>
    <s v="5781820"/>
    <s v="3102127135"/>
    <s v="CL 12 12 12 BRR EL CONTENTO"/>
    <s v="7.883389"/>
    <s v="-72.510738"/>
    <s v="NORTE DE SANTANDER"/>
    <s v="CÚCUTA"/>
    <s v="CÚCUTA"/>
    <n v="54001"/>
    <s v="2025-11-24"/>
    <n v="8"/>
    <s v="CUCUTA"/>
    <x v="2"/>
    <n v="28277.100000000002"/>
  </r>
  <r>
    <n v="17385"/>
    <s v="BARRIO AMBALA II IBAGUE"/>
    <n v="5937128"/>
    <s v="0"/>
    <s v="3208709455"/>
    <s v="3208709455"/>
    <s v="TV 17 0-23,PUEBLO NUEVO"/>
    <s v="7.8918919"/>
    <s v="-72.5247265"/>
    <s v="NORTE DE SANTANDER"/>
    <s v="CÚCUTA"/>
    <s v="CÚCUTA"/>
    <n v="54001"/>
    <s v="2025-11-27"/>
    <n v="8"/>
    <s v="CUCUTA"/>
    <x v="2"/>
    <n v="28277.100000000002"/>
  </r>
  <r>
    <n v="17384"/>
    <s v="BARRIO URB PIEDRA PINTADA IBAGUE"/>
    <n v="5937128"/>
    <s v="3136394465"/>
    <s v="3177774006"/>
    <s v="3177774006"/>
    <s v="CALLE PRINCIPAL BARRIO CENTRO"/>
    <s v="1.6280011"/>
    <s v="-77.45857"/>
    <s v="NARIÑO"/>
    <s v="POLICARPA"/>
    <s v="POLICARPA"/>
    <n v="52540"/>
    <s v="2025-11-05"/>
    <n v="8"/>
    <s v="PASTO"/>
    <x v="5"/>
    <n v="28277.100000000002"/>
  </r>
  <r>
    <n v="16749"/>
    <s v="MATERIALES EMO - IBAGUE"/>
    <n v="801002644"/>
    <s v="3136394465"/>
    <s v="3177774006"/>
    <s v="3177774006"/>
    <s v="EN CORREGIMIENTO MADRIGAL,CORREGIMIENTO MADRIGAL"/>
    <s v="1.7492855"/>
    <s v="-77.509080"/>
    <s v="NARIÑO"/>
    <s v="POLICARPA"/>
    <s v="POLICARPA"/>
    <n v="52540"/>
    <s v="2025-11-06"/>
    <n v="8"/>
    <s v="PASTO"/>
    <x v="5"/>
    <n v="28277.100000000002"/>
  </r>
  <r>
    <n v="17466"/>
    <s v="BARRIO JAZMIN TOLIMA"/>
    <n v="93409662"/>
    <s v="3132291710"/>
    <s v="3123677656"/>
    <s v="3123677656"/>
    <s v="CORREGIMIENTO DE SANTACRUZ"/>
    <s v="1.826870"/>
    <s v="-77.548460"/>
    <s v="NARIÑO"/>
    <s v="POLICARPA"/>
    <s v="POLICARPA"/>
    <n v="52540"/>
    <s v="2025-11-06"/>
    <n v="8"/>
    <s v="PASTO"/>
    <x v="5"/>
    <n v="28277.100000000002"/>
  </r>
  <r>
    <n v="64431"/>
    <s v="BARRIO OTRO LOS CORDOBAS"/>
    <n v="901523817"/>
    <s v="0"/>
    <s v="3206578579"/>
    <s v="3104691254"/>
    <s v="VEREDA SANTA ROSA,VEREDA SANTA ROSA"/>
    <s v="1.855818333"/>
    <s v="-77.5604683333"/>
    <s v="NARIÑO"/>
    <s v="POLICARPA"/>
    <s v="POLICARPA"/>
    <n v="52540"/>
    <s v="2025-11-06"/>
    <e v="#N/A"/>
    <s v="PASTO"/>
    <x v="5"/>
    <n v="28277.100000000002"/>
  </r>
  <r>
    <n v="75801"/>
    <s v="BARRIO VEREDA GALILEA COMUNIDAD 10"/>
    <n v="1102797894"/>
    <s v="3188958667"/>
    <s v="3187254990"/>
    <s v="3187254990"/>
    <s v="CORREGIMIENTO EL EJIDO POLICARPA,CORREGIMIENTO EL EJIDO"/>
    <s v="1.716995"/>
    <s v="-77.512102"/>
    <s v="NARIÑO"/>
    <s v="POLICARPA"/>
    <s v="POLICARPA"/>
    <n v="52540"/>
    <s v="2025-11-07"/>
    <e v="#N/A"/>
    <s v="PASTO"/>
    <x v="5"/>
    <n v="28277.100000000002"/>
  </r>
  <r>
    <n v="79791"/>
    <s v="BARRIO PLAYA SALGUERO SANTA MARTA"/>
    <n v="85468980"/>
    <s v="3205642348"/>
    <s v="3205642348"/>
    <s v="3205642348"/>
    <s v="CR 8 6 34 BARRIO SHUMACHER,SHUMACHER"/>
    <s v="1.334546"/>
    <s v="-77.593959"/>
    <s v="NARIÑO"/>
    <s v="SAMANIEGO"/>
    <s v="SAMANIEGO"/>
    <n v="52678"/>
    <s v="2025-11-18"/>
    <n v="8"/>
    <s v="PASTO"/>
    <x v="5"/>
    <n v="28277.100000000002"/>
  </r>
  <r>
    <n v="80623"/>
    <s v="BARRIO LOS LAURELES SANTA MARTA 1"/>
    <n v="55240430"/>
    <s v="3104142980"/>
    <s v="3104142980"/>
    <s v="3104142980"/>
    <s v="CR 5 6 08 ESQ BRR INDUSTRIAL,INDUSTRIAL"/>
    <s v="1.3369908"/>
    <s v="-77.5929864"/>
    <s v="NARIÑO"/>
    <s v="SAMANIEGO"/>
    <s v="SAMANIEGO"/>
    <n v="52678"/>
    <s v="2025-11-19"/>
    <n v="8"/>
    <s v="PASTO"/>
    <x v="5"/>
    <n v="28277.100000000002"/>
  </r>
  <r>
    <n v="76165"/>
    <s v="BARRIO MARIA EUGENIA SANTA MARTA  3"/>
    <n v="1082977459"/>
    <s v="3162950448"/>
    <s v="3162950448"/>
    <s v="3188903068"/>
    <s v="CL 1 CR 4 43 DIV 2 BRR SUCRE,EL PROGRESO"/>
    <s v="1.3391715"/>
    <s v="-77.5943070"/>
    <s v="NARIÑO"/>
    <s v="SAMANIEGO"/>
    <s v="SAMANIEGO"/>
    <n v="52678"/>
    <s v="2025-11-19"/>
    <n v="8"/>
    <s v="PASTO"/>
    <x v="5"/>
    <n v="28277.100000000002"/>
  </r>
  <r>
    <n v="61372"/>
    <s v="BARRIO CIUDAD EQUIDAD SANTA MARTA 1"/>
    <n v="1082972451"/>
    <s v="5781820"/>
    <s v="3102127135"/>
    <s v="3102127135"/>
    <s v="MZ A LOTE 4 CONJUNTO CAMPESTRE SAN CRISTOBAL,SAN CRISTOBAL"/>
    <s v="7.5971603"/>
    <s v="-72.6017712"/>
    <s v="NORTE DE SANTANDER"/>
    <s v="CHINÁCOTA"/>
    <s v="CHINÁCOTA"/>
    <n v="54172"/>
    <s v="2025-11-19"/>
    <n v="8"/>
    <s v="CUCUTA"/>
    <x v="2"/>
    <n v="28277.100000000002"/>
  </r>
  <r>
    <n v="58669"/>
    <s v="BARRIO ALTOS DE SANTA MARTA SANTA MARTA 1"/>
    <n v="1128225240"/>
    <s v="3205319355"/>
    <s v="3205319355"/>
    <s v="3205319355"/>
    <s v="CR 4 7-77,CENTRO"/>
    <s v="7.6216216"/>
    <s v="-72.5872133"/>
    <s v="NORTE DE SANTANDER"/>
    <s v="CHINÁCOTA"/>
    <s v="CHINÁCOTA"/>
    <n v="54172"/>
    <s v="2025-11-19"/>
    <n v="16"/>
    <s v="CUCUTA"/>
    <x v="2"/>
    <n v="28277.100000000002"/>
  </r>
  <r>
    <n v="51576"/>
    <s v="BARRIO CENTRO SANTA MARTA 17"/>
    <n v="7633128"/>
    <s v="3202883562"/>
    <s v="3202883562"/>
    <s v="3202883562"/>
    <s v="CR 10 A 6A 21 SUR,VALLE SANTA ANA"/>
    <s v="4.5662293"/>
    <s v="-74.2308454"/>
    <s v="CUNDINAMARCA"/>
    <s v="SOACHA"/>
    <s v="SOACHA"/>
    <n v="25754"/>
    <s v="2025-11-24"/>
    <n v="8"/>
    <s v="BOGOTA"/>
    <x v="4"/>
    <n v="15709.5"/>
  </r>
  <r>
    <n v="47287"/>
    <s v="BARRIO LIBANO 2000 SANTA MARTA"/>
    <n v="1124054560"/>
    <s v="3046020519"/>
    <s v="3046020519"/>
    <s v="3046020519"/>
    <s v="CL 32 SUR 15 C 54,CIUDAD LATINA"/>
    <s v="4.575401"/>
    <s v="-74.243774"/>
    <s v="CUNDINAMARCA"/>
    <s v="SOACHA"/>
    <s v="SOACHA"/>
    <n v="25754"/>
    <s v="2025-11-27"/>
    <n v="8"/>
    <s v="BOGOTA"/>
    <x v="4"/>
    <n v="15709.5"/>
  </r>
  <r>
    <n v="35236"/>
    <s v="BARRIO URBANIZACION ANDREA CAROLINA"/>
    <n v="1073979411"/>
    <s v="3208425592"/>
    <s v="3208425592"/>
    <s v="3208425592"/>
    <s v="CALLE 53 NO 10 - 33,LEON XIII"/>
    <s v="4.5961379"/>
    <s v="-74.1911335"/>
    <s v="CUNDINAMARCA"/>
    <s v="SOACHA"/>
    <s v="SOACHA"/>
    <n v="25754"/>
    <s v="2025-11-24"/>
    <n v="16"/>
    <s v="BOGOTA"/>
    <x v="4"/>
    <n v="15709.5"/>
  </r>
  <r>
    <n v="78552"/>
    <s v="BARRIO EL DORADO PASTO"/>
    <n v="98343083"/>
    <s v="3203119503"/>
    <s v="3045328223"/>
    <s v="3045328223"/>
    <s v="CR 17 19 A SUR 112,INDUMIL"/>
    <s v="4.5809551"/>
    <s v="-74.2416241"/>
    <s v="CUNDINAMARCA"/>
    <s v="SOACHA"/>
    <s v="SOACHA"/>
    <n v="25754"/>
    <s v="2025-11-24"/>
    <n v="8"/>
    <s v="BOGOTA"/>
    <x v="4"/>
    <n v="15709.5"/>
  </r>
  <r>
    <n v="11043"/>
    <s v="BARRIO VILLA DEL SOL"/>
    <n v="4486102"/>
    <s v="3232232476"/>
    <s v="3232293153"/>
    <s v="3232232476"/>
    <s v="CR 3 12B - 04,UBATE SOACHA"/>
    <s v="4.5772351"/>
    <s v="-74.2180057"/>
    <s v="CUNDINAMARCA"/>
    <s v="SOACHA"/>
    <s v="SOACHA"/>
    <n v="25754"/>
    <s v="2025-11-27"/>
    <n v="16"/>
    <s v="BOGOTA"/>
    <x v="4"/>
    <n v="15709.5"/>
  </r>
  <r>
    <n v="15601"/>
    <s v="BARRIO PATIO BONITO II"/>
    <n v="900113903"/>
    <s v="0"/>
    <s v="0"/>
    <s v="3197797174"/>
    <s v="CR 5 ESTE 29 C 50,SAN MATEO"/>
    <s v="4.580607"/>
    <s v="-74.2041581"/>
    <s v="CUNDINAMARCA"/>
    <s v="SOACHA"/>
    <s v="SOACHA"/>
    <n v="25754"/>
    <s v="2025-11-26"/>
    <n v="16"/>
    <s v="BOGOTA"/>
    <x v="4"/>
    <n v="15709.5"/>
  </r>
  <r>
    <n v="17046"/>
    <s v="BARRIO FONTIBON VII BOGOTA"/>
    <n v="3082327"/>
    <m/>
    <s v="3116043590"/>
    <s v="3125067284"/>
    <s v="TV 19 39 C - 105 LC 1, POTRERO GRANDE SOACHA"/>
    <s v="4.5953719"/>
    <s v="-74.205377"/>
    <s v="CUNDINAMARCA"/>
    <s v="SOACHA"/>
    <s v="SOACHA"/>
    <n v="25754"/>
    <s v="2025-11-04"/>
    <n v="16"/>
    <s v="BOGOTA"/>
    <x v="4"/>
    <n v="15709.5"/>
  </r>
  <r>
    <n v="17236"/>
    <s v="BARRIO NORMANDIA XI BOGOTA"/>
    <n v="1019033081"/>
    <s v="0"/>
    <s v="3156103183"/>
    <s v="3156103183"/>
    <s v="CL 1 5 B 06,QUINTAS DE LA LAGUNA"/>
    <s v="4.5800664"/>
    <s v="-74.2258461"/>
    <s v="CUNDINAMARCA"/>
    <s v="SOACHA"/>
    <s v="SOACHA"/>
    <n v="25754"/>
    <s v="2025-11-24"/>
    <n v="16"/>
    <s v="BOGOTA"/>
    <x v="4"/>
    <n v="15709.5"/>
  </r>
  <r>
    <n v="20628"/>
    <s v="BARRIO MOLINOS IV BOGOTA"/>
    <n v="79640367"/>
    <s v="3123785446"/>
    <s v="3123785446"/>
    <s v="3112175689"/>
    <s v="CL 10 NRO 14 111 LC 4Y5,BR SAN MIGUEL"/>
    <s v="7.884906651084266"/>
    <s v="-72.51421798833027"/>
    <s v="NORTE DE SANTANDER"/>
    <s v="CÚCUTA"/>
    <s v="CÚCUTA"/>
    <n v="54001"/>
    <s v="2025-11-27"/>
    <n v="16"/>
    <s v="CUCUTA"/>
    <x v="2"/>
    <n v="28277.100000000002"/>
  </r>
  <r>
    <n v="16746"/>
    <s v="MATERIALES EMO II CALI"/>
    <n v="801002644"/>
    <s v="3219495425"/>
    <s v="3219495425"/>
    <s v="3219495425"/>
    <s v="MZ 32 - 5,BR PALMERAS PARTE ALTA"/>
    <s v="7.905714"/>
    <s v="-72.529599"/>
    <s v="NORTE DE SANTANDER"/>
    <s v="CÚCUTA"/>
    <s v="CÚCUTA"/>
    <n v="54001"/>
    <s v="2025-11-21"/>
    <n v="8"/>
    <s v="CUCUTA"/>
    <x v="2"/>
    <n v="28277.100000000002"/>
  </r>
  <r>
    <n v="17978"/>
    <s v="BARRIO LA GLORIA VICTORIA BOGOTA"/>
    <n v="1032357568"/>
    <s v="0"/>
    <s v="3015012755"/>
    <s v="3015012755"/>
    <s v="AV 6 CL 26 LC 1 BRR BUENOS AIRES"/>
    <s v="7.9286603"/>
    <s v="-72.5193356"/>
    <s v="NORTE DE SANTANDER"/>
    <s v="CÚCUTA"/>
    <s v="CÚCUTA"/>
    <n v="54001"/>
    <s v="2025-11-28"/>
    <n v="16"/>
    <s v="CUCUTA"/>
    <x v="2"/>
    <n v="28277.100000000002"/>
  </r>
  <r>
    <n v="21493"/>
    <s v="BARRIO MUNICIPAL - CALI"/>
    <n v="16667817"/>
    <s v="3204437646"/>
    <s v="3208903206"/>
    <s v="3204437646"/>
    <s v="CALLE 30 #1-81 LOCAL15,SAN MATEO"/>
    <s v="4.5833230"/>
    <s v="-74.2050433"/>
    <s v="CUNDINAMARCA"/>
    <s v="SOACHA"/>
    <s v="SOACHA"/>
    <n v="25754"/>
    <s v="2025-11-24"/>
    <n v="16"/>
    <s v="BOGOTA"/>
    <x v="4"/>
    <n v="15709.5"/>
  </r>
  <r>
    <n v="17567"/>
    <s v="BARRIO LAGOS DE SUBA III BOGOTA"/>
    <n v="35510963"/>
    <s v="3214243579"/>
    <s v="3165669317"/>
    <s v="3204924701"/>
    <s v="CR 9 10 22 S,NEMESIS"/>
    <s v="4.564492"/>
    <s v="-74.232105"/>
    <s v="CUNDINAMARCA"/>
    <s v="SOACHA"/>
    <s v="SOACHA"/>
    <n v="25754"/>
    <s v="2025-11-20"/>
    <n v="8"/>
    <s v="BOGOTA"/>
    <x v="4"/>
    <n v="15709.5"/>
  </r>
  <r>
    <n v="22822"/>
    <s v="BARRIO AURES - BOGOTÁ"/>
    <n v="41320027"/>
    <s v="3206245902"/>
    <s v="3206245902"/>
    <s v="3206245902"/>
    <s v="CL 42 ESTE 43-24"/>
    <s v="4.5742338"/>
    <s v="-74.177683"/>
    <s v="CUNDINAMARCA"/>
    <s v="SOACHA"/>
    <s v="SOACHA"/>
    <n v="25754"/>
    <s v="2025-11-20"/>
    <n v="16"/>
    <s v="BOGOTA"/>
    <x v="4"/>
    <n v="15709.5"/>
  </r>
  <r>
    <n v="21792"/>
    <s v="BARRIO SUBA XVII - BOGOTÁ"/>
    <n v="53063313"/>
    <s v="3158130148"/>
    <s v="3158130148"/>
    <s v="3112291888"/>
    <s v="CL 27 SUR #15G - 60 "/>
    <s v="4.5759733"/>
    <s v="-74.2416533"/>
    <s v="CUNDINAMARCA"/>
    <s v="SOACHA"/>
    <s v="SOACHA"/>
    <n v="25754"/>
    <s v="2025-11-04"/>
    <n v="16"/>
    <s v="BOGOTA"/>
    <x v="4"/>
    <n v="15709.5"/>
  </r>
  <r>
    <n v="22540"/>
    <s v="BARRIO QUINTA PAREDES IV - BOGOTÁ"/>
    <n v="900364915"/>
    <s v="3118606637"/>
    <s v="3118606637"/>
    <s v="3232503818"/>
    <s v="CL 34 ESTE 14-00 BL 24 CA 21 BOSQUES DE TIBANICA,SOACHA"/>
    <s v="4.57814"/>
    <s v="-74.195057"/>
    <s v="CUNDINAMARCA"/>
    <s v="SOACHA"/>
    <s v="SOACHA"/>
    <n v="25754"/>
    <s v="2025-11-04"/>
    <n v="8"/>
    <s v="BOGOTA"/>
    <x v="4"/>
    <n v="15709.5"/>
  </r>
  <r>
    <n v="24244"/>
    <s v="BARRIO LA FELICIDAD - BOGOTÁ"/>
    <n v="79136311"/>
    <s v="0"/>
    <s v="3142143013"/>
    <s v="3142143013"/>
    <s v="CALLE 30 NO 1 - 140,SAN MATEO"/>
    <s v="4.5842339"/>
    <s v="-74.2051463"/>
    <s v="CUNDINAMARCA"/>
    <s v="SOACHA"/>
    <s v="SOACHA"/>
    <n v="25754"/>
    <s v="2025-11-26"/>
    <n v="8"/>
    <s v="BOGOTA"/>
    <x v="4"/>
    <n v="15709.5"/>
  </r>
  <r>
    <n v="24510"/>
    <s v="BARRIO SUBA XX - BOGOTÁ"/>
    <n v="80187741"/>
    <s v="0"/>
    <s v="3112907216"/>
    <s v="3112907216"/>
    <s v="CR 4 28 - 04"/>
    <s v="4.584904"/>
    <s v="-74.206996"/>
    <s v="CUNDINAMARCA"/>
    <s v="SOACHA"/>
    <s v="SOACHA"/>
    <n v="25754"/>
    <s v="2025-11-24"/>
    <n v="8"/>
    <s v="BOGOTA"/>
    <x v="4"/>
    <n v="15709.5"/>
  </r>
  <r>
    <n v="25708"/>
    <s v="CANDELARIA LA NUEVA BOGOTÁ - CUNDINAMARCA"/>
    <n v="52236739"/>
    <s v="3125583296"/>
    <s v="3125583296"/>
    <s v="3209969707"/>
    <s v="CR 14 ESTE # 32 A - 90,SOACHA TERREROS"/>
    <s v="4.5778786"/>
    <s v="-74.1962066"/>
    <s v="CUNDINAMARCA"/>
    <s v="SOACHA"/>
    <s v="SOACHA"/>
    <n v="25754"/>
    <s v="2025-11-20"/>
    <n v="8"/>
    <s v="BOGOTA"/>
    <x v="4"/>
    <n v="15709.5"/>
  </r>
  <r>
    <n v="25527"/>
    <s v="SAN JOSÉ BOGOTÁ - CUNDINAMARCA"/>
    <n v="1013579237"/>
    <s v="3539261"/>
    <s v="3153834689"/>
    <s v="3153834689"/>
    <s v=" CR 4  4-30"/>
    <s v="5.31445424"/>
    <s v="-75.80114524"/>
    <s v="RISARALDA"/>
    <s v="GUÁTICA"/>
    <s v="GUÁTICA"/>
    <n v="66318"/>
    <s v="2025-11-13"/>
    <n v="16"/>
    <s v="PEREIRA"/>
    <x v="6"/>
    <n v="15709.5"/>
  </r>
  <r>
    <n v="26847"/>
    <s v="BARRIO SUBA LISBOA BOGOTA"/>
    <n v="1019018018"/>
    <s v="3117312577"/>
    <s v="3117312577"/>
    <s v="3117312577"/>
    <s v="CR 5 12 32 40,CENTRO"/>
    <s v="5.3155780"/>
    <s v="-75.7981176"/>
    <s v="RISARALDA"/>
    <s v="GUÁTICA"/>
    <s v="GUÁTICA"/>
    <n v="66318"/>
    <s v="2025-11-27"/>
    <n v="8"/>
    <s v="PEREIRA"/>
    <x v="6"/>
    <n v="15709.5"/>
  </r>
  <r>
    <n v="28697"/>
    <s v="BARRIO PATIO BONITO 13 BOGOTÁ"/>
    <n v="1030674988"/>
    <s v="3122228320"/>
    <s v="3122228320"/>
    <m/>
    <s v="CR 7 11 56 LC 1,EL JARDIN"/>
    <s v="5.3170577"/>
    <s v="-75.7989987"/>
    <s v="RISARALDA"/>
    <s v="GUÁTICA"/>
    <s v="GUÁTICA"/>
    <n v="66318"/>
    <s v="2025-11-13"/>
    <n v="8"/>
    <s v="PEREIRA"/>
    <x v="6"/>
    <n v="15709.5"/>
  </r>
  <r>
    <n v="26396"/>
    <s v="BARRIO SAN NICOLAS VII - CALI"/>
    <n v="805029815"/>
    <s v="3655672"/>
    <s v="3148128310"/>
    <s v="3148128310"/>
    <s v="CL 16  14 - 26 CENTRO "/>
    <s v="4.8680410"/>
    <s v="-75.6219756"/>
    <s v="RISARALDA"/>
    <s v="SANTA ROSA DE CABAL"/>
    <s v="SANTA ROSA DE CABAL"/>
    <n v="66682"/>
    <s v="2025-11-13"/>
    <n v="8"/>
    <s v="PEREIRA"/>
    <x v="6"/>
    <n v="15709.5"/>
  </r>
  <r>
    <n v="26399"/>
    <s v="BARRIO CALIMA VIII- CALI"/>
    <n v="900627646"/>
    <s v="3650257"/>
    <s v="3003550208"/>
    <s v="3003550208"/>
    <s v=" CL 12 9 89"/>
    <s v="4.8657664"/>
    <s v="-75.6169915"/>
    <s v="RISARALDA"/>
    <s v="SANTA ROSA DE CABAL"/>
    <s v="SANTA ROSA DE CABAL"/>
    <n v="66682"/>
    <s v="2025-11-13"/>
    <n v="8"/>
    <s v="PEREIRA"/>
    <x v="6"/>
    <n v="15709.5"/>
  </r>
  <r>
    <n v="27456"/>
    <s v="BARRIO CENTENARIO BOGOTA"/>
    <n v="31324852"/>
    <s v="3653096"/>
    <s v="3104998310"/>
    <s v="3104998310"/>
    <s v=" CR 10 B 30 A 06 TORRE 1 APTO 103 A PORTAL DE LAS ARAUCARIAS"/>
    <s v="4.8812574"/>
    <s v="-75.6219682"/>
    <s v="RISARALDA"/>
    <s v="SANTA ROSA DE CABAL"/>
    <s v="SANTA ROSA DE CABAL"/>
    <n v="66682"/>
    <s v="2025-11-13"/>
    <n v="16"/>
    <s v="PEREIRA"/>
    <x v="6"/>
    <n v="15709.5"/>
  </r>
  <r>
    <n v="31830"/>
    <s v="BARRIO SANTA HELENITA 3 BOGOTA"/>
    <n v="1019033081"/>
    <s v="0"/>
    <s v="3024135494"/>
    <s v="3024135494"/>
    <s v="KR 11 13 - 70,CENTRO"/>
    <s v="4.8670405"/>
    <s v="-75.6185710"/>
    <s v="RISARALDA"/>
    <s v="SANTA ROSA DE CABAL"/>
    <s v="SANTA ROSA DE CABAL"/>
    <n v="66682"/>
    <s v="2025-11-20"/>
    <n v="8"/>
    <s v="PEREIRA"/>
    <x v="6"/>
    <n v="15709.5"/>
  </r>
  <r>
    <n v="33186"/>
    <s v="BARRIO SUBA GAITANA BOGOTA 1"/>
    <n v="13513844"/>
    <m/>
    <s v="3137605833"/>
    <s v="3137605833"/>
    <s v="CRA 14# 18-14 centro"/>
    <s v="4.8699557"/>
    <s v="-75.6222946"/>
    <s v="RISARALDA"/>
    <s v="SANTA ROSA DE CABAL"/>
    <s v="SANTA ROSA DE CABAL"/>
    <n v="66682"/>
    <s v="2025-11-20"/>
    <n v="8"/>
    <s v="PEREIRA"/>
    <x v="6"/>
    <n v="15709.5"/>
  </r>
  <r>
    <n v="33563"/>
    <s v="BARRIO SUBA LOMBARDIA BOGOTA 1"/>
    <n v="35510717"/>
    <s v="3172902553"/>
    <s v="3172902553"/>
    <s v="3172902553"/>
    <s v="KR 10 BIS N 9B - 45 BRR BOLIVAR, BOLIVAR"/>
    <s v="4.8635043"/>
    <s v="-75.6191720"/>
    <s v="RISARALDA"/>
    <s v="SANTA ROSA DE CABAL"/>
    <s v="SANTA ROSA DE CABAL"/>
    <n v="66682"/>
    <s v="2025-11-20"/>
    <n v="8"/>
    <s v="PEREIRA"/>
    <x v="6"/>
    <n v="15709.5"/>
  </r>
  <r>
    <n v="29218"/>
    <s v="BARRIO LA ESTANCIA 2 BOGOTÁ"/>
    <n v="79581644"/>
    <s v="3216871486"/>
    <s v="3216871486"/>
    <s v="3216871486"/>
    <s v="CL 45 13 03 MZ 3 CA 52 BRR LOS CRISTALES,LOS CRISTALES"/>
    <s v="4.8923411"/>
    <s v="-75.6263721"/>
    <s v="RISARALDA"/>
    <s v="SANTA ROSA DE CABAL"/>
    <s v="SANTA ROSA DE CABAL"/>
    <n v="66682"/>
    <s v="2025-11-13"/>
    <n v="8"/>
    <s v="PEREIRA"/>
    <x v="6"/>
    <n v="15709.5"/>
  </r>
  <r>
    <n v="32122"/>
    <s v="BARRIO 7 DE AGOSTO 10 BOGOTÁ"/>
    <n v="51834939"/>
    <s v="3058529112"/>
    <s v="3058529112"/>
    <s v="3045986489"/>
    <s v="CR 23 23 02,LA HERMOSA"/>
    <s v="4.8730042"/>
    <s v="-75.6288867"/>
    <s v="RISARALDA"/>
    <s v="SANTA ROSA DE CABAL"/>
    <s v="SANTA ROSA DE CABAL"/>
    <n v="66682"/>
    <s v="2025-11-20"/>
    <n v="8"/>
    <s v="PEREIRA"/>
    <x v="6"/>
    <n v="15709.5"/>
  </r>
  <r>
    <n v="32052"/>
    <s v="BARRIO SUBA ALCAPARROS  BOGOTÁ"/>
    <n v="1032407373"/>
    <s v="3104751949"/>
    <s v="3104751949"/>
    <s v="3104751949"/>
    <s v="CR 14 15 17 ,CENTRO"/>
    <s v="4.8674479"/>
    <s v="-75.6214866"/>
    <s v="RISARALDA"/>
    <s v="SANTA ROSA DE CABAL"/>
    <s v="SANTA ROSA DE CABAL"/>
    <n v="66682"/>
    <s v="2025-11-20"/>
    <n v="8"/>
    <s v="PEREIRA"/>
    <x v="6"/>
    <n v="15709.5"/>
  </r>
  <r>
    <n v="32415"/>
    <s v="BARRIO CENTRO SAN NICOLAS CALI"/>
    <n v="1144128226"/>
    <s v="3204160791"/>
    <s v="3204160791"/>
    <s v="3204160791"/>
    <s v="VRD 0 0 0 KM 10 VIA SANGIL BARICHARA VEREDA EL GUAYABAL,VEREDA EL GUAYABAL"/>
    <s v="6.6064792"/>
    <s v="-73.2375133"/>
    <s v="SANTANDER"/>
    <s v="BARICHARA"/>
    <s v="BARICHARA"/>
    <n v="68079"/>
    <s v="2025-11-19"/>
    <n v="16"/>
    <s v="BUCARAMANGA"/>
    <x v="2"/>
    <n v="15709.5"/>
  </r>
  <r>
    <n v="33918"/>
    <s v="BARRIO CENTRO CALI 7"/>
    <n v="900835258"/>
    <s v="6229758"/>
    <s v="3206679525"/>
    <s v="3206679525"/>
    <s v=" CR 17  47-44"/>
    <s v="7.5801354"/>
    <s v="-73.86017434"/>
    <s v="SANTANDER"/>
    <s v="BARRANCABERMEJA"/>
    <s v="BARRANCABERMEJA"/>
    <n v="68081"/>
    <s v="2025-11-27"/>
    <n v="16"/>
    <s v="BUCARAMANGA"/>
    <x v="2"/>
    <n v="15709.5"/>
  </r>
  <r>
    <n v="34158"/>
    <s v="BARRIO PERDOMO BOGOTA 6"/>
    <n v="1010198889"/>
    <s v="6200176"/>
    <s v="3002873915"/>
    <s v="3002873915"/>
    <s v=" CR 8 50 17 CPC FASE II LC 169"/>
    <s v="7.0610847"/>
    <s v="-73.8689389"/>
    <s v="SANTANDER"/>
    <s v="BARRANCABERMEJA"/>
    <s v="BARRANCABERMEJA"/>
    <n v="68081"/>
    <s v="2025-11-27"/>
    <n v="8"/>
    <s v="BUCARAMANGA"/>
    <x v="2"/>
    <n v="15709.5"/>
  </r>
  <r>
    <n v="35053"/>
    <s v="BARRIO PATIO BONITO BOGOTA 2"/>
    <n v="53115070"/>
    <m/>
    <s v="3118242969"/>
    <s v="3223283168"/>
    <s v="CL 45 35 A 06,SIMON BOLIVAR"/>
    <s v="7.056753"/>
    <s v="-73.843971"/>
    <s v="SANTANDER"/>
    <s v="BARRANCABERMEJA"/>
    <s v="BARRANCABERMEJA"/>
    <n v="68081"/>
    <s v="2025-11-27"/>
    <n v="8"/>
    <s v="BUCARAMANGA"/>
    <x v="2"/>
    <n v="15709.5"/>
  </r>
  <r>
    <n v="34769"/>
    <s v="BARRIO MARROQUIN 2 CALI"/>
    <n v="94514551"/>
    <s v="311 8242969"/>
    <s v="3118242969"/>
    <s v="3162678137"/>
    <s v="AV 52 A 35 B 17 PRIMERO DE MAYO,SIMON BOLIVAR"/>
    <s v="7.06261000"/>
    <s v="-73.841529"/>
    <s v="SANTANDER"/>
    <s v="BARRANCABERMEJA"/>
    <s v="BARRANCABERMEJA"/>
    <n v="68081"/>
    <s v="2025-11-28"/>
    <n v="16"/>
    <s v="BUCARAMANGA"/>
    <x v="2"/>
    <n v="15709.5"/>
  </r>
  <r>
    <n v="34821"/>
    <s v="BARRIO LAS PALMITAS BOGOTA"/>
    <n v="53115070"/>
    <s v="0"/>
    <s v="3226836079"/>
    <s v="3226836079"/>
    <s v="AV 1E 12-39,BRR CAOBOS"/>
    <s v="7.8851621"/>
    <s v="-72.4973821"/>
    <s v="NORTE DE SANTANDER"/>
    <s v="CÚCUTA"/>
    <s v="CÚCUTA"/>
    <n v="54001"/>
    <s v="2025-11-20"/>
    <n v="8"/>
    <s v="CUCUTA"/>
    <x v="2"/>
    <n v="28277.100000000002"/>
  </r>
  <r>
    <n v="35879"/>
    <s v="BARRIO PATIO BONITO BOGOTA 3"/>
    <n v="39689554"/>
    <s v="0"/>
    <s v="3226836079"/>
    <s v="3226836079"/>
    <s v="AV 0 11-165 LC 1,BRR CAOBOS"/>
    <s v="7.88532200"/>
    <s v="-72.4979199"/>
    <s v="NORTE DE SANTANDER"/>
    <s v="CÚCUTA"/>
    <s v="CÚCUTA"/>
    <n v="54001"/>
    <s v="2025-11-20"/>
    <n v="8"/>
    <s v="CUCUTA"/>
    <x v="2"/>
    <n v="28277.100000000002"/>
  </r>
  <r>
    <n v="37034"/>
    <s v="BARRIO SAN PABLO BOGOTA"/>
    <n v="80489945"/>
    <s v="3143149820"/>
    <s v="3143149820"/>
    <s v="3143149820"/>
    <s v="AV 7 NRO 0-69 LOCAL M1-39,BRR CALLEJON"/>
    <s v="7.8918919"/>
    <s v="-72.5065362"/>
    <s v="NORTE DE SANTANDER"/>
    <s v="CÚCUTA"/>
    <s v="CÚCUTA"/>
    <n v="54001"/>
    <s v="2025-11-24"/>
    <n v="8"/>
    <s v="CUCUTA"/>
    <x v="2"/>
    <n v="28277.100000000002"/>
  </r>
  <r>
    <n v="34309"/>
    <s v="BARRIO SANTO DOMINGO CALI"/>
    <n v="42089414"/>
    <s v="0"/>
    <s v="3208014971"/>
    <s v="3208014971"/>
    <s v="CL 7 2-95,LATINO"/>
    <s v="7.890385166"/>
    <s v="-72.502136222"/>
    <s v="NORTE DE SANTANDER"/>
    <s v="CÚCUTA"/>
    <s v="CÚCUTA"/>
    <n v="54001"/>
    <s v="2025-11-24"/>
    <n v="16"/>
    <s v="CUCUTA"/>
    <x v="2"/>
    <n v="28277.100000000002"/>
  </r>
  <r>
    <n v="35653"/>
    <s v="BARRIO PRADOS DEL NORTE CALI 1"/>
    <n v="1118299396"/>
    <s v="3214581649"/>
    <s v="3214581649"/>
    <s v="3214581649"/>
    <s v="CC ALEJANDRIA LOC 34 - 043/34-044 EL CENTRO,"/>
    <s v="7.8885719722"/>
    <s v="-72.5056960"/>
    <s v="NORTE DE SANTANDER"/>
    <s v="CÚCUTA"/>
    <s v="CÚCUTA"/>
    <n v="54001"/>
    <s v="2025-11-20"/>
    <n v="16"/>
    <s v="CUCUTA"/>
    <x v="2"/>
    <n v="28277.100000000002"/>
  </r>
  <r>
    <n v="38327"/>
    <s v="BARRIO EL SALITRE BOGOTA"/>
    <n v="4159131"/>
    <s v="0"/>
    <s v="3107355344"/>
    <s v="3107355644"/>
    <s v="CL 18A 7-78,BRR LA LIBERTAD"/>
    <s v="7.887455"/>
    <s v="-72.481408"/>
    <s v="NORTE DE SANTANDER"/>
    <s v="CÚCUTA"/>
    <s v="CÚCUTA"/>
    <n v="54001"/>
    <s v="2025-11-27"/>
    <n v="8"/>
    <s v="CUCUTA"/>
    <x v="2"/>
    <n v="28277.100000000002"/>
  </r>
  <r>
    <n v="40458"/>
    <s v="BARRIO BETANIA BOGOTA 1"/>
    <n v="1032369298"/>
    <s v="3002012150"/>
    <s v="3002012150"/>
    <s v="3002012150"/>
    <s v="CL 5 N 8-81 - CALLEJON"/>
    <s v="7.891091777"/>
    <s v="-72.50891875"/>
    <s v="NORTE DE SANTANDER"/>
    <s v="CÚCUTA"/>
    <s v="CÚCUTA"/>
    <n v="54001"/>
    <s v="2025-11-25"/>
    <n v="8"/>
    <s v="CUCUTA"/>
    <x v="2"/>
    <n v="28277.100000000002"/>
  </r>
  <r>
    <n v="39488"/>
    <s v="BARRIO CENTRO CALI 19"/>
    <n v="890306372"/>
    <m/>
    <s v="3004725680"/>
    <s v="3004725680"/>
    <s v="CL 9 4-42 LOC 79 Y 80 CC EL PALACIO,EL CENTRO"/>
    <s v="7.888283000"/>
    <s v="-72.50335497"/>
    <s v="NORTE DE SANTANDER"/>
    <s v="CÚCUTA"/>
    <s v="CÚCUTA"/>
    <n v="54001"/>
    <s v="2025-11-27"/>
    <n v="8"/>
    <s v="CUCUTA"/>
    <x v="2"/>
    <n v="28277.100000000002"/>
  </r>
  <r>
    <n v="41145"/>
    <s v="BARRIO SALOMIA CALI 3"/>
    <n v="1144189178"/>
    <s v="0"/>
    <s v="3136617621"/>
    <s v="3136617621"/>
    <s v="AV 7 0-61 LC N1 86 MUELLE 1,CALLEJON"/>
    <s v="7.8959599722"/>
    <s v="-72.5079209722"/>
    <s v="NORTE DE SANTANDER"/>
    <s v="CÚCUTA"/>
    <s v="CÚCUTA"/>
    <n v="54001"/>
    <s v="2025-11-24"/>
    <n v="16"/>
    <s v="CUCUTA"/>
    <x v="2"/>
    <n v="28277.100000000002"/>
  </r>
  <r>
    <n v="77340"/>
    <s v="BARRIO LA PRIMAVERA CALI  1"/>
    <n v="66981567"/>
    <s v="3017754759"/>
    <s v="3017754759"/>
    <s v="3017754759"/>
    <s v="CL 6 NRO 13-36,COMUNEROS"/>
    <s v="7.9128332"/>
    <s v="-72.5255081"/>
    <s v="NORTE DE SANTANDER"/>
    <s v="CÚCUTA"/>
    <s v="CÚCUTA"/>
    <n v="54001"/>
    <s v="2025-11-28"/>
    <n v="8"/>
    <s v="CUCUTA"/>
    <x v="2"/>
    <n v="28277.100000000002"/>
  </r>
  <r>
    <n v="78068"/>
    <s v="BARRIO CONDADO DE CASTILLA BOGOTA"/>
    <n v="91493829"/>
    <s v="7797945"/>
    <s v="3134794656"/>
    <s v="3134794656"/>
    <s v="CL 48 12 09E JULIO RINCON SOACHA"/>
    <s v="4.5864764"/>
    <s v="-74.1887242"/>
    <s v="CUNDINAMARCA"/>
    <s v="SOACHA"/>
    <s v="SOACHA"/>
    <n v="25754"/>
    <s v="2025-11-24"/>
    <n v="8"/>
    <s v="BOGOTA"/>
    <x v="4"/>
    <n v="15709.5"/>
  </r>
  <r>
    <n v="78240"/>
    <s v="BARRIO BOSA PIAMONTE BOGOTA 4"/>
    <n v="1012425308"/>
    <s v="3134421549"/>
    <s v="3134421549"/>
    <s v="3134421549"/>
    <s v="TV 18 J # 10-20,DANUBIO SOACHA"/>
    <s v="4.5892137"/>
    <s v="-74.2239448"/>
    <s v="CUNDINAMARCA"/>
    <s v="SOACHA"/>
    <s v="SOACHA"/>
    <n v="25754"/>
    <s v="2025-11-26"/>
    <n v="8"/>
    <s v="BOGOTA"/>
    <x v="4"/>
    <n v="15709.5"/>
  </r>
  <r>
    <n v="78241"/>
    <s v="BARRIO MONTE BLANCO BOGOTA  2"/>
    <n v="1080187193"/>
    <s v="9003134"/>
    <s v="3132602711"/>
    <s v="3132602711"/>
    <s v="CL 26 SUR 12 C 7 COMPARTIR"/>
    <s v="4.5706617"/>
    <s v="-74.2392233"/>
    <s v="CUNDINAMARCA"/>
    <s v="SOACHA"/>
    <s v="SOACHA"/>
    <n v="25754"/>
    <s v="2025-11-24"/>
    <n v="8"/>
    <s v="BOGOTA"/>
    <x v="4"/>
    <n v="15709.5"/>
  </r>
  <r>
    <n v="79288"/>
    <s v="BARRIO CHARCO AZUL CALI"/>
    <n v="16706827"/>
    <s v="9016475"/>
    <s v="3142356726"/>
    <s v="3102203883"/>
    <s v="CR 9A 16A - 105 SUR TO 4 AP 102,"/>
    <s v="4.579474"/>
    <s v="-74.234707"/>
    <s v="CUNDINAMARCA"/>
    <s v="SOACHA"/>
    <s v="SOACHA"/>
    <n v="25754"/>
    <s v="2025-11-12"/>
    <n v="8"/>
    <s v="BOGOTA"/>
    <x v="4"/>
    <n v="15709.5"/>
  </r>
  <r>
    <n v="79656"/>
    <s v="BARRIO VEREDA CASICASGO SUESCA"/>
    <n v="901407185"/>
    <s v="9041876"/>
    <s v="3223650121"/>
    <s v="3223650121"/>
    <s v="TV 12 45 - 105"/>
    <s v="4.5977224"/>
    <s v="-74.1913118"/>
    <s v="CUNDINAMARCA"/>
    <s v="SOACHA"/>
    <s v="SOACHA"/>
    <n v="25754"/>
    <s v="2025-11-24"/>
    <e v="#N/A"/>
    <s v="BOGOTA"/>
    <x v="4"/>
    <n v="15709.5"/>
  </r>
  <r>
    <n v="80244"/>
    <s v="BARRIO BAVARIA PRIMER SECTOR BOGOTA"/>
    <n v="79902110"/>
    <s v="7622324"/>
    <s v="3143428069"/>
    <s v="3143428069"/>
    <s v=" TV 13  36 06"/>
    <s v="4.5903402"/>
    <s v="-74.2003543"/>
    <s v="CUNDINAMARCA"/>
    <s v="SOACHA"/>
    <s v="SOACHA"/>
    <n v="25754"/>
    <s v="2025-11-25"/>
    <n v="8"/>
    <s v="BOGOTA"/>
    <x v="4"/>
    <n v="15709.5"/>
  </r>
  <r>
    <n v="80115"/>
    <s v="BARRIO MARIA PAZ BOGOTA 7"/>
    <n v="12206322"/>
    <s v="3666417"/>
    <s v="3125660490"/>
    <s v="3125660490"/>
    <s v="TV 7 4B 06"/>
    <s v="4.5826202"/>
    <s v="-74.2238858"/>
    <s v="CUNDINAMARCA"/>
    <s v="SOACHA"/>
    <s v="SOACHA"/>
    <n v="25754"/>
    <s v="2025-11-12"/>
    <n v="16"/>
    <s v="BOGOTA"/>
    <x v="4"/>
    <n v="15709.5"/>
  </r>
  <r>
    <n v="80651"/>
    <s v="BARRIO BOSA PIAMONTE BOGOTA 5"/>
    <n v="28053959"/>
    <s v="9021863"/>
    <s v="3134919803"/>
    <s v="3106296568"/>
    <s v=" CR 15 F  32 67"/>
    <s v="4.5753914"/>
    <s v="-74.2442273"/>
    <s v="CUNDINAMARCA"/>
    <s v="SOACHA"/>
    <s v="SOACHA"/>
    <n v="25754"/>
    <s v="2025-11-25"/>
    <n v="8"/>
    <s v="BOGOTA"/>
    <x v="4"/>
    <n v="15709.5"/>
  </r>
  <r>
    <n v="80431"/>
    <s v="BARRIO RIO NEGRO BOGOTA 4"/>
    <n v="901830353"/>
    <s v="8284868"/>
    <s v="3017495569"/>
    <s v="3154041340"/>
    <s v=" CR 2C  26 05 LC 101"/>
    <s v="4.583291"/>
    <s v="-74.2084915"/>
    <s v="CUNDINAMARCA"/>
    <s v="SOACHA"/>
    <s v="SOACHA"/>
    <n v="25754"/>
    <s v="2025-11-25"/>
    <n v="8"/>
    <s v="BOGOTA"/>
    <x v="4"/>
    <n v="15709.5"/>
  </r>
  <r>
    <n v="42327"/>
    <s v="BARRIO BOSA BOGOTA 6"/>
    <n v="1012433757"/>
    <s v="0"/>
    <s v="3113797153"/>
    <s v="3113797153"/>
    <s v="CR 3  3 - 10 BRR PIEDRA DE BOLIVAR CABECERA MUNCIPAL DE BERRUECOS"/>
    <s v="1.50327"/>
    <s v="-77.135802"/>
    <s v="NARIÑO"/>
    <s v="ARBOLEDA"/>
    <s v="BERRUECOS"/>
    <n v="52051"/>
    <s v="2025-11-10"/>
    <n v="16"/>
    <s v="PASTO"/>
    <x v="5"/>
    <n v="28277.100000000002"/>
  </r>
  <r>
    <n v="42329"/>
    <s v="BARRIO BOSA BOGOTA 7"/>
    <n v="1022408241"/>
    <s v="318 8895881"/>
    <s v="3188895881"/>
    <s v="3209780387"/>
    <s v="CC C.P.C FASE 1 LOCAL 156 SECTOR COMERCIAL,BARRANCABERMEJA"/>
    <s v="7.0610928"/>
    <s v="-73.8689381"/>
    <s v="SANTANDER"/>
    <s v="BARRANCABERMEJA"/>
    <s v="BARRANCABERMEJA"/>
    <n v="68081"/>
    <s v="2025-11-28"/>
    <n v="8"/>
    <s v="BUCARAMANGA"/>
    <x v="2"/>
    <n v="15709.5"/>
  </r>
  <r>
    <n v="42417"/>
    <s v="BARRIO CENTRO CALI 23"/>
    <n v="890306372"/>
    <s v="3124542809"/>
    <s v="3166740291"/>
    <s v="3166740291"/>
    <s v="CR 21 54 38 LOCAL 2,TORCOROMA"/>
    <s v="7.6455449"/>
    <s v="-73.85621191"/>
    <s v="SANTANDER"/>
    <s v="BARRANCABERMEJA"/>
    <s v="BARRANCABERMEJA"/>
    <n v="68081"/>
    <s v="2025-11-13"/>
    <n v="8"/>
    <s v="BUCARAMANGA"/>
    <x v="2"/>
    <n v="15709.5"/>
  </r>
  <r>
    <n v="42663"/>
    <s v="BARRIO BOSA PORVENIR BOGOTA 2"/>
    <n v="14274460"/>
    <s v="3102441621"/>
    <s v="3102441621"/>
    <s v="3102441621"/>
    <s v="CL 9 4 34,BRR SAN ANTONIO"/>
    <s v="5.9896741"/>
    <s v="-73.7711300"/>
    <s v="SANTANDER"/>
    <s v="BOLÍVAR"/>
    <s v="BOLÍVAR"/>
    <n v="68101"/>
    <s v="2025-11-06"/>
    <n v="8"/>
    <s v="TUNJA"/>
    <x v="2"/>
    <n v="28277.100000000002"/>
  </r>
  <r>
    <n v="43766"/>
    <s v="BARRIO BOSA CARLOS ALBAN BOGOTA 1"/>
    <n v="52755576"/>
    <s v="3115068900"/>
    <s v="0"/>
    <s v="3115068900"/>
    <s v="CR 4 9 45,NUEVO PORTAL"/>
    <s v="5.9900675"/>
    <s v="-73.7707332"/>
    <s v="SANTANDER"/>
    <s v="BOLÍVAR"/>
    <s v="BOLÍVAR"/>
    <n v="68101"/>
    <s v="2025-11-06"/>
    <n v="8"/>
    <s v="TUNJA"/>
    <x v="2"/>
    <n v="28277.100000000002"/>
  </r>
  <r>
    <n v="44033"/>
    <s v="BARRIO LAS GRANJAS BOGOTA"/>
    <n v="53049846"/>
    <s v="6600050"/>
    <s v="3132630189"/>
    <s v="3132630189"/>
    <s v=" CR 4  3-91"/>
    <s v="6.5295383"/>
    <s v="-72.6968520"/>
    <s v="SANTANDER"/>
    <s v="CAPITANEJO"/>
    <s v="CAPITANEJO"/>
    <n v="68147"/>
    <s v="2025-11-27"/>
    <n v="8"/>
    <s v="BUCARAMANGA"/>
    <x v="2"/>
    <n v="15709.5"/>
  </r>
  <r>
    <n v="46195"/>
    <s v="BARRIO PRADOS DE SANTA BARBARA BOGOTA"/>
    <n v="51932280"/>
    <s v="3102178805"/>
    <s v="3102178805"/>
    <s v="3102178805"/>
    <s v="CR 4 NO.1-11,LIBERTADORES"/>
    <s v="7.1137912"/>
    <s v="-73.1081034"/>
    <s v="SANTANDER"/>
    <s v="CAPITANEJO"/>
    <s v="CAPITANEJO"/>
    <n v="68147"/>
    <s v="2025-11-27"/>
    <n v="8"/>
    <s v="BUCARAMANGA"/>
    <x v="2"/>
    <n v="15709.5"/>
  </r>
  <r>
    <n v="43591"/>
    <s v="BARRIO AURES II BOGOTA 1"/>
    <n v="901165287"/>
    <s v="2798260"/>
    <s v="3125722106"/>
    <s v="3125722106"/>
    <s v=" CR 14  24-30"/>
    <s v="6.2879694"/>
    <s v="-73.1461369"/>
    <s v="SANTANDER"/>
    <s v="CHARALÁ"/>
    <s v="CHARALÁ"/>
    <n v="68167"/>
    <s v="2025-11-18"/>
    <n v="16"/>
    <s v="BUCARAMANGA"/>
    <x v="2"/>
    <n v="15709.5"/>
  </r>
  <r>
    <n v="43595"/>
    <s v="BARRIO AMERICAS BOGOTA 4"/>
    <n v="1034518"/>
    <s v="3142142552"/>
    <s v="3142142552"/>
    <s v="3142142552"/>
    <s v="CR 14 A #22-75 BRR José Antonio Galán"/>
    <s v="6.28626664"/>
    <s v="-73.14632268"/>
    <s v="SANTANDER"/>
    <s v="CHARALÁ"/>
    <s v="CHARALÁ"/>
    <n v="68167"/>
    <s v="2025-11-18"/>
    <n v="8"/>
    <s v="BUCARAMANGA"/>
    <x v="2"/>
    <n v="15709.5"/>
  </r>
  <r>
    <n v="47605"/>
    <s v="BARRIO MONTERREY BOGOTA"/>
    <n v="52316901"/>
    <s v="3123507006"/>
    <s v="3123507006"/>
    <s v="3123507006"/>
    <s v="CL 24 14 A 41"/>
    <s v="6.2876965"/>
    <s v="-73.1467676"/>
    <s v="SANTANDER"/>
    <s v="CHARALÁ"/>
    <s v="CHARALÁ"/>
    <n v="68167"/>
    <s v="2025-11-18"/>
    <n v="16"/>
    <s v="BUCARAMANGA"/>
    <x v="2"/>
    <n v="15709.5"/>
  </r>
  <r>
    <n v="47175"/>
    <s v="BARRIO SANTA LIBRADA BOGOTA 6"/>
    <n v="1071302150"/>
    <s v="3003964105"/>
    <s v="3003964105"/>
    <s v="3003964105"/>
    <s v="CR 26 NRO 32 - 55 LC 02,CENTRO"/>
    <s v="9.3174814"/>
    <s v="-75.2927621"/>
    <s v="SUCRE"/>
    <s v="COROZAL"/>
    <s v="COROZAL"/>
    <n v="70215"/>
    <s v="2025-11-18"/>
    <n v="8"/>
    <s v="SINCELEJO"/>
    <x v="1"/>
    <n v="28277.100000000002"/>
  </r>
  <r>
    <n v="46824"/>
    <s v="BARRIO FONTIBON ARABIA BOGOTA"/>
    <n v="39745060"/>
    <s v="3105521945"/>
    <s v="3145243646"/>
    <s v="3145243646"/>
    <s v=" CR 12 CALLE 11 2 APTO 01 CENTRO"/>
    <s v="9.1609305"/>
    <s v="-75.04783"/>
    <s v="SUCRE"/>
    <s v="GALERAS"/>
    <s v="GALERAS"/>
    <n v="70235"/>
    <s v="2025-11-13"/>
    <n v="8"/>
    <s v="SINCELEJO"/>
    <x v="1"/>
    <n v="28277.100000000002"/>
  </r>
  <r>
    <n v="46887"/>
    <s v="BARRIO PATIO BONITO BOGOTA 9"/>
    <n v="79826217"/>
    <s v="3218318780"/>
    <s v="3218318780"/>
    <s v="3218318780"/>
    <s v="CR 12 CALLE 13 3,CENTRO"/>
    <s v="9.1620917"/>
    <s v="-75.0476256"/>
    <s v="SUCRE"/>
    <s v="GALERAS"/>
    <s v="GALERAS"/>
    <n v="70235"/>
    <s v="2025-11-13"/>
    <n v="8"/>
    <s v="SINCELEJO"/>
    <x v="1"/>
    <n v="28277.100000000002"/>
  </r>
  <r>
    <n v="47023"/>
    <s v="BARRIO NUEVA ZELANDIA BOGOTA 3"/>
    <n v="52696226"/>
    <s v="5968635"/>
    <s v="3154540720"/>
    <s v="3154540720"/>
    <s v="CL 20 18-01,AGUAS CALIENTES"/>
    <s v="7.8832365"/>
    <s v="-72.4723828"/>
    <s v="NORTE DE SANTANDER"/>
    <s v="CÚCUTA"/>
    <s v="CÚCUTA"/>
    <n v="54001"/>
    <s v="2025-11-26"/>
    <n v="16"/>
    <s v="CUCUTA"/>
    <x v="2"/>
    <n v="28277.100000000002"/>
  </r>
  <r>
    <n v="47025"/>
    <s v="BARRIO DINDALITO BOGOTA 9"/>
    <n v="53115070"/>
    <s v="0"/>
    <s v="3187951960"/>
    <s v="3187951960"/>
    <s v="calle 9#2-83"/>
    <s v="7.8962267"/>
    <s v="-72.4824317"/>
    <s v="NORTE DE SANTANDER"/>
    <s v="CÚCUTA"/>
    <s v="CÚCUTA"/>
    <n v="54001"/>
    <s v="2025-11-28"/>
    <n v="8"/>
    <s v="CUCUTA"/>
    <x v="2"/>
    <n v="28277.100000000002"/>
  </r>
  <r>
    <n v="48078"/>
    <s v="BARRIO CORUÑA BOGOTA 1"/>
    <n v="52236739"/>
    <s v="0"/>
    <s v="3125267587"/>
    <s v="3044694729"/>
    <s v=" LOCAL 6 URBANIZACIÓN NATURA PARQUE CENTRAL,BRR PARQUE CENTRAL NATURA"/>
    <s v="7.8780447"/>
    <s v="-72.4682007"/>
    <s v="NORTE DE SANTANDER"/>
    <s v="CÚCUTA"/>
    <s v="CÚCUTA"/>
    <n v="54001"/>
    <s v="2025-11-27"/>
    <n v="8"/>
    <s v="CUCUTA"/>
    <x v="2"/>
    <n v="28277.100000000002"/>
  </r>
  <r>
    <n v="47416"/>
    <s v="BARRIO SUBA BOGOTA 11"/>
    <n v="900582515"/>
    <s v="5909178"/>
    <s v="3202744973"/>
    <s v="3202744973"/>
    <s v="CL 5N 3 E 161 VILLAS DE LA CANDELARIA BARRIO CEIBA II"/>
    <s v="7.9026830"/>
    <s v="-72.4953873"/>
    <s v="NORTE DE SANTANDER"/>
    <s v="CÚCUTA"/>
    <s v="CÚCUTA"/>
    <n v="54001"/>
    <s v="2025-11-13"/>
    <n v="16"/>
    <s v="CUCUTA"/>
    <x v="2"/>
    <n v="28277.100000000002"/>
  </r>
  <r>
    <n v="49817"/>
    <s v="BARRIO ENGATIVA BOGOTA 5"/>
    <n v="66837815"/>
    <s v="0"/>
    <s v="3245577838"/>
    <s v="3115233002"/>
    <s v="AV 6 NRO 8-45 LOCAL 1-602 CC ALEJANDRIA,EL CENTRO"/>
    <s v="7.8878920"/>
    <s v="-72.5055940"/>
    <s v="NORTE DE SANTANDER"/>
    <s v="CÚCUTA"/>
    <s v="CÚCUTA"/>
    <n v="54001"/>
    <s v="2025-11-27"/>
    <n v="16"/>
    <s v="CUCUTA"/>
    <x v="2"/>
    <n v="28277.100000000002"/>
  </r>
  <r>
    <n v="48848"/>
    <s v="BARRIO SAMPER MENDOZA BOGOTA"/>
    <n v="51987636"/>
    <s v="5920543"/>
    <s v="3108824053"/>
    <s v="3108824053"/>
    <s v="AV 11 6-67,URB TORCOROMA I"/>
    <s v="7.8952751"/>
    <s v="-72.4755185"/>
    <s v="NORTE DE SANTANDER"/>
    <s v="CÚCUTA"/>
    <s v="CÚCUTA"/>
    <n v="54001"/>
    <s v="2025-11-27"/>
    <n v="8"/>
    <s v="CUCUTA"/>
    <x v="2"/>
    <n v="28277.100000000002"/>
  </r>
  <r>
    <n v="48858"/>
    <s v="BARRIO CENTRO CALI 28"/>
    <n v="890306372"/>
    <s v="5727617"/>
    <s v="3138787336"/>
    <s v="3138787336"/>
    <s v="AV 10 9 71 - EL LLANO"/>
    <s v="7.8863189"/>
    <s v="-72.5091310"/>
    <s v="NORTE DE SANTANDER"/>
    <s v="CÚCUTA"/>
    <s v="CÚCUTA"/>
    <n v="54001"/>
    <s v="2025-11-20"/>
    <n v="8"/>
    <s v="CUCUTA"/>
    <x v="2"/>
    <n v="28277.100000000002"/>
  </r>
  <r>
    <n v="49980"/>
    <s v="BARRIO SAN PEDRO LOS ROBLES FONTIBON BOGOTA"/>
    <n v="52984616"/>
    <s v="5922939"/>
    <s v="3138787336"/>
    <s v="3143759668"/>
    <s v="CL 10 NRO 9-96,EL LLANO"/>
    <s v="7.8861243"/>
    <s v="-72.509101"/>
    <s v="NORTE DE SANTANDER"/>
    <s v="CÚCUTA"/>
    <s v="CÚCUTA"/>
    <n v="54001"/>
    <s v="2025-11-20"/>
    <n v="8"/>
    <s v="CUCUTA"/>
    <x v="2"/>
    <n v="28277.100000000002"/>
  </r>
  <r>
    <n v="49567"/>
    <s v="BARRIO BOSA SANTA FE BOGOTA 3"/>
    <n v="80826314"/>
    <m/>
    <s v="3219495425"/>
    <s v="3219495425"/>
    <s v="AV 11 E NRO 0-22,QUINTA ORIENTAL"/>
    <s v="7.8988791"/>
    <s v="-72.4908985"/>
    <s v="NORTE DE SANTANDER"/>
    <s v="CÚCUTA"/>
    <s v="CÚCUTA"/>
    <n v="54001"/>
    <s v="2025-11-21"/>
    <n v="8"/>
    <s v="CUCUTA"/>
    <x v="2"/>
    <n v="28277.100000000002"/>
  </r>
  <r>
    <n v="51640"/>
    <s v="BARRIO BOSA SAN MARTIN BOGOTA"/>
    <n v="28964121"/>
    <s v="0"/>
    <s v="3214581649"/>
    <s v="3214581649"/>
    <s v="CL 7A  0N - 64"/>
    <s v="7.8918919"/>
    <s v="-72.4701556"/>
    <s v="NORTE DE SANTANDER"/>
    <s v="CÚCUTA"/>
    <s v="CÚCUTA"/>
    <n v="54001"/>
    <s v="2025-11-24"/>
    <n v="8"/>
    <s v="CUCUTA"/>
    <x v="2"/>
    <n v="28277.100000000002"/>
  </r>
  <r>
    <n v="50209"/>
    <s v="BARRIO SAN CIPRIANO BOGOTA 1"/>
    <n v="51911277"/>
    <s v="3158323629"/>
    <s v="3158323629"/>
    <s v="3158323629"/>
    <s v="CR 3 CL 3SUR 80 BRR LA LOMA,LA LOMA"/>
    <s v="1.3961895"/>
    <s v="-77.1517104"/>
    <s v="NARIÑO"/>
    <s v="BUESACO"/>
    <s v="BUESACO"/>
    <n v="52110"/>
    <s v="2025-11-05"/>
    <n v="16"/>
    <s v="PASTO"/>
    <x v="5"/>
    <n v="28277.100000000002"/>
  </r>
  <r>
    <n v="50411"/>
    <s v="BARRIO SAN ISIDRO BOGOTA 1"/>
    <n v="52446199"/>
    <s v="3145140206"/>
    <s v="3145140206"/>
    <s v="3184533724"/>
    <s v="MZ A CA 3 PORTAL DE VERACRUZ,PORTAL DE VERACRUZ"/>
    <s v="1.3711200"/>
    <s v="-77.1597603"/>
    <s v="NARIÑO"/>
    <s v="BUESACO"/>
    <s v="BUESACO"/>
    <n v="52110"/>
    <s v="2025-11-14"/>
    <n v="8"/>
    <s v="PASTO"/>
    <x v="5"/>
    <n v="28277.100000000002"/>
  </r>
  <r>
    <n v="50846"/>
    <s v="BARRIO BOSA RECREO BOGOTA 4"/>
    <n v="51647614"/>
    <s v="3122976260"/>
    <s v="3122976260"/>
    <s v="3122976260"/>
    <s v="CR 3 NO. 1 - 144 BARRIO SAN ANTONIO,SAN ANTONIO"/>
    <s v="1.3882375"/>
    <s v="-77.1562797"/>
    <s v="NARIÑO"/>
    <s v="BUESACO"/>
    <s v="BUESACO"/>
    <n v="52110"/>
    <s v="2025-11-14"/>
    <n v="8"/>
    <s v="PASTO"/>
    <x v="5"/>
    <n v="28277.100000000002"/>
  </r>
  <r>
    <n v="50060"/>
    <s v="BARRIO BOSA CHICO BOGOTA"/>
    <n v="1033736872"/>
    <s v="7732304"/>
    <s v="3173601482"/>
    <s v="3173601482"/>
    <s v=" CR 4 PAR BOLIVAR DE POTOSI"/>
    <s v="0.8076661"/>
    <s v="-77.5723504"/>
    <s v="NARIÑO"/>
    <s v="POTOSÍ"/>
    <s v="POTOSÍ"/>
    <n v="52560"/>
    <s v="2025-11-12"/>
    <n v="8"/>
    <s v="PASTO"/>
    <x v="5"/>
    <n v="28277.100000000002"/>
  </r>
  <r>
    <n v="52737"/>
    <s v="BARRIO ISMAEL PERDOMO BOGOTA"/>
    <n v="80164040"/>
    <s v="5662656"/>
    <s v="3104260606"/>
    <s v="3104260606"/>
    <s v=" EL COMERCIO RICAURTE"/>
    <s v="1.2108187"/>
    <s v="-77.9944521"/>
    <s v="NARIÑO"/>
    <s v="RICAURTE"/>
    <s v="RICAURTE"/>
    <n v="52612"/>
    <s v="2025-11-28"/>
    <n v="8"/>
    <s v="PASTO"/>
    <x v="5"/>
    <n v="28277.100000000002"/>
  </r>
  <r>
    <n v="53867"/>
    <s v="BARRIO SAN PASCUAL CALI 1"/>
    <n v="31958119"/>
    <s v="3185357"/>
    <s v="3117927234"/>
    <s v="3117927234"/>
    <s v=" CR 3  4 35  EL COMERCIO"/>
    <s v="1.2108681"/>
    <s v="-77.9947082"/>
    <s v="NARIÑO"/>
    <s v="RICAURTE"/>
    <s v="RICAURTE"/>
    <n v="52612"/>
    <s v="2025-11-28"/>
    <n v="8"/>
    <s v="PASTO"/>
    <x v="5"/>
    <n v="28277.100000000002"/>
  </r>
  <r>
    <n v="53070"/>
    <s v="BARRIO CIUDAD JARDIN BOGOTA 2"/>
    <n v="24230645"/>
    <s v="3235166182"/>
    <s v="3225236292"/>
    <s v="3225236292"/>
    <s v="CGT EL PALMAR DE IMBI LA BENDICION,EL PALMAR DE IMBILI LA BENDICION"/>
    <s v="1.2168525"/>
    <s v="-78.0407858"/>
    <s v="NARIÑO"/>
    <s v="RICAURTE"/>
    <s v="RICAURTE"/>
    <n v="52612"/>
    <s v="2025-11-28"/>
    <n v="8"/>
    <s v="PASTO"/>
    <x v="5"/>
    <n v="28277.100000000002"/>
  </r>
  <r>
    <n v="54560"/>
    <s v="BARRIO VILLA DE CASALOMA SOACHA SUESCA"/>
    <n v="901407185"/>
    <m/>
    <s v="3202336728"/>
    <s v="3202336728"/>
    <s v=" CR 5  7 02"/>
    <s v="4.177134166"/>
    <s v="-74.5327736"/>
    <s v="TOLIMA"/>
    <s v="ICONONZO"/>
    <s v="ICONONZO"/>
    <n v="73352"/>
    <s v="2025-11-27"/>
    <e v="#N/A"/>
    <s v="IBAGUE"/>
    <x v="3"/>
    <n v="28277.100000000002"/>
  </r>
  <r>
    <n v="55789"/>
    <s v="BARRIO BILBAO BOGOTA 1"/>
    <n v="37796762"/>
    <s v="3154184558"/>
    <s v="3154184558"/>
    <s v="3154184558"/>
    <s v="CR 4 6 25,CENTRO"/>
    <s v="4.1769817"/>
    <s v="-74.5331094"/>
    <s v="TOLIMA"/>
    <s v="ICONONZO"/>
    <s v="ICONONZO"/>
    <n v="73352"/>
    <s v="2025-11-27"/>
    <n v="8"/>
    <s v="IBAGUE"/>
    <x v="3"/>
    <n v="28277.100000000002"/>
  </r>
  <r>
    <n v="55686"/>
    <s v="BARRIO JORDAN 1 BOGOTA"/>
    <n v="1019023514"/>
    <s v="3108676080"/>
    <s v="3108676080"/>
    <s v="3108676080"/>
    <s v="CR 6 5 29,CENTRO"/>
    <s v="4.1782950"/>
    <s v="-74.5336746"/>
    <s v="TOLIMA"/>
    <s v="ICONONZO"/>
    <s v="ICONONZO"/>
    <n v="73352"/>
    <s v="2025-11-27"/>
    <n v="8"/>
    <s v="IBAGUE"/>
    <x v="3"/>
    <n v="28277.100000000002"/>
  </r>
  <r>
    <n v="58582"/>
    <s v="BARRIO CHICO NORTE BOGOTA 3"/>
    <n v="80100968"/>
    <s v="3118684243"/>
    <s v="3118684243"/>
    <s v="3118684243"/>
    <s v="CL 7 5 38,CENTRO"/>
    <s v="4.1774610"/>
    <s v="-74.5325517"/>
    <s v="TOLIMA"/>
    <s v="ICONONZO"/>
    <s v="ICONONZO"/>
    <n v="73352"/>
    <s v="2025-11-27"/>
    <n v="8"/>
    <s v="IBAGUE"/>
    <x v="3"/>
    <n v="28277.100000000002"/>
  </r>
  <r>
    <n v="53675"/>
    <s v="BARRIO LAGOS DE CASTILLA BOGOTA"/>
    <n v="1019054697"/>
    <s v="0"/>
    <s v="3103358779"/>
    <s v="3103358779"/>
    <s v="CL 7 # 1-97,DIVINO NIÑO"/>
    <s v="5.1963317"/>
    <s v="-74.8987833"/>
    <s v="TOLIMA"/>
    <s v="SAN SEBASTIÁN DE MARIQUITA"/>
    <s v="SAN SEBASTIÁN DE MARIQUITA"/>
    <n v="73443"/>
    <s v="2025-11-21"/>
    <n v="8"/>
    <s v="IBAGUE"/>
    <x v="3"/>
    <n v="28277.100000000002"/>
  </r>
  <r>
    <n v="57626"/>
    <s v="BARRIO CASTILLA BOGOTA 15"/>
    <n v="901456623"/>
    <s v="3138724579"/>
    <s v="3138724579"/>
    <s v="3138724579"/>
    <s v="CL13 NO.   5 - 34  LA CONCORDIA"/>
    <s v="5.192433"/>
    <s v="-74.892521 "/>
    <s v="TOLIMA"/>
    <s v="SAN SEBASTIÁN DE MARIQUITA"/>
    <s v="SAN SEBASTIÁN DE MARIQUITA"/>
    <n v="73443"/>
    <s v="2025-11-21"/>
    <n v="16"/>
    <s v="IBAGUE"/>
    <x v="3"/>
    <n v="28277.100000000002"/>
  </r>
  <r>
    <n v="57628"/>
    <s v="BARRIO PUERTO RICO BOGOTA"/>
    <n v="1032390597"/>
    <s v="3102784779"/>
    <s v="3102784779"/>
    <s v="3102784779"/>
    <s v="CR 9 10 74 / 78,EL CARMEN"/>
    <s v="5.195806"/>
    <s v="-74.889372"/>
    <s v="TOLIMA"/>
    <s v="SAN SEBASTIÁN DE MARIQUITA"/>
    <s v="SAN SEBASTIÁN DE MARIQUITA"/>
    <n v="73443"/>
    <s v="2025-11-21"/>
    <n v="16"/>
    <s v="IBAGUE"/>
    <x v="3"/>
    <n v="28277.100000000002"/>
  </r>
  <r>
    <n v="57734"/>
    <s v="BARRIO BOSA BOGOTA 14"/>
    <n v="79618120"/>
    <s v="3208274820"/>
    <s v="3208274820"/>
    <s v="3197845440"/>
    <s v="CL 7 5 39,CENTRO"/>
    <s v="5.1978318"/>
    <s v="-74.8942631"/>
    <s v="TOLIMA"/>
    <s v="SAN SEBASTIÁN DE MARIQUITA"/>
    <s v="SAN SEBASTIÁN DE MARIQUITA"/>
    <n v="73443"/>
    <s v="2025-11-21"/>
    <n v="8"/>
    <s v="IBAGUE"/>
    <x v="3"/>
    <n v="28277.100000000002"/>
  </r>
  <r>
    <n v="59396"/>
    <s v="BARRIO BOSA EL CORZO BOGOTA"/>
    <n v="1013603673"/>
    <s v="2160491"/>
    <s v="3108949963"/>
    <s v="3108949963"/>
    <s v=" CL 6  13-25"/>
    <s v="4.3301940"/>
    <s v="-75.8271110"/>
    <s v="VALLE DEL CAUCA"/>
    <s v="CAICEDONIA"/>
    <s v="CAICEDONIA"/>
    <n v="76122"/>
    <s v="2025-11-05"/>
    <n v="8"/>
    <s v="PEREIRA"/>
    <x v="6"/>
    <n v="15709.5"/>
  </r>
  <r>
    <n v="59293"/>
    <s v="BARRIO GARCES NAVAS BOGOTA 1"/>
    <n v="1014281611"/>
    <s v="2160371"/>
    <s v="3105289189"/>
    <s v="3105289189"/>
    <s v=" CR 15  10-09 CENTRO CAICEDONIA VALLE"/>
    <s v="4.3330885"/>
    <s v="-75.8289807"/>
    <s v="VALLE DEL CAUCA"/>
    <s v="CAICEDONIA"/>
    <s v="CAICEDONIA"/>
    <n v="76122"/>
    <s v="2025-11-05"/>
    <n v="16"/>
    <s v="PEREIRA"/>
    <x v="6"/>
    <n v="15709.5"/>
  </r>
  <r>
    <n v="77688"/>
    <s v="BARRIO LUIS CARLOS GALAN PASTO"/>
    <n v="1085339353"/>
    <s v="2160169"/>
    <s v="3113726757"/>
    <s v="3113726757"/>
    <s v=" CR 16 13 05 CENTRO"/>
    <s v="4.3352886"/>
    <s v="-75.8301581"/>
    <s v="VALLE DEL CAUCA"/>
    <s v="CAICEDONIA"/>
    <s v="CAICEDONIA"/>
    <n v="76122"/>
    <s v="2025-11-05"/>
    <n v="8"/>
    <s v="PEREIRA"/>
    <x v="6"/>
    <n v="15709.5"/>
  </r>
  <r>
    <n v="76903"/>
    <s v="BARRIO TERRAZAS DE CHAPAL PASTO"/>
    <n v="1089848067"/>
    <s v="2161105"/>
    <s v="3026940770"/>
    <s v="3026940770"/>
    <s v="CR 15  4 - 07 ESQUINA B/ LA INMACULADA"/>
    <s v="4.328585"/>
    <s v="-75.828055"/>
    <s v="VALLE DEL CAUCA"/>
    <s v="CAICEDONIA"/>
    <s v="CAICEDONIA"/>
    <n v="76122"/>
    <s v="2025-11-05"/>
    <n v="8"/>
    <s v="PEREIRA"/>
    <x v="6"/>
    <n v="15709.5"/>
  </r>
  <r>
    <n v="74770"/>
    <s v="BARRIO AQUINE 1 PASTO"/>
    <n v="901356173"/>
    <s v="3146808294"/>
    <s v="0"/>
    <s v="3146808294"/>
    <s v="CL 6 10 16,CENTRO"/>
    <s v="4.330736"/>
    <s v="-75.824761"/>
    <s v="VALLE DEL CAUCA"/>
    <s v="CAICEDONIA"/>
    <s v="CAICEDONIA"/>
    <n v="76122"/>
    <s v="2025-11-06"/>
    <n v="8"/>
    <s v="PEREIRA"/>
    <x v="6"/>
    <n v="15709.5"/>
  </r>
  <r>
    <n v="74771"/>
    <s v="BARRIO CENTRO PASTO 30"/>
    <n v="901356173"/>
    <s v="0"/>
    <s v="3218873915"/>
    <s v="3218873915"/>
    <s v="CALLE 10 NO. 15 - 52,CENTRO"/>
    <s v="4.3331575"/>
    <s v="-75.8293915"/>
    <s v="VALLE DEL CAUCA"/>
    <s v="CAICEDONIA"/>
    <s v="CAICEDONIA"/>
    <n v="76122"/>
    <s v="2025-11-06"/>
    <n v="8"/>
    <s v="PEREIRA"/>
    <x v="6"/>
    <n v="15709.5"/>
  </r>
  <r>
    <n v="68830"/>
    <s v="SAN JUAN BOSCO 1 "/>
    <n v="1085263077"/>
    <s v="3122342051"/>
    <s v="3006570673"/>
    <s v="3122342051"/>
    <s v="CL 15 15 - 42,CENTRO"/>
    <s v="4.3368908"/>
    <s v="-75.8299669"/>
    <s v="VALLE DEL CAUCA"/>
    <s v="CAICEDONIA"/>
    <s v="CAICEDONIA"/>
    <n v="76122"/>
    <s v="2025-11-21"/>
    <n v="8"/>
    <s v="PEREIRA"/>
    <x v="6"/>
    <n v="15709.5"/>
  </r>
  <r>
    <n v="69325"/>
    <s v="BARRIO EL PILAR PASTO 3"/>
    <n v="12972361"/>
    <s v="3147509308"/>
    <s v="3147509308"/>
    <s v="3147509308"/>
    <s v="CL 2 13 14 LC 107 TORRES DEL SURCO,TORRES DEL SURCO"/>
    <s v="4.3272519"/>
    <s v="-75.8264397"/>
    <s v="VALLE DEL CAUCA"/>
    <s v="CAICEDONIA"/>
    <s v="CAICEDONIA"/>
    <n v="76122"/>
    <s v="2025-11-06"/>
    <n v="8"/>
    <s v="PEREIRA"/>
    <x v="6"/>
    <n v="15709.5"/>
  </r>
  <r>
    <n v="67437"/>
    <s v="BARRIO MORASURCO PASTO 1"/>
    <n v="5206909"/>
    <s v="3108250051"/>
    <s v="3108250051"/>
    <m/>
    <s v="CL 9 27 03 ESQUINA,LA ESPERANZA"/>
    <s v="3.3282877"/>
    <s v="-76.2425016"/>
    <s v="VALLE DEL CAUCA"/>
    <s v="FLORIDA"/>
    <s v="FLORIDA"/>
    <n v="76275"/>
    <s v="2025-11-05"/>
    <n v="8"/>
    <s v="CALI"/>
    <x v="5"/>
    <n v="15709.5"/>
  </r>
  <r>
    <n v="60484"/>
    <s v="BARRIO SANTA MONICA PASTO 2"/>
    <n v="901447446"/>
    <s v="5832270"/>
    <s v="3103168624"/>
    <s v="3103168624"/>
    <s v="AV 5 8 85 CC RIVER PLAZA OF 204,EL CENTRO"/>
    <s v="7.8918919"/>
    <s v="-72.5065362"/>
    <s v="NORTE DE SANTANDER"/>
    <s v="CÚCUTA"/>
    <s v="CÚCUTA"/>
    <n v="54001"/>
    <s v="2025-11-20"/>
    <n v="16"/>
    <s v="CUCUTA"/>
    <x v="2"/>
    <n v="28277.100000000002"/>
  </r>
  <r>
    <n v="60485"/>
    <s v="BARRIO LA AURORA PASTO 2"/>
    <n v="901447446"/>
    <s v="3045475673"/>
    <s v="3105866803"/>
    <s v="3045351757"/>
    <s v=" CL 15 A 12 74 LC 3 LA LIBERTAD"/>
    <s v="7.8883116"/>
    <s v="-72.4755392"/>
    <s v="NORTE DE SANTANDER"/>
    <s v="CÚCUTA"/>
    <s v="CÚCUTA"/>
    <n v="54001"/>
    <s v="2025-11-27"/>
    <n v="16"/>
    <s v="CUCUTA"/>
    <x v="2"/>
    <n v="28277.100000000002"/>
  </r>
  <r>
    <n v="62838"/>
    <s v="BARRIO AGUALONGO PASTO"/>
    <n v="27141737"/>
    <m/>
    <s v="3123139079"/>
    <s v="3123139079"/>
    <s v="AV 9 E NRO. 2-66,QUINTA ORIENTAL"/>
    <s v="7.9163936"/>
    <s v="-72.5061784"/>
    <s v="NORTE DE SANTANDER"/>
    <s v="CÚCUTA"/>
    <s v="CÚCUTA"/>
    <n v="54001"/>
    <s v="2025-11-27"/>
    <n v="8"/>
    <s v="CUCUTA"/>
    <x v="2"/>
    <n v="28277.100000000002"/>
  </r>
  <r>
    <n v="46135"/>
    <s v="BARRIO PARQUE INFANTIL PASTO 1"/>
    <n v="1085251982"/>
    <m/>
    <s v="3123567967"/>
    <s v="3123567967"/>
    <s v="AV 2 12-02 LC 02,AEROPUERTO"/>
    <s v="7.895813"/>
    <s v="-72.5205229"/>
    <s v="NORTE DE SANTANDER"/>
    <s v="CÚCUTA"/>
    <s v="CÚCUTA"/>
    <n v="54001"/>
    <s v="2025-11-28"/>
    <n v="16"/>
    <s v="CUCUTA"/>
    <x v="2"/>
    <n v="28277.100000000002"/>
  </r>
  <r>
    <n v="29031"/>
    <s v="BARRIO CENTRO 59 PASTO"/>
    <n v="900779107"/>
    <s v="5781870"/>
    <s v="3108629626"/>
    <s v="3108629626"/>
    <s v=" AV 7 19  50 NUCLEO 2 BG 8 PAR INDUSTRIAL"/>
    <s v="7.9193391"/>
    <s v="-72.5031752"/>
    <s v="NORTE DE SANTANDER"/>
    <s v="CÚCUTA"/>
    <s v="CÚCUTA"/>
    <n v="54001"/>
    <s v="2025-11-24"/>
    <n v="8"/>
    <s v="CUCUTA"/>
    <x v="2"/>
    <n v="28277.100000000002"/>
  </r>
  <r>
    <n v="28302"/>
    <s v="BARRIO LAS VIOLETAS PASTO   "/>
    <n v="1085278071"/>
    <m/>
    <s v="3116459730"/>
    <s v="3116459730"/>
    <s v="AV 4  20 17 BRR  TASAJERO LOS PATIOS"/>
    <s v="7.828296060894342"/>
    <s v=" -72.50642432522538"/>
    <s v="NORTE DE SANTANDER"/>
    <s v="CÚCUTA"/>
    <s v="CÚCUTA"/>
    <n v="54001"/>
    <s v="2025-11-25"/>
    <n v="8"/>
    <s v="CUCUTA"/>
    <x v="2"/>
    <n v="28277.100000000002"/>
  </r>
  <r>
    <n v="29176"/>
    <s v="BARRIO CENTENARIO 3 PASTO"/>
    <n v="94489262"/>
    <s v="5891448"/>
    <s v="3112333700"/>
    <s v="3112333700"/>
    <s v=" CL 11 4 39 CC LECS LC 137"/>
    <s v="7.8858505"/>
    <s v="-72.5031230"/>
    <s v="NORTE DE SANTANDER"/>
    <s v="CÚCUTA"/>
    <s v="CÚCUTA"/>
    <n v="54001"/>
    <s v="2025-11-25"/>
    <n v="8"/>
    <s v="CUCUTA"/>
    <x v="2"/>
    <n v="28277.100000000002"/>
  </r>
  <r>
    <n v="11012"/>
    <s v="BARRIO GRANADA"/>
    <n v="30743986"/>
    <s v="6602348"/>
    <s v="3106284993"/>
    <s v="3106284993"/>
    <s v="CRA  5    5 - 53"/>
    <s v="6.84257971"/>
    <s v="-72.69428188"/>
    <s v="SANTANDER"/>
    <s v="CERRITO"/>
    <s v="CERRITO"/>
    <n v="68162"/>
    <s v="2025-11-18"/>
    <n v="8"/>
    <s v="BUCARAMANGA"/>
    <x v="2"/>
    <n v="15709.5"/>
  </r>
  <r>
    <n v="14065"/>
    <s v="BARRIO AVENIDA BOYACA PASTO"/>
    <n v="94486745"/>
    <s v="4326604"/>
    <s v="3144518899"/>
    <s v="3144518899"/>
    <s v="CR 6  LC 2 BRR SANTANDER ED MARIA HELENA"/>
    <s v="6.8429007"/>
    <s v="-72.6940727"/>
    <s v="SANTANDER"/>
    <s v="CERRITO"/>
    <s v="CERRITO"/>
    <n v="68162"/>
    <s v="2025-11-18"/>
    <n v="16"/>
    <s v="BUCARAMANGA"/>
    <x v="2"/>
    <n v="15709.5"/>
  </r>
  <r>
    <n v="74776"/>
    <s v="BARRIO PANAN IPIALES"/>
    <n v="901356173"/>
    <s v="3103340952"/>
    <s v="3103296975"/>
    <s v="3209127380"/>
    <s v="SALIDA MALAGA-CERRITO,ARENALES"/>
    <s v="6.832768"/>
    <s v="-72.697218"/>
    <s v="SANTANDER"/>
    <s v="CERRITO"/>
    <s v="CERRITO"/>
    <n v="68162"/>
    <s v="2025-11-18"/>
    <e v="#N/A"/>
    <s v="BUCARAMANGA"/>
    <x v="2"/>
    <n v="15709.5"/>
  </r>
  <r>
    <n v="45669"/>
    <s v="BARRIO CENTRO IPIALES 7"/>
    <n v="901295781"/>
    <s v="3223770219"/>
    <s v="3223770219"/>
    <s v="3223770219"/>
    <s v="DG 8 NO.6-04,LA ESMERALDA"/>
    <s v="6.8437008"/>
    <s v="-72.6934452"/>
    <s v="SANTANDER"/>
    <s v="CERRITO"/>
    <s v="CERRITO"/>
    <n v="68162"/>
    <s v="2025-11-18"/>
    <e v="#N/A"/>
    <s v="BUCARAMANGA"/>
    <x v="2"/>
    <n v="15709.5"/>
  </r>
  <r>
    <n v="45668"/>
    <s v="BARRIO CENTRO IPIALES 6"/>
    <n v="901295781"/>
    <s v="3219770350"/>
    <s v="3219770350"/>
    <s v="3106746240"/>
    <s v="CR 5 NO.8-19,BELEN"/>
    <s v="6.8441149"/>
    <s v="-72.6939748"/>
    <s v="SANTANDER"/>
    <s v="CERRITO"/>
    <s v="CERRITO"/>
    <n v="68162"/>
    <s v="2025-11-18"/>
    <e v="#N/A"/>
    <s v="BUCARAMANGA"/>
    <x v="2"/>
    <n v="15709.5"/>
  </r>
  <r>
    <n v="13140"/>
    <s v="EXXON BARRIO ALTOS DE ROSALES FLORIDABLANCA"/>
    <n v="890201571"/>
    <s v="3144077388"/>
    <s v="3124349443"/>
    <s v="3124349443"/>
    <s v="CR 5 5 87,CENTRO"/>
    <s v="4.1470003"/>
    <s v="-74.7230520"/>
    <s v="TOLIMA"/>
    <s v="CARMEN DE APICALÁ"/>
    <s v="CARMEN DE APICALÁ"/>
    <n v="73148"/>
    <s v="2025-11-12"/>
    <e v="#N/A"/>
    <s v="BOGOTA"/>
    <x v="4"/>
    <n v="15709.5"/>
  </r>
  <r>
    <n v="17084"/>
    <s v="BARRIO HACIENDA SAN JUAN FLORIDABLANCA"/>
    <n v="63325940"/>
    <s v="3115965210"/>
    <s v="3142855227"/>
    <s v="3208923893"/>
    <s v="CL 1 12 35,CENTRO"/>
    <s v="4.1511685"/>
    <s v="-74.7154113"/>
    <s v="TOLIMA"/>
    <s v="CARMEN DE APICALÁ"/>
    <s v="CARMEN DE APICALÁ"/>
    <n v="73148"/>
    <s v="2025-11-12"/>
    <e v="#N/A"/>
    <s v="BOGOTA"/>
    <x v="4"/>
    <n v="15709.5"/>
  </r>
  <r>
    <n v="14461"/>
    <s v="BARRIO LAGOS IV FLORIDABLANCA"/>
    <n v="91264647"/>
    <s v="2564213"/>
    <s v="3015505467"/>
    <s v="3015505467"/>
    <s v=" CR 11  4-75"/>
    <s v="4.9232688"/>
    <s v="-75.0651976"/>
    <s v="TOLIMA"/>
    <s v="LÍBANO"/>
    <s v="LÍBANO"/>
    <n v="73411"/>
    <s v="2025-11-10"/>
    <e v="#N/A"/>
    <s v="IBAGUE"/>
    <x v="3"/>
    <n v="28277.100000000002"/>
  </r>
  <r>
    <n v="78525"/>
    <s v="BARRIO CONJUNTO ALATAMIRA  3 FLORIDABLANCA"/>
    <n v="1095820348"/>
    <s v="2561491"/>
    <s v="3132882299"/>
    <s v="3132882299"/>
    <s v=" CL 2 4 37"/>
    <s v="4.919998"/>
    <s v="-75.059701"/>
    <s v="TOLIMA"/>
    <s v="LÍBANO"/>
    <s v="LÍBANO"/>
    <n v="73411"/>
    <s v="2025-11-10"/>
    <e v="#N/A"/>
    <s v="IBAGUE"/>
    <x v="3"/>
    <n v="28277.100000000002"/>
  </r>
  <r>
    <n v="74166"/>
    <s v="BARRIO URBANIZACION VILLA CAMPESTRE FLORIDABLANCA"/>
    <n v="1095828132"/>
    <s v="2562745"/>
    <s v="3125853562"/>
    <s v="3125853562"/>
    <s v=" CL 4 8/12 CENTRO"/>
    <s v="4.9222915"/>
    <s v="-75.0623878"/>
    <s v="TOLIMA"/>
    <s v="LÍBANO"/>
    <s v="LÍBANO"/>
    <n v="73411"/>
    <s v="2025-11-10"/>
    <e v="#N/A"/>
    <s v="IBAGUE"/>
    <x v="3"/>
    <n v="28277.100000000002"/>
  </r>
  <r>
    <n v="74054"/>
    <s v="BARRIO CAÑAVERAL FLORIDABLANCA 6"/>
    <n v="93400268"/>
    <s v="0"/>
    <s v="3204231935"/>
    <s v="3204231935"/>
    <s v="MZ 13 CASA 16,BRR PROTECHO"/>
    <s v="4.9224602"/>
    <s v="-75.0642244"/>
    <s v="TOLIMA"/>
    <s v="LÍBANO"/>
    <s v="LÍBANO"/>
    <n v="73411"/>
    <s v="2025-11-10"/>
    <e v="#N/A"/>
    <s v="IBAGUE"/>
    <x v="3"/>
    <n v="28277.100000000002"/>
  </r>
  <r>
    <n v="67350"/>
    <s v="BARRIO LA CUMBRE FLORIDABLANCA 7"/>
    <n v="1093779674"/>
    <s v="0"/>
    <s v="3223755718"/>
    <s v="3223755718"/>
    <s v="CR 11 # 2-17,LAS BRISAS"/>
    <s v="4.920687"/>
    <s v="-75.065458"/>
    <s v="TOLIMA"/>
    <s v="LÍBANO"/>
    <s v="LÍBANO"/>
    <n v="73411"/>
    <s v="2025-11-11"/>
    <e v="#N/A"/>
    <s v="IBAGUE"/>
    <x v="3"/>
    <n v="28277.100000000002"/>
  </r>
  <r>
    <n v="45683"/>
    <s v="BARRIO OASIS FLORIDABLANCA 1"/>
    <n v="63451250"/>
    <s v="2560155"/>
    <s v="3112622833"/>
    <s v="3112622833"/>
    <s v=" CR 5  2A 65"/>
    <s v="4.921322"/>
    <s v="-75.060144"/>
    <s v="TOLIMA"/>
    <s v="LÍBANO"/>
    <s v="LÍBANO"/>
    <n v="73411"/>
    <s v="2025-11-10"/>
    <e v="#N/A"/>
    <s v="IBAGUE"/>
    <x v="3"/>
    <n v="28277.100000000002"/>
  </r>
  <r>
    <n v="36258"/>
    <s v="BARRIO ALARES FLORIDABLANCA 1"/>
    <n v="1093779674"/>
    <s v="3204361404"/>
    <s v="3204361404"/>
    <s v="3204361404"/>
    <s v="CR 22 6 60,CENTRO"/>
    <s v="4.2057650"/>
    <s v="-74.6409983"/>
    <s v="TOLIMA"/>
    <s v="MELGAR"/>
    <s v="MELGAR"/>
    <n v="73449"/>
    <s v="2025-11-26"/>
    <e v="#N/A"/>
    <s v="BOGOTA"/>
    <x v="4"/>
    <n v="15709.5"/>
  </r>
  <r>
    <n v="39812"/>
    <s v="BARRIO CERROS DEL CAMPESTRE FLORIDABLANCA 1"/>
    <n v="79119751"/>
    <s v="3209482690"/>
    <s v="0"/>
    <s v="3209482690"/>
    <s v="CL 1 CARRERA 28 A 09,CENTRO"/>
    <s v="4.204151"/>
    <s v="-74.647925"/>
    <s v="TOLIMA"/>
    <s v="MELGAR"/>
    <s v="MELGAR"/>
    <n v="73449"/>
    <s v="2025-11-26"/>
    <e v="#N/A"/>
    <s v="BOGOTA"/>
    <x v="4"/>
    <n v="15709.5"/>
  </r>
  <r>
    <n v="60871"/>
    <s v="BARRIO BOSA NOVA BOGOTA 2"/>
    <n v="52759529"/>
    <s v="3203656977"/>
    <s v="3203656977"/>
    <s v="3203656977"/>
    <s v="AV KM3 VÍA MELGAR - BOGOTÁ LOCAL 9,VEREDA SAN JOSE DE LA COLORADA"/>
    <s v="4.2281996"/>
    <s v="-74.6207214"/>
    <s v="TOLIMA"/>
    <s v="MELGAR"/>
    <s v="MELGAR"/>
    <n v="73449"/>
    <s v="2025-11-26"/>
    <n v="8"/>
    <s v="BOGOTA"/>
    <x v="4"/>
    <n v="15709.5"/>
  </r>
  <r>
    <n v="60881"/>
    <s v="BARRIO AURES BOGOTA 2"/>
    <n v="1092385991"/>
    <s v="3164187967"/>
    <s v="0"/>
    <s v="3164187967"/>
    <s v="CL 7 51 105 LC 2,CENTRO"/>
    <s v="4.1962339"/>
    <s v="-74.6544059"/>
    <s v="TOLIMA"/>
    <s v="MELGAR"/>
    <s v="MELGAR"/>
    <n v="73449"/>
    <s v="2025-11-26"/>
    <n v="8"/>
    <s v="BOGOTA"/>
    <x v="4"/>
    <n v="15709.5"/>
  </r>
  <r>
    <n v="60126"/>
    <s v="BARRIO PANAMERICANO CALI"/>
    <n v="38943721"/>
    <s v="3214801091"/>
    <s v="3214801091"/>
    <s v="3214801091"/>
    <s v="CL 12 12 A 116,ICACAL"/>
    <s v="4.2050535"/>
    <s v="-74.6305718"/>
    <s v="TOLIMA"/>
    <s v="MELGAR"/>
    <s v="MELGAR"/>
    <n v="73449"/>
    <s v="2025-11-26"/>
    <n v="8"/>
    <s v="BOGOTA"/>
    <x v="4"/>
    <n v="15709.5"/>
  </r>
  <r>
    <n v="60148"/>
    <s v="BARRIO PERDOMO BOGOTA 11"/>
    <n v="80894393"/>
    <s v="6050962"/>
    <s v="3208120512"/>
    <s v="3208120512"/>
    <s v=" CR 2 2 69 DOIMA"/>
    <s v="4.538376"/>
    <s v="-74.880725 "/>
    <s v="TOLIMA"/>
    <s v="PIEDRAS"/>
    <s v="PIEDRAS"/>
    <n v="73547"/>
    <s v="2025-11-14"/>
    <n v="16"/>
    <s v="IBAGUE"/>
    <x v="3"/>
    <n v="28277.100000000002"/>
  </r>
  <r>
    <n v="60507"/>
    <s v="BARRIO BRITALIA NORTE BOGOTA 2"/>
    <n v="1026259444"/>
    <s v="3127247900"/>
    <s v="3217247900"/>
    <s v="3217247900"/>
    <s v="CR 5  12 - 35 ESQUINA CGT COSTA RICA"/>
    <s v="3.75292"/>
    <s v="-76.23257"/>
    <s v="VALLE DEL CAUCA"/>
    <s v="GINEBRA"/>
    <s v="GINEBRA"/>
    <n v="76306"/>
    <s v="2025-11-20"/>
    <n v="8"/>
    <s v="CALI"/>
    <x v="5"/>
    <n v="15709.5"/>
  </r>
  <r>
    <n v="60681"/>
    <s v="BARRIO VILLA MAYOR BOGOTA 2"/>
    <n v="900242173"/>
    <s v="3104623009"/>
    <s v="3104623009"/>
    <s v="3148277681"/>
    <s v="CL 7 NRO. 2 - 29,CENTRO"/>
    <s v="3.7249602934045174"/>
    <s v="-76.26735556913701"/>
    <s v="VALLE DEL CAUCA"/>
    <s v="GINEBRA"/>
    <s v="GINEBRA"/>
    <n v="76306"/>
    <s v="2025-11-20"/>
    <n v="8"/>
    <s v="CALI"/>
    <x v="5"/>
    <n v="15709.5"/>
  </r>
  <r>
    <n v="58951"/>
    <s v="BARRIO CENTRO CALI 34"/>
    <n v="1143871872"/>
    <s v="3003142098"/>
    <s v="3003142098"/>
    <s v="3003142098"/>
    <s v="CL 20E 73 48 BELLO,PARÍS BELLO"/>
    <s v="6.3116137"/>
    <s v="-75.5798734"/>
    <s v="ANTIOQUIA"/>
    <s v="BELLO"/>
    <s v="BELLO"/>
    <n v="5088"/>
    <s v="2025-11-11"/>
    <n v="8"/>
    <s v="MEDELLIN"/>
    <x v="0"/>
    <n v="15709.5"/>
  </r>
  <r>
    <n v="59062"/>
    <s v="BARRIO SAN LUIS I CALI 2"/>
    <n v="9867832"/>
    <s v="5847888"/>
    <s v="3102331115"/>
    <s v="3102331115"/>
    <s v="AV 7   # 5 - 05"/>
    <s v="7.9107157"/>
    <s v="-72.4755304"/>
    <s v="NORTE DE SANTANDER"/>
    <s v="CÚCUTA"/>
    <s v="CÚCUTA"/>
    <n v="54001"/>
    <s v="2025-11-27"/>
    <n v="8"/>
    <s v="CUCUTA"/>
    <x v="2"/>
    <n v="28277.100000000002"/>
  </r>
  <r>
    <n v="61293"/>
    <s v="BARRIO DANUBIO AZUL BOGOTA 4"/>
    <n v="1033739678"/>
    <s v="5946671"/>
    <s v="3123894541"/>
    <s v="3123894541"/>
    <s v="CL 21 BN 4 07,TASAJERO"/>
    <s v="7.92008372"/>
    <s v="-72.49255652"/>
    <s v="NORTE DE SANTANDER"/>
    <s v="CÚCUTA"/>
    <s v="CÚCUTA"/>
    <n v="54001"/>
    <s v="2025-11-27"/>
    <n v="8"/>
    <s v="CUCUTA"/>
    <x v="2"/>
    <n v="28277.100000000002"/>
  </r>
  <r>
    <n v="62211"/>
    <s v="BARRIO AURES BOGOTA 3"/>
    <n v="53115973"/>
    <s v="5493832"/>
    <s v="3026879065"/>
    <s v="3232931679"/>
    <s v=" CL 9 B NORTE 15 E 07 PROCERES"/>
    <s v="7.910404"/>
    <s v="-72.487098"/>
    <s v="NORTE DE SANTANDER"/>
    <s v="CÚCUTA"/>
    <s v="CÚCUTA"/>
    <n v="54001"/>
    <s v="2025-11-27"/>
    <n v="8"/>
    <s v="CUCUTA"/>
    <x v="2"/>
    <n v="28277.100000000002"/>
  </r>
  <r>
    <n v="62351"/>
    <s v="BARRIO BOSA PORVENIR BOGOTA 7"/>
    <n v="51725221"/>
    <s v="6050962"/>
    <s v="3144323583"/>
    <s v="3214558645"/>
    <s v=" AV 2 35 A 30 LT 14 LC 2"/>
    <s v="7.947274"/>
    <s v="-72.501731"/>
    <s v="NORTE DE SANTANDER"/>
    <s v="CÚCUTA"/>
    <s v="CÚCUTA"/>
    <n v="54001"/>
    <s v="2025-11-27"/>
    <n v="8"/>
    <s v="CUCUTA"/>
    <x v="2"/>
    <n v="28277.100000000002"/>
  </r>
  <r>
    <n v="62354"/>
    <s v="BARRIO SIMON BOLIVAR BOGOTA 5"/>
    <n v="52474592"/>
    <s v="5782273"/>
    <s v="3182446289"/>
    <s v="3024589754"/>
    <s v="AV 5      5 A N 37 local 1 Barrio colpet"/>
    <s v="7.9043448"/>
    <s v="-72.5028915"/>
    <s v="NORTE DE SANTANDER"/>
    <s v="CÚCUTA"/>
    <s v="CÚCUTA"/>
    <n v="54001"/>
    <s v="2025-11-26"/>
    <n v="16"/>
    <s v="CUCUTA"/>
    <x v="2"/>
    <n v="28277.100000000002"/>
  </r>
  <r>
    <n v="62364"/>
    <s v="BARRIO RINCON BOGOTA 5"/>
    <n v="1127341880"/>
    <s v="4239530"/>
    <s v="3123785446"/>
    <s v="3123785446"/>
    <s v=" CL 1 1  04"/>
    <s v="7.947240"/>
    <s v="-72.505340"/>
    <s v="NORTE DE SANTANDER"/>
    <s v="CÚCUTA"/>
    <s v="CÚCUTA"/>
    <n v="54001"/>
    <s v="2025-11-24"/>
    <n v="8"/>
    <s v="CUCUTA"/>
    <x v="2"/>
    <n v="28277.100000000002"/>
  </r>
  <r>
    <n v="63161"/>
    <s v="BARRIO SALOMIA CALI 5"/>
    <n v="66977059"/>
    <s v="5710905"/>
    <s v="3166735198"/>
    <s v="3166735198"/>
    <s v=" AV 6 9 72 CE MAEACAY LC 37"/>
    <s v="7.8869282"/>
    <s v="-72.5052398"/>
    <s v="NORTE DE SANTANDER"/>
    <s v="CÚCUTA"/>
    <s v="CÚCUTA"/>
    <n v="54001"/>
    <s v="2025-11-26"/>
    <n v="8"/>
    <s v="CUCUTA"/>
    <x v="2"/>
    <n v="28277.100000000002"/>
  </r>
  <r>
    <n v="63474"/>
    <s v="BARRIO BOSA ATALAYAS BOGOTA 3"/>
    <n v="26586322"/>
    <m/>
    <s v="3013739987"/>
    <s v="3013739987"/>
    <s v=" AV 5 8 89 CE RIVER PLAZA II OF 254"/>
    <s v="7.8882188"/>
    <s v="-72.5038491"/>
    <s v="NORTE DE SANTANDER"/>
    <s v="CÚCUTA"/>
    <s v="CÚCUTA"/>
    <n v="54001"/>
    <s v="2025-11-25"/>
    <n v="8"/>
    <s v="CUCUTA"/>
    <x v="2"/>
    <n v="28277.100000000002"/>
  </r>
  <r>
    <n v="63569"/>
    <s v="BARRIO ALIRIO MORA BELTRAN CALI 1"/>
    <n v="1143934897"/>
    <s v="5834901"/>
    <s v="3023557239"/>
    <s v="3023557239"/>
    <s v=" CL 9 A 52 CE RIVER PLAZA"/>
    <s v="7.8882246"/>
    <s v="-72.5038611"/>
    <s v="NORTE DE SANTANDER"/>
    <s v="CÚCUTA"/>
    <s v="CÚCUTA"/>
    <n v="54001"/>
    <s v="2025-11-25"/>
    <n v="8"/>
    <s v="CUCUTA"/>
    <x v="2"/>
    <n v="28277.100000000002"/>
  </r>
  <r>
    <n v="64801"/>
    <s v="BARRIO CRISTOBAL COLON CALI 3"/>
    <n v="14473678"/>
    <s v="5764082"/>
    <s v="3103381153"/>
    <s v="3103381153"/>
    <s v=" CL 13 18 34"/>
    <s v="7.8875580"/>
    <s v="-72.4702897"/>
    <s v="NORTE DE SANTANDER"/>
    <s v="CÚCUTA"/>
    <s v="CÚCUTA"/>
    <n v="54001"/>
    <s v="2025-11-27"/>
    <n v="8"/>
    <s v="CUCUTA"/>
    <x v="2"/>
    <n v="28277.100000000002"/>
  </r>
  <r>
    <n v="64806"/>
    <s v="BARRIO SAN CAYETANO CALI 2"/>
    <n v="1010091940"/>
    <s v="5747179"/>
    <s v="3183895375"/>
    <s v="3183895375"/>
    <s v="AV 11 E  10N- 95 LC 1 GUAIMARAL"/>
    <s v="7.910597"/>
    <s v="-72.492782"/>
    <s v="NORTE DE SANTANDER"/>
    <s v="CÚCUTA"/>
    <s v="CÚCUTA"/>
    <n v="54001"/>
    <s v="2025-11-21"/>
    <n v="8"/>
    <s v="CUCUTA"/>
    <x v="2"/>
    <n v="28277.100000000002"/>
  </r>
  <r>
    <n v="62963"/>
    <s v="BARRIO BOSA CENTRO BOGOTA 4"/>
    <n v="52448844"/>
    <s v="5874646"/>
    <s v="3143436223"/>
    <s v="3125255044"/>
    <s v=" AV 7 A 17  24 KDX 2 2 1"/>
    <s v="7.9168824"/>
    <s v="-72.5030388"/>
    <s v="NORTE DE SANTANDER"/>
    <s v="CÚCUTA"/>
    <s v="CÚCUTA"/>
    <n v="54001"/>
    <s v="2025-11-27"/>
    <n v="8"/>
    <s v="CUCUTA"/>
    <x v="2"/>
    <n v="28277.100000000002"/>
  </r>
  <r>
    <n v="68406"/>
    <s v="BARRIO ORQUIDEAS CALI"/>
    <n v="1143924441"/>
    <s v="0"/>
    <s v="3058212494"/>
    <s v="3058122494"/>
    <s v="CR 5 # 7 - 28,CENTRO"/>
    <s v="4.543823"/>
    <s v="-74.879816"/>
    <s v="TOLIMA"/>
    <s v="PIEDRAS"/>
    <s v="PIEDRAS"/>
    <n v="73547"/>
    <s v="2025-11-14"/>
    <n v="8"/>
    <s v="IBAGUE"/>
    <x v="3"/>
    <n v="28277.100000000002"/>
  </r>
  <r>
    <n v="68304"/>
    <s v="BARRIO SAN VICENTE CALI  8"/>
    <n v="66950308"/>
    <s v="0"/>
    <s v="3185470186"/>
    <s v="3185470186"/>
    <s v="VRD PARADERO CHIPALO,MUNICIPIO DE PIEDRAS"/>
    <s v="4.488728"/>
    <s v="-74.974800"/>
    <s v="TOLIMA"/>
    <s v="PIEDRAS"/>
    <s v="PIEDRAS"/>
    <n v="73547"/>
    <s v="2025-11-14"/>
    <n v="16"/>
    <s v="IBAGUE"/>
    <x v="3"/>
    <n v="28277.100000000002"/>
  </r>
  <r>
    <n v="66110"/>
    <s v="BARRIO BILBAO BOGOTA 5"/>
    <n v="1127576490"/>
    <s v="0"/>
    <s v="3007832548"/>
    <s v="3007832548"/>
    <s v="CR 3 ENTRE CALLE 9 Y 10 ENTREDA,PEDREGAL"/>
    <s v="4.5439380"/>
    <s v="-74.8775338"/>
    <s v="TOLIMA"/>
    <s v="PIEDRAS"/>
    <s v="PIEDRAS"/>
    <n v="73547"/>
    <s v="2025-11-14"/>
    <n v="8"/>
    <s v="IBAGUE"/>
    <x v="3"/>
    <n v="28277.100000000002"/>
  </r>
  <r>
    <n v="66111"/>
    <s v="BARRIO SUBA RINCON BOGOTA 14"/>
    <n v="1018479482"/>
    <s v="2237924"/>
    <s v="3173188264"/>
    <s v="3173188264"/>
    <s v=" CR 12 5 01"/>
    <s v="3.6825763"/>
    <s v="-76.3129815"/>
    <s v="VALLE DEL CAUCA"/>
    <s v="EL CERRITO"/>
    <s v="EL CERRITO"/>
    <n v="76248"/>
    <s v="2025-11-13"/>
    <n v="8"/>
    <s v="CALI"/>
    <x v="5"/>
    <n v="15709.5"/>
  </r>
  <r>
    <n v="66163"/>
    <s v="BARRIO LLERAS RESTREPO CALI"/>
    <n v="901458726"/>
    <s v="3163190176"/>
    <s v="3163190176"/>
    <s v="3163190176"/>
    <s v="CR 12 7 27,CENTRO"/>
    <s v="3.6846653"/>
    <s v="-76.3130816"/>
    <s v="VALLE DEL CAUCA"/>
    <s v="EL CERRITO"/>
    <s v="EL CERRITO"/>
    <n v="76248"/>
    <s v="2025-11-13"/>
    <n v="16"/>
    <s v="CALI"/>
    <x v="5"/>
    <n v="15709.5"/>
  </r>
  <r>
    <n v="67387"/>
    <s v="BARRIO BILBAO BOGOTA 6"/>
    <n v="1019055530"/>
    <s v="3229066042"/>
    <s v="3229066042"/>
    <m/>
    <s v="CL 4 C SUR 5 21 URB EL PORVENIR ,EL PORVENIR"/>
    <s v="3.6768690"/>
    <s v="-76.3073248"/>
    <s v="VALLE DEL CAUCA"/>
    <s v="EL CERRITO"/>
    <s v="EL CERRITO"/>
    <n v="76248"/>
    <s v="2025-11-20"/>
    <n v="8"/>
    <s v="CALI"/>
    <x v="5"/>
    <n v="15709.5"/>
  </r>
  <r>
    <n v="67688"/>
    <s v="BARRIO EL LISTON BOGOTA"/>
    <n v="901461662"/>
    <s v="3165383717"/>
    <s v="3165383717"/>
    <s v="3165383717"/>
    <s v="CR 16 N 4 A -14"/>
    <s v="4.7882909"/>
    <s v="-71.3426823"/>
    <s v="CASANARE"/>
    <s v="OROCUÉ"/>
    <s v="OROCUÉ"/>
    <n v="85230"/>
    <s v="2025-11-24"/>
    <n v="8"/>
    <s v="YOPAL"/>
    <x v="3"/>
    <n v="28277.100000000002"/>
  </r>
  <r>
    <n v="66607"/>
    <s v="BARRIO POLICARPA BOGOTA 4"/>
    <n v="1006596623"/>
    <s v="0"/>
    <s v="3214889082"/>
    <s v="3214889082"/>
    <s v="CR 11 3 49"/>
    <s v="4.7907529"/>
    <s v="-71.3378834"/>
    <s v="CASANARE"/>
    <s v="OROCUÉ"/>
    <s v="OROCUÉ"/>
    <n v="85230"/>
    <s v="2025-11-24"/>
    <n v="8"/>
    <s v="YOPAL"/>
    <x v="3"/>
    <n v="28277.100000000002"/>
  </r>
  <r>
    <n v="68570"/>
    <s v="BARRIO PORVENIR CALI"/>
    <n v="1143844042"/>
    <s v="0"/>
    <s v="3142386913"/>
    <s v="3142386913"/>
    <s v="CL 4 H 10 - 04"/>
    <s v="4.7907980"/>
    <s v="-71.3453481"/>
    <s v="CASANARE"/>
    <s v="OROCUÉ"/>
    <s v="OROCUÉ"/>
    <n v="85230"/>
    <s v="2025-11-24"/>
    <n v="16"/>
    <s v="YOPAL"/>
    <x v="3"/>
    <n v="28277.100000000002"/>
  </r>
  <r>
    <n v="68417"/>
    <s v="BOSA CARBONEL BOGOTA 1"/>
    <n v="1012431163"/>
    <s v="0"/>
    <s v="3204487227"/>
    <s v="3204487227"/>
    <s v="VRD ALGARROBO - CALLE PRINCIPAL FRENTE AL COLEGIO,CRR ALGARROBO"/>
    <s v="4.9989403"/>
    <s v="-71.8860472"/>
    <s v="CASANARE"/>
    <s v="OROCUÉ"/>
    <s v="OROCUÉ"/>
    <n v="85230"/>
    <s v="2025-11-25"/>
    <n v="8"/>
    <s v="YOPAL"/>
    <x v="3"/>
    <n v="28277.100000000002"/>
  </r>
  <r>
    <n v="69277"/>
    <s v="BARRIO PATIO BONITO TIERRA BUENA BOGOTA"/>
    <n v="52118036"/>
    <s v="0"/>
    <s v="3165350927"/>
    <s v="3165350927"/>
    <s v="CR 18 # 03,"/>
    <s v="4.7851294"/>
    <s v="-71.3436242"/>
    <s v="CASANARE"/>
    <s v="OROCUÉ"/>
    <s v="OROCUÉ"/>
    <n v="85230"/>
    <s v="2025-11-25"/>
    <n v="8"/>
    <s v="YOPAL"/>
    <x v="3"/>
    <n v="28277.100000000002"/>
  </r>
  <r>
    <n v="69060"/>
    <s v="ALIRIO MORA CALI"/>
    <n v="6100516"/>
    <s v="0"/>
    <s v="0"/>
    <s v="3213728354"/>
    <s v="DG 4 18 10,SAN GREGORIO"/>
    <s v="4.7879299"/>
    <s v="-71.3449457"/>
    <s v="CASANARE"/>
    <s v="OROCUÉ"/>
    <s v="OROCUÉ"/>
    <n v="85230"/>
    <s v="2025-11-25"/>
    <n v="8"/>
    <s v="YOPAL"/>
    <x v="3"/>
    <n v="28277.100000000002"/>
  </r>
  <r>
    <n v="68833"/>
    <s v="BARRIO EL PARAISO CALI"/>
    <n v="1144202340"/>
    <s v="3022107763"/>
    <s v="3022107763"/>
    <s v="3022107763"/>
    <s v="CR 55C 51 10,BELLO"/>
    <s v="6.3349392"/>
    <s v="-75.5625377"/>
    <s v="ANTIOQUIA"/>
    <s v="BELLO"/>
    <s v="BELLO"/>
    <n v="5088"/>
    <s v="2025-11-20"/>
    <n v="8"/>
    <s v="MEDELLIN"/>
    <x v="0"/>
    <n v="15709.5"/>
  </r>
  <r>
    <n v="71233"/>
    <s v="BARRIO OMAR TORRIJOS CALI 1"/>
    <n v="31840955"/>
    <s v="3148658891"/>
    <s v="3146231211"/>
    <s v="3148658891"/>
    <s v="CL 50 50 54 LC 201,BELLO CENTRO"/>
    <s v="6.3343399"/>
    <s v="-75.5591372"/>
    <s v="ANTIOQUIA"/>
    <s v="BELLO"/>
    <s v="BELLO"/>
    <n v="5088"/>
    <s v="2025-11-24"/>
    <n v="8"/>
    <s v="MEDELLIN"/>
    <x v="0"/>
    <n v="15709.5"/>
  </r>
  <r>
    <n v="70870"/>
    <s v="BARRIO USAQUEN BOGOTA 4"/>
    <n v="38141185"/>
    <s v="3113422262"/>
    <s v="3113422262"/>
    <m/>
    <s v="KM 7 VIA ANTIGUA A GUARNE ,EL PINAR"/>
    <s v="6.3001703"/>
    <s v="-75.5345878"/>
    <s v="ANTIOQUIA"/>
    <s v="BELLO"/>
    <s v="BELLO"/>
    <n v="5088"/>
    <s v="2025-11-20"/>
    <n v="8"/>
    <s v="MEDELLIN"/>
    <x v="0"/>
    <n v="15709.5"/>
  </r>
  <r>
    <n v="71431"/>
    <s v="BARRRIO BONANZA BOGOTA "/>
    <n v="1094885321"/>
    <s v="3208982165"/>
    <s v="3242268778"/>
    <s v="3208982165"/>
    <s v="CR 50 49 38,CENTRO"/>
    <s v="6.3341091"/>
    <s v="-75.5584223"/>
    <s v="ANTIOQUIA"/>
    <s v="BELLO"/>
    <s v="BELLO"/>
    <n v="5088"/>
    <s v="2025-11-24"/>
    <n v="8"/>
    <s v="MEDELLIN"/>
    <x v="0"/>
    <n v="15709.5"/>
  </r>
  <r>
    <n v="70872"/>
    <s v="BARRIO LA ESMERALDA BOGOTA 6"/>
    <n v="52541206"/>
    <s v="3015918923"/>
    <s v="3015918923"/>
    <s v="3015918923"/>
    <s v="VRD LA CHINA CGT SAN FELIX,VEREDA LA CHINA ,CORREGIMIENTO SAN FÉLIX BELLO ANT"/>
    <s v="6.3992554"/>
    <s v="-75.6150391"/>
    <s v="ANTIOQUIA"/>
    <s v="BELLO"/>
    <s v="BELLO"/>
    <n v="5088"/>
    <s v="2025-11-20"/>
    <n v="8"/>
    <s v="MEDELLIN"/>
    <x v="0"/>
    <n v="15709.5"/>
  </r>
  <r>
    <n v="70861"/>
    <s v="BARRIO VERSALLES CALI 6"/>
    <n v="9846799"/>
    <s v="3045749817"/>
    <s v="3045749817"/>
    <s v="3045749817"/>
    <s v="AV 42 B 52 22,NIQUIA"/>
    <s v="6.3375362"/>
    <s v="-75.5497294"/>
    <s v="ANTIOQUIA"/>
    <s v="BELLO"/>
    <s v="BELLO"/>
    <n v="5088"/>
    <s v="2025-11-21"/>
    <n v="8"/>
    <s v="MEDELLIN"/>
    <x v="0"/>
    <n v="15709.5"/>
  </r>
  <r>
    <n v="71167"/>
    <s v="BARRIO PATIO BONITO BOGOTA  24"/>
    <n v="80072824"/>
    <s v="3113118467"/>
    <s v="3026941995"/>
    <s v="3026941995"/>
    <s v="CL 53 # 50 41,BELLO"/>
    <s v="6.336826"/>
    <s v="-75.559227"/>
    <s v="ANTIOQUIA"/>
    <s v="BELLO"/>
    <s v="BELLO"/>
    <n v="5088"/>
    <s v="2025-11-11"/>
    <n v="8"/>
    <s v="MEDELLIN"/>
    <x v="0"/>
    <n v="15709.5"/>
  </r>
  <r>
    <n v="71780"/>
    <s v="BARRIO PUENTE GRANDE FONTIBON"/>
    <n v="51591048"/>
    <s v="3054675083"/>
    <s v="3054675083"/>
    <s v="3167692442"/>
    <s v="CR 63 A 56 A 11,BELLO"/>
    <s v="6.340732"/>
    <s v="-75.568634"/>
    <s v="ANTIOQUIA"/>
    <s v="BELLO"/>
    <s v="BELLO"/>
    <n v="5088"/>
    <s v="2025-11-11"/>
    <n v="8"/>
    <s v="MEDELLIN"/>
    <x v="0"/>
    <n v="15709.5"/>
  </r>
  <r>
    <n v="71765"/>
    <s v="CALI OBRERO"/>
    <n v="1107064177"/>
    <s v="6044582484"/>
    <s v="3147308544"/>
    <s v="3052148224"/>
    <s v="DIAGONAL 67 31 150,BELLO"/>
    <s v="6.3486164"/>
    <s v="-75.5403286"/>
    <s v="ANTIOQUIA"/>
    <s v="BELLO"/>
    <s v="BELLO"/>
    <n v="5088"/>
    <s v="2025-11-20"/>
    <n v="8"/>
    <s v="MEDELLIN"/>
    <x v="0"/>
    <n v="15709.5"/>
  </r>
  <r>
    <n v="72539"/>
    <s v="CENTRO BOGOTA CUNDINAMARCA"/>
    <n v="1094165025"/>
    <s v="7280136"/>
    <s v="3016106410"/>
    <s v="3016106410"/>
    <s v=" AV 11 E 7 B  09"/>
    <s v="7.907083"/>
    <s v="-72.492138"/>
    <s v="NORTE DE SANTANDER"/>
    <s v="CÚCUTA"/>
    <s v="CÚCUTA"/>
    <n v="54001"/>
    <s v="2025-11-24"/>
    <n v="8"/>
    <s v="CUCUTA"/>
    <x v="2"/>
    <n v="28277.100000000002"/>
  </r>
  <r>
    <n v="72176"/>
    <s v="VALLE DEL CAUCA CALI"/>
    <n v="1059604126"/>
    <s v="5877877"/>
    <s v="3204535448"/>
    <s v="3023803376"/>
    <s v=" URB TASAJERO LC T 118 A CUCUTA CUCUTA NORTE DE SANTANDER"/>
    <s v="7.9256105"/>
    <s v="-72.4932978"/>
    <s v="NORTE DE SANTANDER"/>
    <s v="CÚCUTA"/>
    <s v="CÚCUTA"/>
    <n v="54001"/>
    <s v="2025-11-25"/>
    <n v="16"/>
    <s v="CUCUTA"/>
    <x v="2"/>
    <n v="28277.100000000002"/>
  </r>
  <r>
    <n v="72177"/>
    <s v="BARRIO CRISTOBAL COLON CALI  4"/>
    <n v="31970507"/>
    <s v="5719904"/>
    <s v="3164652724"/>
    <s v="3164652724"/>
    <s v=" AV 8 8 73"/>
    <s v="7.8876863"/>
    <s v="-72.5072762"/>
    <s v="NORTE DE SANTANDER"/>
    <s v="CÚCUTA"/>
    <s v="CÚCUTA"/>
    <n v="54001"/>
    <s v="2025-11-24"/>
    <n v="16"/>
    <s v="CUCUTA"/>
    <x v="2"/>
    <n v="28277.100000000002"/>
  </r>
  <r>
    <n v="73490"/>
    <s v="BARRIO GARCES NAVAS BOGOTA 5"/>
    <n v="1014281611"/>
    <s v="5711785"/>
    <s v="3123155281"/>
    <s v="3123155281"/>
    <s v=" CL 11  8 25 CENTRO CUCUTA CUCUTA NORTE DE SANTANDER"/>
    <s v="7.9163721"/>
    <s v="-72.5062482"/>
    <s v="NORTE DE SANTANDER"/>
    <s v="CÚCUTA"/>
    <s v="CÚCUTA"/>
    <n v="54001"/>
    <s v="2025-11-25"/>
    <n v="8"/>
    <s v="CUCUTA"/>
    <x v="2"/>
    <n v="28277.100000000002"/>
  </r>
  <r>
    <n v="73695"/>
    <s v="BARRIO BOSA CALDAS BOGOTA"/>
    <n v="4245561"/>
    <s v="5711186"/>
    <s v="3150557465"/>
    <s v="3150557465"/>
    <s v=" CL 14 3 65 LC 103"/>
    <s v="7.8831547"/>
    <s v="-72.5016865"/>
    <s v="NORTE DE SANTANDER"/>
    <s v="CÚCUTA"/>
    <s v="CÚCUTA"/>
    <n v="54001"/>
    <s v="2025-11-25"/>
    <n v="8"/>
    <s v="CUCUTA"/>
    <x v="2"/>
    <n v="28277.100000000002"/>
  </r>
  <r>
    <n v="73703"/>
    <s v="BARRIO PATIO BONITO 25"/>
    <n v="1000505553"/>
    <s v="5813531"/>
    <s v="3134520346"/>
    <s v="3134520346"/>
    <s v=" MANZA R4 LT 14 ATALAYA CUCUTA CUCUTA NORTE DE SANTANDER"/>
    <s v="7.9062769"/>
    <s v="-72.5230070"/>
    <s v="NORTE DE SANTANDER"/>
    <s v="CÚCUTA"/>
    <s v="CÚCUTA"/>
    <n v="54001"/>
    <s v="2025-11-24"/>
    <n v="8"/>
    <s v="CUCUTA"/>
    <x v="2"/>
    <n v="28277.100000000002"/>
  </r>
  <r>
    <n v="73736"/>
    <s v="BARRIO COMUNERO II CALI"/>
    <n v="1010091940"/>
    <s v="5781820 EXT 109"/>
    <s v="3108629626"/>
    <s v="3108629626"/>
    <s v=" CL 1  1-89 CHAPINERO"/>
    <s v="7.9073308"/>
    <s v="-72.5122156"/>
    <s v="NORTE DE SANTANDER"/>
    <s v="CÚCUTA"/>
    <s v="CÚCUTA"/>
    <n v="54001"/>
    <s v="2025-11-21"/>
    <n v="8"/>
    <s v="CUCUTA"/>
    <x v="2"/>
    <n v="28277.100000000002"/>
  </r>
  <r>
    <n v="74518"/>
    <s v="BARRIO AURES 2 BOGOTA 3"/>
    <n v="1005053971"/>
    <s v="5870164"/>
    <s v="3004414216"/>
    <s v="3004414216"/>
    <s v=" CL 13 A 6 38"/>
    <s v="7.9368497"/>
    <s v="-72.5079312"/>
    <s v="NORTE DE SANTANDER"/>
    <s v="CÚCUTA"/>
    <s v="CÚCUTA"/>
    <n v="54001"/>
    <s v="2025-11-24"/>
    <n v="16"/>
    <s v="CUCUTA"/>
    <x v="2"/>
    <n v="28277.100000000002"/>
  </r>
  <r>
    <n v="72640"/>
    <s v="CALI ALFONSO LOPEZ II"/>
    <n v="1144133573"/>
    <s v="3321524"/>
    <s v="3126774575"/>
    <s v="3112319646"/>
    <s v="BRR CENTRO LOGISTIC CR 2 NORTE 1 - 536"/>
    <s v="4.830412"/>
    <s v="-75.700359"/>
    <s v="RISARALDA"/>
    <s v="DOSQUEBRADAS"/>
    <s v="DOSQUEBRADAS"/>
    <n v="66170"/>
    <s v="2025-11-14"/>
    <n v="8"/>
    <s v="PEREIRA"/>
    <x v="6"/>
    <n v="15709.5"/>
  </r>
  <r>
    <n v="72740"/>
    <s v="BARRIO SAN ANTONIO CC PANAMA BOGOTA"/>
    <n v="1235250894"/>
    <s v="3302344"/>
    <s v="3103957441"/>
    <s v="3103957441"/>
    <s v=" CL 21 16 54"/>
    <s v="4.8277764"/>
    <s v="-75.6800875"/>
    <s v="RISARALDA"/>
    <s v="DOSQUEBRADAS"/>
    <s v="DOSQUEBRADAS"/>
    <n v="66170"/>
    <s v="2025-11-20"/>
    <n v="8"/>
    <s v="PEREIRA"/>
    <x v="6"/>
    <n v="15709.5"/>
  </r>
  <r>
    <n v="74887"/>
    <s v="BARRIO PATIO BONITO 3 BOGOTA"/>
    <n v="80801899"/>
    <s v="3425090"/>
    <s v="3136168603"/>
    <s v="3226740157"/>
    <s v=" CR 18 A 49 04 LC 3 LOS MOLIS"/>
    <s v="4.8376567"/>
    <s v="-75.6658314"/>
    <s v="RISARALDA"/>
    <s v="DOSQUEBRADAS"/>
    <s v="DOSQUEBRADAS"/>
    <n v="66170"/>
    <s v="2025-11-14"/>
    <n v="16"/>
    <s v="PEREIRA"/>
    <x v="6"/>
    <n v="15709.5"/>
  </r>
  <r>
    <n v="74889"/>
    <s v="BARRIO VILLA ALSACIA BOGOTA 10"/>
    <n v="830061125"/>
    <s v="3128897153"/>
    <s v="3225143188"/>
    <s v="3128897153"/>
    <s v="MZ 13 CA 31 BRR MIRADOR DE LA ESTANCIA"/>
    <s v="4.8127349"/>
    <s v="-75.6710123"/>
    <s v="RISARALDA"/>
    <s v="DOSQUEBRADAS"/>
    <s v="DOSQUEBRADAS"/>
    <n v="66170"/>
    <s v="2025-11-20"/>
    <n v="8"/>
    <s v="PEREIRA"/>
    <x v="6"/>
    <n v="15709.5"/>
  </r>
  <r>
    <n v="74893"/>
    <s v="BARRIO POLICARPA BOGOTA 5"/>
    <n v="1013654533"/>
    <s v="3233325768"/>
    <s v="3233325768"/>
    <s v="3233325768"/>
    <s v="CR 8 A CL 15 107 LC 3 -ZONA INDUSTRIAL LA MACARENA ,ZONA INDUSTRIAL LA MACARENA"/>
    <s v="4.8264699"/>
    <s v="-75.6877634"/>
    <s v="RISARALDA"/>
    <s v="DOSQUEBRADAS"/>
    <s v="DOSQUEBRADAS"/>
    <n v="66170"/>
    <s v="2025-11-07"/>
    <n v="16"/>
    <s v="PEREIRA"/>
    <x v="6"/>
    <n v="15709.5"/>
  </r>
  <r>
    <n v="74970"/>
    <s v="BARRIO MARCO FIDEL SUAREZ BOGOTA 2"/>
    <n v="39802419"/>
    <s v="3218167957"/>
    <s v="3218167957"/>
    <s v="3113070691"/>
    <s v="MZ 12 CA 4 BRR SANTIAGO LONDOÑO ,SANTIAGO LONDOÑO"/>
    <s v="4.8115416"/>
    <s v="-75.6633846"/>
    <s v="RISARALDA"/>
    <s v="DOSQUEBRADAS"/>
    <s v="DOSQUEBRADAS"/>
    <n v="66170"/>
    <s v="2025-11-20"/>
    <n v="8"/>
    <s v="PEREIRA"/>
    <x v="6"/>
    <n v="15709.5"/>
  </r>
  <r>
    <n v="74971"/>
    <s v="BARRIO ALAMOS BOGOTA 10"/>
    <n v="23474065"/>
    <s v="3125310162"/>
    <s v="3125310162"/>
    <s v="3125310162"/>
    <s v="CL 4 C 18A 03,SAN GREGORIO"/>
    <s v="4.7894094"/>
    <s v="-71.3451631"/>
    <s v="CASANARE"/>
    <s v="OROCUÉ"/>
    <s v="OROCUÉ"/>
    <n v="85230"/>
    <s v="2025-11-25"/>
    <n v="8"/>
    <s v="YOPAL"/>
    <x v="3"/>
    <n v="28277.100000000002"/>
  </r>
  <r>
    <n v="75125"/>
    <s v="BARRIO SAN JOSE SUR BOGOTA 2"/>
    <n v="39644168"/>
    <m/>
    <s v="3212808223"/>
    <s v="3212808223"/>
    <s v="CR 16 14 83,PABLO VI"/>
    <s v="1.2033065"/>
    <s v="-76.9179787"/>
    <s v="PUTUMAYO"/>
    <s v="SIBUNDOY"/>
    <s v="SIBUNDOY"/>
    <n v="86749"/>
    <s v="2025-11-24"/>
    <n v="8"/>
    <s v="PASTO"/>
    <x v="5"/>
    <n v="28277.100000000002"/>
  </r>
  <r>
    <n v="75112"/>
    <s v="BARRIO LA BASE AEREA MARCO FIDEL SUAREZ CALI"/>
    <n v="16744927"/>
    <s v="3164478041"/>
    <s v="3214654385"/>
    <s v="3214654385"/>
    <s v="CRA 14 15 17 - LIBERTAD,LIBERTAD"/>
    <s v="1.2018711"/>
    <s v="-76.9165545"/>
    <s v="PUTUMAYO"/>
    <s v="SIBUNDOY"/>
    <s v="SIBUNDOY"/>
    <n v="86749"/>
    <s v="2025-11-24"/>
    <n v="8"/>
    <s v="PASTO"/>
    <x v="5"/>
    <n v="28277.100000000002"/>
  </r>
  <r>
    <n v="74242"/>
    <s v="BARRIO PORVENIR BOGOTA 1"/>
    <n v="29813227"/>
    <s v="3162079964"/>
    <s v="3247065038"/>
    <s v="3162079964"/>
    <s v="CL 16 CR 9 1 BR FRAY BARTOLOME"/>
    <s v="1.201016"/>
    <s v="-76.912937"/>
    <s v="PUTUMAYO"/>
    <s v="SIBUNDOY"/>
    <s v="SIBUNDOY"/>
    <n v="86749"/>
    <s v="2025-11-24"/>
    <n v="8"/>
    <s v="PASTO"/>
    <x v="5"/>
    <n v="28277.100000000002"/>
  </r>
  <r>
    <n v="75302"/>
    <s v="BARRIO RICAURTE BOGOTA 11"/>
    <n v="1113362086"/>
    <s v="5811828"/>
    <s v="3207868023"/>
    <s v="3207868023"/>
    <s v=" CR 53 16B 03 MEDELLIN ANTIOQUIA"/>
    <s v="6.2201006"/>
    <s v="-75.5811931"/>
    <s v="ANTIOQUIA"/>
    <s v="MEDELLÍN"/>
    <s v="MEDELLÍN"/>
    <n v="5001"/>
    <s v="2025-11-24"/>
    <n v="8"/>
    <s v="MEDELLIN"/>
    <x v="0"/>
    <n v="15709.5"/>
  </r>
  <r>
    <n v="75604"/>
    <s v="BARRIO VILLA COLOMBIA BOSA BOGOTA"/>
    <n v="4149841"/>
    <s v="2573674"/>
    <s v="3206138801"/>
    <s v="3206138801"/>
    <s v=" CL 71  65-100 CERRO EL VOLADOR"/>
    <s v="6.2715329"/>
    <s v="-75.5783462"/>
    <s v="ANTIOQUIA"/>
    <s v="MEDELLÍN"/>
    <s v="MEDELLÍN"/>
    <n v="5001"/>
    <s v="2025-11-20"/>
    <n v="8"/>
    <s v="MEDELLIN"/>
    <x v="0"/>
    <n v="15709.5"/>
  </r>
  <r>
    <n v="75650"/>
    <s v="BARRIO GUABAL CALI 2"/>
    <n v="1061533071"/>
    <s v="2167934"/>
    <s v="3003755578"/>
    <s v="3003755578"/>
    <s v="CL 35 32 68"/>
    <s v="6.232287"/>
    <s v=" -75.559123"/>
    <s v="ANTIOQUIA"/>
    <s v="MEDELLÍN"/>
    <s v="MEDELLÍN"/>
    <n v="5001"/>
    <s v="2025-11-24"/>
    <n v="8"/>
    <s v="MEDELLIN"/>
    <x v="0"/>
    <n v="15709.5"/>
  </r>
  <r>
    <n v="74801"/>
    <s v="BARRIO DEPARTAMENTAL CALI 1"/>
    <n v="1109540710"/>
    <s v="3225690611"/>
    <s v="3225690611"/>
    <m/>
    <s v="CL 78B 69 240 LC 19,ROBLEDO"/>
    <s v="6.2769201"/>
    <s v="-75.5796903"/>
    <s v="ANTIOQUIA"/>
    <s v="MEDELLÍN"/>
    <s v="MEDELLÍN"/>
    <n v="5001"/>
    <s v="2025-11-20"/>
    <n v="8"/>
    <s v="MEDELLIN"/>
    <x v="0"/>
    <n v="15709.5"/>
  </r>
  <r>
    <n v="74802"/>
    <s v="BARRIO PASO DEL COMERCIO CALI 2"/>
    <n v="1144176944"/>
    <s v="3005304792"/>
    <s v="3005304792"/>
    <m/>
    <s v="CL 52 20 C 26,CAICEDO"/>
    <s v="6.2404735"/>
    <s v="-75.5450131"/>
    <s v="ANTIOQUIA"/>
    <s v="MEDELLÍN"/>
    <s v="MEDELLÍN"/>
    <n v="5001"/>
    <s v="2025-11-20"/>
    <n v="8"/>
    <s v="MEDELLIN"/>
    <x v="0"/>
    <n v="15709.5"/>
  </r>
  <r>
    <n v="75933"/>
    <s v="BARRIO CIUDAD CORDOBA CALI 8"/>
    <n v="1127383873"/>
    <s v="3234731942"/>
    <s v="3234731942"/>
    <s v="3146177152"/>
    <s v="CL 10 43B 22,POBLADO MEDELLIN"/>
    <s v="6.2109401"/>
    <s v="-75.5713804"/>
    <s v="ANTIOQUIA"/>
    <s v="MEDELLÍN"/>
    <s v="MEDELLÍN"/>
    <n v="5001"/>
    <s v="2025-11-20"/>
    <n v="8"/>
    <s v="MEDELLIN"/>
    <x v="0"/>
    <n v="15709.5"/>
  </r>
  <r>
    <n v="75948"/>
    <s v="BARRIO ANDRES SANIN CALI  2"/>
    <n v="38556030"/>
    <s v="6045987814"/>
    <s v="0"/>
    <s v="3135369255"/>
    <s v="CARRERA 58 D 25 B 23,BELLO"/>
    <s v="6.3153248"/>
    <s v="-75.5668779"/>
    <s v="ANTIOQUIA"/>
    <s v="BELLO"/>
    <s v="BELLO"/>
    <n v="5088"/>
    <s v="2025-11-21"/>
    <n v="8"/>
    <s v="MEDELLIN"/>
    <x v="0"/>
    <n v="15709.5"/>
  </r>
  <r>
    <n v="76080"/>
    <s v="BARRIO FONTIBON CENTRO BOGOTA 3"/>
    <n v="900183060"/>
    <s v="0"/>
    <s v="3157533034"/>
    <s v="3148888980"/>
    <s v="DG 54 42 21,NIQUIA"/>
    <s v="6.3384123"/>
    <s v="-75.5483048"/>
    <s v="ANTIOQUIA"/>
    <s v="BELLO"/>
    <s v="BELLO"/>
    <n v="5088"/>
    <s v="2025-11-20"/>
    <n v="8"/>
    <s v="MEDELLIN"/>
    <x v="0"/>
    <n v="15709.5"/>
  </r>
  <r>
    <n v="75782"/>
    <s v="BARRIO EL POPULAR CALI 2"/>
    <n v="29121983"/>
    <s v="0"/>
    <s v="3137494046"/>
    <s v="3137494046"/>
    <s v="CALLLE 32 CR 57 -104,LA FLORIDA"/>
    <s v="6.319431"/>
    <s v="-75.5636861"/>
    <s v="ANTIOQUIA"/>
    <s v="BELLO"/>
    <s v="BELLO"/>
    <n v="5088"/>
    <s v="2025-11-20"/>
    <n v="8"/>
    <s v="MEDELLIN"/>
    <x v="0"/>
    <n v="15709.5"/>
  </r>
  <r>
    <n v="75792"/>
    <s v="BARRIO LA INDEPENDENCIA CALI"/>
    <n v="94506037"/>
    <s v="0"/>
    <s v="3166657710"/>
    <s v="3184094669"/>
    <s v="CARRERA 49 47 75,PRADO"/>
    <s v="6.3336891"/>
    <s v="-75.5574128"/>
    <s v="ANTIOQUIA"/>
    <s v="BELLO"/>
    <s v="BELLO"/>
    <n v="5088"/>
    <s v="2025-11-11"/>
    <n v="8"/>
    <s v="MEDELLIN"/>
    <x v="0"/>
    <n v="15709.5"/>
  </r>
  <r>
    <n v="75908"/>
    <s v="BARRIO PIO 12 KENNEDY BOGOTA"/>
    <n v="14139757"/>
    <s v="3163046724"/>
    <s v="3163046729"/>
    <s v="3113673258"/>
    <s v="DIAGONAL 62 40A 18,NIQUIA"/>
    <s v="6.3444070"/>
    <s v="-75.5472513"/>
    <s v="ANTIOQUIA"/>
    <s v="BELLO"/>
    <s v="BELLO"/>
    <n v="5088"/>
    <s v="2025-11-20"/>
    <n v="8"/>
    <s v="MEDELLIN"/>
    <x v="0"/>
    <n v="15709.5"/>
  </r>
  <r>
    <n v="76581"/>
    <s v="BARRIO ALIRIO MORA BELTRAN CALI 2"/>
    <n v="38680767"/>
    <s v="3214654851"/>
    <s v="3157490616"/>
    <s v="3214654851"/>
    <s v="BRR LAURELES GALAXIA MAZANA 7A CA 4"/>
    <s v="4.858864"/>
    <s v="-75.659055"/>
    <s v="RISARALDA"/>
    <s v="DOSQUEBRADAS"/>
    <s v="DOSQUEBRADAS"/>
    <n v="66170"/>
    <s v="2025-11-07"/>
    <n v="8"/>
    <s v="PEREIRA"/>
    <x v="6"/>
    <n v="15709.5"/>
  </r>
  <r>
    <n v="76940"/>
    <s v="BARRIO MARCO FIDEL SUAREZ BOGOTA 5"/>
    <n v="79659179"/>
    <s v="3104712315"/>
    <s v="3118087766"/>
    <s v="3146654003"/>
    <s v="CR 15 51 07 P 1 - LOS NARANJOS,LOS NARANJOS"/>
    <s v="4.8404647"/>
    <s v="-75.6669959"/>
    <s v="RISARALDA"/>
    <s v="DOSQUEBRADAS"/>
    <s v="DOSQUEBRADAS"/>
    <n v="66170"/>
    <s v="2025-11-24"/>
    <n v="8"/>
    <s v="PEREIRA"/>
    <x v="6"/>
    <n v="15709.5"/>
  </r>
  <r>
    <n v="76790"/>
    <s v="BARRIO VALVANERA  BOGOTA"/>
    <n v="1007382479"/>
    <s v="3116295698"/>
    <s v="3113580357"/>
    <s v="3116295698"/>
    <s v="CAMPESTRE A MZ 19 CS 2,CAMPESTRE A"/>
    <s v="4.8324230"/>
    <s v="-75.6827251"/>
    <s v="RISARALDA"/>
    <s v="DOSQUEBRADAS"/>
    <s v="DOSQUEBRADAS"/>
    <n v="66170"/>
    <s v="2025-11-07"/>
    <n v="8"/>
    <s v="PEREIRA"/>
    <x v="6"/>
    <n v="15709.5"/>
  </r>
  <r>
    <n v="76791"/>
    <s v="BARRIO PATIO BONITO BOGOTA 26"/>
    <n v="1007226135"/>
    <s v="3016326040"/>
    <s v="3016326404"/>
    <s v="3128077027"/>
    <s v="MZ 6 CA 117 LC 1 BRR LOS LAGUITOS "/>
    <s v="4.8252568"/>
    <s v="-75.6661158"/>
    <s v="RISARALDA"/>
    <s v="DOSQUEBRADAS"/>
    <s v="DOSQUEBRADAS"/>
    <n v="66170"/>
    <s v="2025-11-20"/>
    <n v="8"/>
    <s v="PEREIRA"/>
    <x v="6"/>
    <n v="15709.5"/>
  </r>
  <r>
    <n v="77005"/>
    <s v="BARRIO RICARDO BALCAZAR CALI 3"/>
    <n v="16536858"/>
    <s v="3006301874"/>
    <s v="3006301874"/>
    <s v="3006301874"/>
    <s v="CL 44 18 08 BARRIO SAN FERNANDO "/>
    <s v="4.8361868"/>
    <s v="-75.6671532"/>
    <s v="RISARALDA"/>
    <s v="DOSQUEBRADAS"/>
    <s v="DOSQUEBRADAS"/>
    <n v="66170"/>
    <s v="2025-11-14"/>
    <n v="8"/>
    <s v="PEREIRA"/>
    <x v="6"/>
    <n v="15709.5"/>
  </r>
  <r>
    <n v="77222"/>
    <s v="BARRIO EL PONDAJE CALI  2"/>
    <n v="1144179705"/>
    <s v="3014744900"/>
    <s v="3014744900"/>
    <s v="3014744900"/>
    <s v="DOSQUEBRADAS CAMPESTRE MZ 14 CA 28"/>
    <s v="4.8301052"/>
    <s v="-75.6844439"/>
    <s v="RISARALDA"/>
    <s v="DOSQUEBRADAS"/>
    <s v="DOSQUEBRADAS"/>
    <n v="66170"/>
    <s v="2025-11-14"/>
    <n v="16"/>
    <s v="PEREIRA"/>
    <x v="6"/>
    <n v="15709.5"/>
  </r>
  <r>
    <n v="76365"/>
    <s v="BARRIO ALFONSO BONILLA ARAGON CALI 2"/>
    <n v="6108964"/>
    <s v="3006909241"/>
    <s v="3135726780"/>
    <s v="3006909241"/>
    <s v="CON RESIDENCIAL QUINTAS DE ARAGON LC 2,LA PLAYITA"/>
    <s v="4.8458012"/>
    <s v="-75.6721581"/>
    <s v="RISARALDA"/>
    <s v="DOSQUEBRADAS"/>
    <s v="DOSQUEBRADAS"/>
    <n v="66170"/>
    <s v="2025-11-24"/>
    <n v="8"/>
    <s v="PEREIRA"/>
    <x v="6"/>
    <n v="15709.5"/>
  </r>
  <r>
    <n v="76112"/>
    <s v="BARRIO CIUDAD CORDOBA CALI 9"/>
    <n v="65764053"/>
    <s v="3320391"/>
    <s v="3168047030"/>
    <s v="3168047030"/>
    <s v="CR 8 BIS 15 109 BG 14A SEC SERVIENTREGA, CC PORTAL DEL SUR"/>
    <s v="4.8263727"/>
    <s v="-75.6860269"/>
    <s v="RISARALDA"/>
    <s v="DOSQUEBRADAS"/>
    <s v="DOSQUEBRADAS"/>
    <n v="66170"/>
    <s v="2025-11-28"/>
    <n v="8"/>
    <s v="PEREIRA"/>
    <x v="6"/>
    <n v="15709.5"/>
  </r>
  <r>
    <m/>
    <m/>
    <m/>
    <m/>
    <m/>
    <m/>
    <m/>
    <m/>
    <m/>
    <m/>
    <m/>
    <m/>
    <m/>
    <m/>
    <m/>
    <m/>
    <x v="7"/>
    <n v="17063658.899999902"/>
  </r>
  <r>
    <m/>
    <m/>
    <m/>
    <m/>
    <m/>
    <m/>
    <m/>
    <m/>
    <m/>
    <m/>
    <m/>
    <m/>
    <m/>
    <m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12A03-1617-4119-A4C1-EF367C2031B1}" name="TablaDinámica1" cacheId="1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B9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1"/>
        <item x="6"/>
        <item x="0"/>
        <item x="3"/>
        <item x="2"/>
        <item x="5"/>
        <item h="1" x="7"/>
        <item t="default"/>
      </items>
    </pivotField>
    <pivotField dataField="1" compact="0" outline="0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ENTREGA DE ROLLOS EN BODEGAS" fld="17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AABA-EE1B-4158-8F84-4AC91F29D35C}">
  <dimension ref="A1:C8"/>
  <sheetViews>
    <sheetView workbookViewId="0">
      <selection activeCell="C5" sqref="C5"/>
    </sheetView>
  </sheetViews>
  <sheetFormatPr baseColWidth="10" defaultColWidth="11.44140625" defaultRowHeight="14.4" x14ac:dyDescent="0.3"/>
  <cols>
    <col min="1" max="1" width="31.6640625" customWidth="1"/>
    <col min="2" max="2" width="13" customWidth="1"/>
    <col min="3" max="3" width="15.6640625" customWidth="1"/>
  </cols>
  <sheetData>
    <row r="1" spans="1:3" ht="15" thickBot="1" x14ac:dyDescent="0.35">
      <c r="A1" s="32" t="s">
        <v>0</v>
      </c>
      <c r="B1" s="33"/>
      <c r="C1" s="34"/>
    </row>
    <row r="2" spans="1:3" ht="15" thickBot="1" x14ac:dyDescent="0.35">
      <c r="A2" s="32" t="s">
        <v>322</v>
      </c>
      <c r="B2" s="33"/>
      <c r="C2" s="34"/>
    </row>
    <row r="3" spans="1:3" ht="15" thickBot="1" x14ac:dyDescent="0.35">
      <c r="A3" s="32" t="s">
        <v>1</v>
      </c>
      <c r="B3" s="33"/>
      <c r="C3" s="34"/>
    </row>
    <row r="4" spans="1:3" ht="15" thickBot="1" x14ac:dyDescent="0.35">
      <c r="A4" s="10" t="s">
        <v>2</v>
      </c>
      <c r="B4" s="11" t="s">
        <v>3</v>
      </c>
      <c r="C4" s="18" t="s">
        <v>4</v>
      </c>
    </row>
    <row r="5" spans="1:3" ht="15" thickBot="1" x14ac:dyDescent="0.35">
      <c r="A5" s="12" t="str">
        <f>'ENTREGA DE ROLLOS EN BODEGAS'!R1</f>
        <v>ENTREGA DE ROLLOS EN BODEGAS</v>
      </c>
      <c r="B5" s="13">
        <f>COUNTA('ENTREGA DE ROLLOS EN BODEGAS'!A:A)-1</f>
        <v>783</v>
      </c>
      <c r="C5" s="14">
        <f>'ENTREGA DE ROLLOS EN BODEGAS'!R785</f>
        <v>17063658.899999902</v>
      </c>
    </row>
    <row r="6" spans="1:3" ht="15" thickBot="1" x14ac:dyDescent="0.35">
      <c r="A6" s="35" t="s">
        <v>5</v>
      </c>
      <c r="B6" s="36"/>
      <c r="C6" s="15">
        <f>SUM(C5:C5)</f>
        <v>17063658.899999902</v>
      </c>
    </row>
    <row r="7" spans="1:3" ht="15" thickBot="1" x14ac:dyDescent="0.35">
      <c r="A7" s="37" t="s">
        <v>6</v>
      </c>
      <c r="B7" s="38"/>
      <c r="C7" s="16">
        <f>C6*0.19</f>
        <v>3242095.1909999815</v>
      </c>
    </row>
    <row r="8" spans="1:3" ht="15" thickBot="1" x14ac:dyDescent="0.35">
      <c r="A8" s="35" t="s">
        <v>4</v>
      </c>
      <c r="B8" s="39"/>
      <c r="C8" s="17">
        <f>SUM(C6:C7)</f>
        <v>20305754.090999883</v>
      </c>
    </row>
  </sheetData>
  <mergeCells count="6">
    <mergeCell ref="A1:C1"/>
    <mergeCell ref="A2:C2"/>
    <mergeCell ref="A6:B6"/>
    <mergeCell ref="A7:B7"/>
    <mergeCell ref="A8:B8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8A15-1F14-4656-9D6D-82062418605D}">
  <dimension ref="A1:F23"/>
  <sheetViews>
    <sheetView workbookViewId="0">
      <selection activeCell="D6" sqref="D6:D22"/>
    </sheetView>
  </sheetViews>
  <sheetFormatPr baseColWidth="10" defaultColWidth="11.44140625" defaultRowHeight="14.4" x14ac:dyDescent="0.3"/>
  <cols>
    <col min="1" max="1" width="29.33203125" customWidth="1"/>
    <col min="2" max="2" width="81.44140625" customWidth="1"/>
    <col min="3" max="3" width="19.33203125" customWidth="1"/>
    <col min="4" max="4" width="23.109375" customWidth="1"/>
    <col min="5" max="5" width="14.6640625" customWidth="1"/>
    <col min="6" max="6" width="14.44140625" customWidth="1"/>
  </cols>
  <sheetData>
    <row r="1" spans="1:6" ht="43.2" x14ac:dyDescent="0.3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8" t="s">
        <v>12</v>
      </c>
    </row>
    <row r="2" spans="1:6" x14ac:dyDescent="0.3">
      <c r="A2" s="3" t="s">
        <v>13</v>
      </c>
      <c r="B2" s="3" t="s">
        <v>14</v>
      </c>
      <c r="C2" s="4" t="s">
        <v>15</v>
      </c>
      <c r="D2" s="4" t="s">
        <v>16</v>
      </c>
      <c r="E2" s="5">
        <v>37313</v>
      </c>
      <c r="F2" s="6">
        <v>15709.5</v>
      </c>
    </row>
    <row r="3" spans="1:6" x14ac:dyDescent="0.3">
      <c r="A3" s="3" t="s">
        <v>13</v>
      </c>
      <c r="B3" s="3" t="s">
        <v>14</v>
      </c>
      <c r="C3" s="3" t="s">
        <v>17</v>
      </c>
      <c r="D3" s="3" t="s">
        <v>18</v>
      </c>
      <c r="E3" s="5">
        <v>37313</v>
      </c>
      <c r="F3" s="6">
        <v>15709.5</v>
      </c>
    </row>
    <row r="4" spans="1:6" x14ac:dyDescent="0.3">
      <c r="A4" s="3" t="s">
        <v>13</v>
      </c>
      <c r="B4" s="3" t="s">
        <v>14</v>
      </c>
      <c r="C4" s="3" t="s">
        <v>19</v>
      </c>
      <c r="D4" s="3" t="s">
        <v>20</v>
      </c>
      <c r="E4" s="5">
        <v>37313</v>
      </c>
      <c r="F4" s="6">
        <v>15709.5</v>
      </c>
    </row>
    <row r="5" spans="1:6" x14ac:dyDescent="0.3">
      <c r="A5" s="3" t="s">
        <v>13</v>
      </c>
      <c r="B5" s="3" t="s">
        <v>14</v>
      </c>
      <c r="C5" s="3" t="s">
        <v>21</v>
      </c>
      <c r="D5" s="3" t="s">
        <v>22</v>
      </c>
      <c r="E5" s="5">
        <v>37313</v>
      </c>
      <c r="F5" s="6">
        <v>15709.5</v>
      </c>
    </row>
    <row r="6" spans="1:6" x14ac:dyDescent="0.3">
      <c r="A6" s="3" t="s">
        <v>13</v>
      </c>
      <c r="B6" s="3" t="s">
        <v>14</v>
      </c>
      <c r="C6" s="3" t="s">
        <v>23</v>
      </c>
      <c r="D6" s="3" t="s">
        <v>24</v>
      </c>
      <c r="E6" s="5">
        <v>37313</v>
      </c>
      <c r="F6" s="6">
        <v>15709.5</v>
      </c>
    </row>
    <row r="7" spans="1:6" x14ac:dyDescent="0.3">
      <c r="A7" s="3" t="s">
        <v>13</v>
      </c>
      <c r="B7" s="3" t="s">
        <v>14</v>
      </c>
      <c r="C7" s="3" t="s">
        <v>25</v>
      </c>
      <c r="D7" s="3" t="s">
        <v>26</v>
      </c>
      <c r="E7" s="5">
        <v>37313</v>
      </c>
      <c r="F7" s="6">
        <v>15709.5</v>
      </c>
    </row>
    <row r="8" spans="1:6" x14ac:dyDescent="0.3">
      <c r="A8" s="3" t="s">
        <v>13</v>
      </c>
      <c r="B8" s="3" t="s">
        <v>14</v>
      </c>
      <c r="C8" s="3" t="s">
        <v>27</v>
      </c>
      <c r="D8" s="3" t="s">
        <v>24</v>
      </c>
      <c r="E8" s="5">
        <v>37313</v>
      </c>
      <c r="F8" s="6">
        <v>15709.5</v>
      </c>
    </row>
    <row r="9" spans="1:6" x14ac:dyDescent="0.3">
      <c r="A9" s="3" t="s">
        <v>13</v>
      </c>
      <c r="B9" s="3" t="s">
        <v>28</v>
      </c>
      <c r="C9" s="4" t="s">
        <v>29</v>
      </c>
      <c r="D9" s="3" t="s">
        <v>26</v>
      </c>
      <c r="E9" s="5">
        <v>49671.7</v>
      </c>
      <c r="F9" s="6">
        <v>28277.100000000002</v>
      </c>
    </row>
    <row r="10" spans="1:6" x14ac:dyDescent="0.3">
      <c r="A10" s="3" t="s">
        <v>13</v>
      </c>
      <c r="B10" s="3" t="s">
        <v>28</v>
      </c>
      <c r="C10" s="3" t="s">
        <v>30</v>
      </c>
      <c r="D10" s="3" t="s">
        <v>31</v>
      </c>
      <c r="E10" s="5">
        <v>49671.7</v>
      </c>
      <c r="F10" s="6">
        <v>28277.100000000002</v>
      </c>
    </row>
    <row r="11" spans="1:6" x14ac:dyDescent="0.3">
      <c r="A11" s="3" t="s">
        <v>13</v>
      </c>
      <c r="B11" s="3" t="s">
        <v>28</v>
      </c>
      <c r="C11" s="3" t="s">
        <v>32</v>
      </c>
      <c r="D11" s="3" t="s">
        <v>24</v>
      </c>
      <c r="E11" s="5">
        <v>49671.7</v>
      </c>
      <c r="F11" s="6">
        <v>28277.100000000002</v>
      </c>
    </row>
    <row r="12" spans="1:6" x14ac:dyDescent="0.3">
      <c r="A12" s="3" t="s">
        <v>13</v>
      </c>
      <c r="B12" s="3" t="s">
        <v>28</v>
      </c>
      <c r="C12" s="3" t="s">
        <v>33</v>
      </c>
      <c r="D12" s="3" t="s">
        <v>26</v>
      </c>
      <c r="E12" s="5">
        <v>49671.7</v>
      </c>
      <c r="F12" s="6">
        <v>28277.100000000002</v>
      </c>
    </row>
    <row r="13" spans="1:6" x14ac:dyDescent="0.3">
      <c r="A13" s="3" t="s">
        <v>13</v>
      </c>
      <c r="B13" s="3" t="s">
        <v>28</v>
      </c>
      <c r="C13" s="3" t="s">
        <v>34</v>
      </c>
      <c r="D13" s="3" t="s">
        <v>31</v>
      </c>
      <c r="E13" s="5">
        <v>49671.7</v>
      </c>
      <c r="F13" s="6">
        <v>28277.100000000002</v>
      </c>
    </row>
    <row r="14" spans="1:6" x14ac:dyDescent="0.3">
      <c r="A14" s="3" t="s">
        <v>13</v>
      </c>
      <c r="B14" s="3" t="s">
        <v>35</v>
      </c>
      <c r="C14" s="3" t="s">
        <v>36</v>
      </c>
      <c r="D14" s="4" t="s">
        <v>16</v>
      </c>
      <c r="E14" s="5">
        <v>49671.7</v>
      </c>
      <c r="F14" s="6">
        <v>28277.100000000002</v>
      </c>
    </row>
    <row r="15" spans="1:6" x14ac:dyDescent="0.3">
      <c r="A15" s="3" t="s">
        <v>13</v>
      </c>
      <c r="B15" s="3" t="s">
        <v>35</v>
      </c>
      <c r="C15" s="3" t="s">
        <v>37</v>
      </c>
      <c r="D15" s="3" t="s">
        <v>24</v>
      </c>
      <c r="E15" s="5">
        <v>49671.7</v>
      </c>
      <c r="F15" s="6">
        <v>28277.100000000002</v>
      </c>
    </row>
    <row r="16" spans="1:6" x14ac:dyDescent="0.3">
      <c r="A16" s="3" t="s">
        <v>13</v>
      </c>
      <c r="B16" s="3" t="s">
        <v>35</v>
      </c>
      <c r="C16" s="3" t="s">
        <v>38</v>
      </c>
      <c r="D16" s="3" t="s">
        <v>31</v>
      </c>
      <c r="E16" s="5">
        <v>49671.7</v>
      </c>
      <c r="F16" s="6">
        <v>28277.100000000002</v>
      </c>
    </row>
    <row r="17" spans="1:6" x14ac:dyDescent="0.3">
      <c r="A17" s="3" t="s">
        <v>13</v>
      </c>
      <c r="B17" s="3" t="s">
        <v>35</v>
      </c>
      <c r="C17" s="3" t="s">
        <v>39</v>
      </c>
      <c r="D17" s="3" t="s">
        <v>31</v>
      </c>
      <c r="E17" s="5">
        <v>49671.7</v>
      </c>
      <c r="F17" s="6">
        <v>28277.100000000002</v>
      </c>
    </row>
    <row r="18" spans="1:6" x14ac:dyDescent="0.3">
      <c r="A18" s="3" t="s">
        <v>13</v>
      </c>
      <c r="B18" s="3" t="s">
        <v>35</v>
      </c>
      <c r="C18" s="3" t="s">
        <v>40</v>
      </c>
      <c r="D18" s="3" t="s">
        <v>22</v>
      </c>
      <c r="E18" s="5">
        <v>49671.7</v>
      </c>
      <c r="F18" s="6">
        <v>28277.100000000002</v>
      </c>
    </row>
    <row r="19" spans="1:6" x14ac:dyDescent="0.3">
      <c r="A19" s="3" t="s">
        <v>13</v>
      </c>
      <c r="B19" s="3" t="s">
        <v>35</v>
      </c>
      <c r="C19" s="3" t="s">
        <v>41</v>
      </c>
      <c r="D19" s="3" t="s">
        <v>20</v>
      </c>
      <c r="E19" s="5">
        <v>49671.7</v>
      </c>
      <c r="F19" s="6">
        <v>28277.100000000002</v>
      </c>
    </row>
    <row r="20" spans="1:6" x14ac:dyDescent="0.3">
      <c r="A20" s="3" t="s">
        <v>13</v>
      </c>
      <c r="B20" s="3" t="s">
        <v>35</v>
      </c>
      <c r="C20" s="3" t="s">
        <v>42</v>
      </c>
      <c r="D20" s="3" t="s">
        <v>20</v>
      </c>
      <c r="E20" s="5">
        <v>49671.7</v>
      </c>
      <c r="F20" s="6">
        <v>28277.100000000002</v>
      </c>
    </row>
    <row r="21" spans="1:6" x14ac:dyDescent="0.3">
      <c r="A21" s="3" t="s">
        <v>13</v>
      </c>
      <c r="B21" s="3" t="s">
        <v>35</v>
      </c>
      <c r="C21" s="3" t="s">
        <v>43</v>
      </c>
      <c r="D21" s="3" t="s">
        <v>24</v>
      </c>
      <c r="E21" s="5">
        <v>49671.7</v>
      </c>
      <c r="F21" s="6">
        <v>28277.100000000002</v>
      </c>
    </row>
    <row r="22" spans="1:6" x14ac:dyDescent="0.3">
      <c r="A22" s="3" t="s">
        <v>13</v>
      </c>
      <c r="B22" s="3" t="s">
        <v>35</v>
      </c>
      <c r="C22" s="3" t="s">
        <v>44</v>
      </c>
      <c r="D22" s="3" t="s">
        <v>24</v>
      </c>
      <c r="E22" s="5">
        <v>49671.7</v>
      </c>
      <c r="F22" s="6">
        <v>28277.100000000002</v>
      </c>
    </row>
    <row r="23" spans="1:6" x14ac:dyDescent="0.3">
      <c r="A23" s="3" t="s">
        <v>13</v>
      </c>
      <c r="B23" s="3" t="s">
        <v>35</v>
      </c>
      <c r="C23" s="3" t="s">
        <v>45</v>
      </c>
      <c r="D23" s="3" t="s">
        <v>31</v>
      </c>
      <c r="E23" s="5">
        <v>49671.7</v>
      </c>
      <c r="F23" s="6">
        <v>28277.100000000002</v>
      </c>
    </row>
  </sheetData>
  <autoFilter ref="A1:F23" xr:uid="{968C8A15-1F14-4656-9D6D-8206241860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F9E8-BEE1-427F-9988-B3A32F035CCE}">
  <dimension ref="A1:B9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21.77734375" bestFit="1" customWidth="1"/>
    <col min="2" max="2" width="38.5546875" bestFit="1" customWidth="1"/>
  </cols>
  <sheetData>
    <row r="1" spans="1:2" x14ac:dyDescent="0.3">
      <c r="A1" s="22" t="s">
        <v>46</v>
      </c>
      <c r="B1" t="s">
        <v>47</v>
      </c>
    </row>
    <row r="2" spans="1:2" x14ac:dyDescent="0.3">
      <c r="A2" t="s">
        <v>18</v>
      </c>
      <c r="B2" s="23">
        <v>2387844</v>
      </c>
    </row>
    <row r="3" spans="1:2" x14ac:dyDescent="0.3">
      <c r="A3" t="s">
        <v>24</v>
      </c>
      <c r="B3" s="23">
        <v>1256760</v>
      </c>
    </row>
    <row r="4" spans="1:2" x14ac:dyDescent="0.3">
      <c r="A4" t="s">
        <v>22</v>
      </c>
      <c r="B4" s="23">
        <v>763481.70000000007</v>
      </c>
    </row>
    <row r="5" spans="1:2" x14ac:dyDescent="0.3">
      <c r="A5" t="s">
        <v>16</v>
      </c>
      <c r="B5" s="23">
        <v>895441.5</v>
      </c>
    </row>
    <row r="6" spans="1:2" x14ac:dyDescent="0.3">
      <c r="A6" t="s">
        <v>31</v>
      </c>
      <c r="B6" s="23">
        <v>3647745.9000000078</v>
      </c>
    </row>
    <row r="7" spans="1:2" x14ac:dyDescent="0.3">
      <c r="A7" t="s">
        <v>26</v>
      </c>
      <c r="B7" s="23">
        <v>6654544.1999999788</v>
      </c>
    </row>
    <row r="8" spans="1:2" x14ac:dyDescent="0.3">
      <c r="A8" t="s">
        <v>20</v>
      </c>
      <c r="B8" s="23">
        <v>1457841.6000000008</v>
      </c>
    </row>
    <row r="9" spans="1:2" x14ac:dyDescent="0.3">
      <c r="A9" t="s">
        <v>48</v>
      </c>
      <c r="B9" s="23">
        <v>17063658.899999987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5C1D-4AE9-46A5-B69F-A43CE6761E63}">
  <dimension ref="A1:C12120"/>
  <sheetViews>
    <sheetView workbookViewId="0">
      <selection sqref="A1:A1048576"/>
    </sheetView>
  </sheetViews>
  <sheetFormatPr baseColWidth="10" defaultColWidth="8.88671875" defaultRowHeight="14.4" x14ac:dyDescent="0.3"/>
  <cols>
    <col min="1" max="1" width="14.88671875" style="21" customWidth="1"/>
    <col min="2" max="2" width="19.33203125" style="21" customWidth="1"/>
    <col min="3" max="3" width="17.88671875" style="2" customWidth="1"/>
  </cols>
  <sheetData>
    <row r="1" spans="1:3" x14ac:dyDescent="0.3">
      <c r="A1" s="25" t="s">
        <v>49</v>
      </c>
      <c r="B1" s="25" t="s">
        <v>50</v>
      </c>
      <c r="C1" s="25" t="s">
        <v>51</v>
      </c>
    </row>
    <row r="2" spans="1:3" x14ac:dyDescent="0.3">
      <c r="A2" s="26">
        <v>77794</v>
      </c>
      <c r="B2" s="26">
        <v>1</v>
      </c>
      <c r="C2" s="26">
        <v>8</v>
      </c>
    </row>
    <row r="3" spans="1:3" x14ac:dyDescent="0.3">
      <c r="A3">
        <v>75357</v>
      </c>
      <c r="B3">
        <v>1</v>
      </c>
      <c r="C3">
        <v>8</v>
      </c>
    </row>
    <row r="4" spans="1:3" x14ac:dyDescent="0.3">
      <c r="A4">
        <v>68846</v>
      </c>
      <c r="B4">
        <v>1</v>
      </c>
      <c r="C4">
        <v>8</v>
      </c>
    </row>
    <row r="5" spans="1:3" x14ac:dyDescent="0.3">
      <c r="A5">
        <v>66944</v>
      </c>
      <c r="B5">
        <v>1</v>
      </c>
      <c r="C5">
        <v>8</v>
      </c>
    </row>
    <row r="6" spans="1:3" x14ac:dyDescent="0.3">
      <c r="A6">
        <v>61928</v>
      </c>
      <c r="B6">
        <v>1</v>
      </c>
      <c r="C6">
        <v>8</v>
      </c>
    </row>
    <row r="7" spans="1:3" x14ac:dyDescent="0.3">
      <c r="A7">
        <v>47809</v>
      </c>
      <c r="B7">
        <v>1</v>
      </c>
      <c r="C7">
        <v>8</v>
      </c>
    </row>
    <row r="8" spans="1:3" x14ac:dyDescent="0.3">
      <c r="A8">
        <v>46151</v>
      </c>
      <c r="B8">
        <v>1</v>
      </c>
      <c r="C8">
        <v>8</v>
      </c>
    </row>
    <row r="9" spans="1:3" x14ac:dyDescent="0.3">
      <c r="A9">
        <v>44901</v>
      </c>
      <c r="B9">
        <v>1</v>
      </c>
      <c r="C9">
        <v>8</v>
      </c>
    </row>
    <row r="10" spans="1:3" x14ac:dyDescent="0.3">
      <c r="A10">
        <v>43438</v>
      </c>
      <c r="B10">
        <v>1</v>
      </c>
      <c r="C10">
        <v>8</v>
      </c>
    </row>
    <row r="11" spans="1:3" x14ac:dyDescent="0.3">
      <c r="A11">
        <v>40045</v>
      </c>
      <c r="B11">
        <v>1</v>
      </c>
      <c r="C11">
        <v>8</v>
      </c>
    </row>
    <row r="12" spans="1:3" x14ac:dyDescent="0.3">
      <c r="A12">
        <v>39165</v>
      </c>
      <c r="B12">
        <v>1</v>
      </c>
      <c r="C12">
        <v>8</v>
      </c>
    </row>
    <row r="13" spans="1:3" x14ac:dyDescent="0.3">
      <c r="A13">
        <v>33954</v>
      </c>
      <c r="B13">
        <v>1</v>
      </c>
      <c r="C13">
        <v>8</v>
      </c>
    </row>
    <row r="14" spans="1:3" x14ac:dyDescent="0.3">
      <c r="A14">
        <v>31621</v>
      </c>
      <c r="B14">
        <v>1</v>
      </c>
      <c r="C14">
        <v>8</v>
      </c>
    </row>
    <row r="15" spans="1:3" x14ac:dyDescent="0.3">
      <c r="A15">
        <v>25116</v>
      </c>
      <c r="B15">
        <v>1</v>
      </c>
      <c r="C15">
        <v>8</v>
      </c>
    </row>
    <row r="16" spans="1:3" x14ac:dyDescent="0.3">
      <c r="A16">
        <v>76334</v>
      </c>
      <c r="B16">
        <v>1</v>
      </c>
      <c r="C16">
        <v>8</v>
      </c>
    </row>
    <row r="17" spans="1:3" x14ac:dyDescent="0.3">
      <c r="A17">
        <v>73785</v>
      </c>
      <c r="B17">
        <v>1</v>
      </c>
      <c r="C17">
        <v>8</v>
      </c>
    </row>
    <row r="18" spans="1:3" x14ac:dyDescent="0.3">
      <c r="A18">
        <v>14902</v>
      </c>
      <c r="B18">
        <v>1</v>
      </c>
      <c r="C18">
        <v>16</v>
      </c>
    </row>
    <row r="19" spans="1:3" x14ac:dyDescent="0.3">
      <c r="A19">
        <v>69516</v>
      </c>
      <c r="B19">
        <v>1</v>
      </c>
      <c r="C19">
        <v>8</v>
      </c>
    </row>
    <row r="20" spans="1:3" x14ac:dyDescent="0.3">
      <c r="A20">
        <v>69406</v>
      </c>
      <c r="B20">
        <v>1</v>
      </c>
      <c r="C20">
        <v>8</v>
      </c>
    </row>
    <row r="21" spans="1:3" x14ac:dyDescent="0.3">
      <c r="A21">
        <v>61259</v>
      </c>
      <c r="B21">
        <v>1</v>
      </c>
      <c r="C21">
        <v>8</v>
      </c>
    </row>
    <row r="22" spans="1:3" x14ac:dyDescent="0.3">
      <c r="A22">
        <v>61171</v>
      </c>
      <c r="B22">
        <v>1</v>
      </c>
      <c r="C22">
        <v>16</v>
      </c>
    </row>
    <row r="23" spans="1:3" x14ac:dyDescent="0.3">
      <c r="A23">
        <v>56905</v>
      </c>
      <c r="B23">
        <v>1</v>
      </c>
      <c r="C23">
        <v>8</v>
      </c>
    </row>
    <row r="24" spans="1:3" x14ac:dyDescent="0.3">
      <c r="A24">
        <v>42637</v>
      </c>
      <c r="B24">
        <v>1</v>
      </c>
      <c r="C24">
        <v>8</v>
      </c>
    </row>
    <row r="25" spans="1:3" x14ac:dyDescent="0.3">
      <c r="A25">
        <v>23658</v>
      </c>
      <c r="B25">
        <v>1</v>
      </c>
      <c r="C25">
        <v>16</v>
      </c>
    </row>
    <row r="26" spans="1:3" x14ac:dyDescent="0.3">
      <c r="A26">
        <v>36659</v>
      </c>
      <c r="B26">
        <v>1</v>
      </c>
      <c r="C26">
        <v>8</v>
      </c>
    </row>
    <row r="27" spans="1:3" x14ac:dyDescent="0.3">
      <c r="A27">
        <v>32920</v>
      </c>
      <c r="B27">
        <v>1</v>
      </c>
      <c r="C27">
        <v>16</v>
      </c>
    </row>
    <row r="28" spans="1:3" x14ac:dyDescent="0.3">
      <c r="A28">
        <v>30556</v>
      </c>
      <c r="B28">
        <v>1</v>
      </c>
      <c r="C28">
        <v>8</v>
      </c>
    </row>
    <row r="29" spans="1:3" x14ac:dyDescent="0.3">
      <c r="A29">
        <v>29767</v>
      </c>
      <c r="B29">
        <v>1</v>
      </c>
      <c r="C29">
        <v>8</v>
      </c>
    </row>
    <row r="30" spans="1:3" x14ac:dyDescent="0.3">
      <c r="A30">
        <v>28238</v>
      </c>
      <c r="B30">
        <v>1</v>
      </c>
      <c r="C30">
        <v>16</v>
      </c>
    </row>
    <row r="31" spans="1:3" x14ac:dyDescent="0.3">
      <c r="A31">
        <v>27603</v>
      </c>
      <c r="B31">
        <v>1</v>
      </c>
      <c r="C31">
        <v>8</v>
      </c>
    </row>
    <row r="32" spans="1:3" x14ac:dyDescent="0.3">
      <c r="A32">
        <v>27110</v>
      </c>
      <c r="B32">
        <v>1</v>
      </c>
      <c r="C32">
        <v>8</v>
      </c>
    </row>
    <row r="33" spans="1:3" x14ac:dyDescent="0.3">
      <c r="A33">
        <v>25882</v>
      </c>
      <c r="B33">
        <v>1</v>
      </c>
      <c r="C33">
        <v>8</v>
      </c>
    </row>
    <row r="34" spans="1:3" x14ac:dyDescent="0.3">
      <c r="A34">
        <v>59623</v>
      </c>
      <c r="B34">
        <v>1</v>
      </c>
      <c r="C34">
        <v>16</v>
      </c>
    </row>
    <row r="35" spans="1:3" x14ac:dyDescent="0.3">
      <c r="A35">
        <v>33413</v>
      </c>
      <c r="B35">
        <v>1</v>
      </c>
      <c r="C35">
        <v>8</v>
      </c>
    </row>
    <row r="36" spans="1:3" x14ac:dyDescent="0.3">
      <c r="A36">
        <v>76223</v>
      </c>
      <c r="B36">
        <v>1</v>
      </c>
      <c r="C36">
        <v>8</v>
      </c>
    </row>
    <row r="37" spans="1:3" x14ac:dyDescent="0.3">
      <c r="A37">
        <v>72532</v>
      </c>
      <c r="B37">
        <v>1</v>
      </c>
      <c r="C37">
        <v>8</v>
      </c>
    </row>
    <row r="38" spans="1:3" x14ac:dyDescent="0.3">
      <c r="A38">
        <v>68419</v>
      </c>
      <c r="B38">
        <v>1</v>
      </c>
      <c r="C38">
        <v>8</v>
      </c>
    </row>
    <row r="39" spans="1:3" x14ac:dyDescent="0.3">
      <c r="A39">
        <v>63040</v>
      </c>
      <c r="B39">
        <v>1</v>
      </c>
      <c r="C39">
        <v>8</v>
      </c>
    </row>
    <row r="40" spans="1:3" x14ac:dyDescent="0.3">
      <c r="A40">
        <v>62348</v>
      </c>
      <c r="B40">
        <v>1</v>
      </c>
      <c r="C40">
        <v>8</v>
      </c>
    </row>
    <row r="41" spans="1:3" x14ac:dyDescent="0.3">
      <c r="A41">
        <v>55148</v>
      </c>
      <c r="B41">
        <v>1</v>
      </c>
      <c r="C41">
        <v>16</v>
      </c>
    </row>
    <row r="42" spans="1:3" x14ac:dyDescent="0.3">
      <c r="A42">
        <v>49987</v>
      </c>
      <c r="B42">
        <v>1</v>
      </c>
      <c r="C42">
        <v>16</v>
      </c>
    </row>
    <row r="43" spans="1:3" x14ac:dyDescent="0.3">
      <c r="A43">
        <v>21505</v>
      </c>
      <c r="B43">
        <v>1</v>
      </c>
      <c r="C43">
        <v>8</v>
      </c>
    </row>
    <row r="44" spans="1:3" x14ac:dyDescent="0.3">
      <c r="A44">
        <v>12282</v>
      </c>
      <c r="B44">
        <v>1</v>
      </c>
      <c r="C44">
        <v>16</v>
      </c>
    </row>
    <row r="45" spans="1:3" x14ac:dyDescent="0.3">
      <c r="A45">
        <v>38738</v>
      </c>
      <c r="B45">
        <v>1</v>
      </c>
      <c r="C45">
        <v>8</v>
      </c>
    </row>
    <row r="46" spans="1:3" x14ac:dyDescent="0.3">
      <c r="A46">
        <v>30703</v>
      </c>
      <c r="B46">
        <v>1</v>
      </c>
      <c r="C46">
        <v>8</v>
      </c>
    </row>
    <row r="47" spans="1:3" x14ac:dyDescent="0.3">
      <c r="A47">
        <v>29726</v>
      </c>
      <c r="B47">
        <v>1</v>
      </c>
      <c r="C47">
        <v>8</v>
      </c>
    </row>
    <row r="48" spans="1:3" x14ac:dyDescent="0.3">
      <c r="A48">
        <v>29218</v>
      </c>
      <c r="B48">
        <v>1</v>
      </c>
      <c r="C48">
        <v>8</v>
      </c>
    </row>
    <row r="49" spans="1:3" x14ac:dyDescent="0.3">
      <c r="A49">
        <v>70446</v>
      </c>
      <c r="B49">
        <v>1</v>
      </c>
      <c r="C49">
        <v>8</v>
      </c>
    </row>
    <row r="50" spans="1:3" x14ac:dyDescent="0.3">
      <c r="A50">
        <v>55847</v>
      </c>
      <c r="B50">
        <v>1</v>
      </c>
      <c r="C50">
        <v>8</v>
      </c>
    </row>
    <row r="51" spans="1:3" x14ac:dyDescent="0.3">
      <c r="A51">
        <v>37471</v>
      </c>
      <c r="B51">
        <v>1</v>
      </c>
      <c r="C51">
        <v>8</v>
      </c>
    </row>
    <row r="52" spans="1:3" x14ac:dyDescent="0.3">
      <c r="A52">
        <v>34847</v>
      </c>
      <c r="B52">
        <v>1</v>
      </c>
      <c r="C52">
        <v>16</v>
      </c>
    </row>
    <row r="53" spans="1:3" x14ac:dyDescent="0.3">
      <c r="A53">
        <v>75660</v>
      </c>
      <c r="B53">
        <v>1</v>
      </c>
      <c r="C53">
        <v>8</v>
      </c>
    </row>
    <row r="54" spans="1:3" x14ac:dyDescent="0.3">
      <c r="A54">
        <v>74439</v>
      </c>
      <c r="B54">
        <v>1</v>
      </c>
      <c r="C54">
        <v>8</v>
      </c>
    </row>
    <row r="55" spans="1:3" x14ac:dyDescent="0.3">
      <c r="A55">
        <v>13806</v>
      </c>
      <c r="B55">
        <v>1</v>
      </c>
      <c r="C55">
        <v>8</v>
      </c>
    </row>
    <row r="56" spans="1:3" x14ac:dyDescent="0.3">
      <c r="A56">
        <v>70712</v>
      </c>
      <c r="B56">
        <v>1</v>
      </c>
      <c r="C56">
        <v>16</v>
      </c>
    </row>
    <row r="57" spans="1:3" x14ac:dyDescent="0.3">
      <c r="A57">
        <v>60651</v>
      </c>
      <c r="B57">
        <v>1</v>
      </c>
      <c r="C57">
        <v>8</v>
      </c>
    </row>
    <row r="58" spans="1:3" x14ac:dyDescent="0.3">
      <c r="A58">
        <v>60650</v>
      </c>
      <c r="B58">
        <v>1</v>
      </c>
      <c r="C58">
        <v>8</v>
      </c>
    </row>
    <row r="59" spans="1:3" x14ac:dyDescent="0.3">
      <c r="A59">
        <v>55289</v>
      </c>
      <c r="B59">
        <v>1</v>
      </c>
      <c r="C59">
        <v>8</v>
      </c>
    </row>
    <row r="60" spans="1:3" x14ac:dyDescent="0.3">
      <c r="A60">
        <v>21097</v>
      </c>
      <c r="B60">
        <v>1</v>
      </c>
      <c r="C60">
        <v>8</v>
      </c>
    </row>
    <row r="61" spans="1:3" x14ac:dyDescent="0.3">
      <c r="A61">
        <v>28943</v>
      </c>
      <c r="B61">
        <v>1</v>
      </c>
      <c r="C61">
        <v>8</v>
      </c>
    </row>
    <row r="62" spans="1:3" x14ac:dyDescent="0.3">
      <c r="A62">
        <v>27011</v>
      </c>
      <c r="B62">
        <v>1</v>
      </c>
      <c r="C62">
        <v>8</v>
      </c>
    </row>
    <row r="63" spans="1:3" x14ac:dyDescent="0.3">
      <c r="A63">
        <v>64512</v>
      </c>
      <c r="B63">
        <v>1</v>
      </c>
      <c r="C63">
        <v>8</v>
      </c>
    </row>
    <row r="64" spans="1:3" x14ac:dyDescent="0.3">
      <c r="A64">
        <v>77388</v>
      </c>
      <c r="B64">
        <v>1</v>
      </c>
      <c r="C64">
        <v>8</v>
      </c>
    </row>
    <row r="65" spans="1:3" x14ac:dyDescent="0.3">
      <c r="A65">
        <v>75298</v>
      </c>
      <c r="B65">
        <v>1</v>
      </c>
      <c r="C65">
        <v>8</v>
      </c>
    </row>
    <row r="66" spans="1:3" x14ac:dyDescent="0.3">
      <c r="A66">
        <v>74398</v>
      </c>
      <c r="B66">
        <v>1</v>
      </c>
      <c r="C66">
        <v>8</v>
      </c>
    </row>
    <row r="67" spans="1:3" x14ac:dyDescent="0.3">
      <c r="A67">
        <v>73443</v>
      </c>
      <c r="B67">
        <v>1</v>
      </c>
      <c r="C67">
        <v>8</v>
      </c>
    </row>
    <row r="68" spans="1:3" x14ac:dyDescent="0.3">
      <c r="A68">
        <v>71654</v>
      </c>
      <c r="B68">
        <v>1</v>
      </c>
      <c r="C68">
        <v>8</v>
      </c>
    </row>
    <row r="69" spans="1:3" x14ac:dyDescent="0.3">
      <c r="A69">
        <v>71156</v>
      </c>
      <c r="B69">
        <v>1</v>
      </c>
      <c r="C69">
        <v>8</v>
      </c>
    </row>
    <row r="70" spans="1:3" x14ac:dyDescent="0.3">
      <c r="A70">
        <v>68744</v>
      </c>
      <c r="B70">
        <v>1</v>
      </c>
      <c r="C70">
        <v>8</v>
      </c>
    </row>
    <row r="71" spans="1:3" x14ac:dyDescent="0.3">
      <c r="A71">
        <v>67301</v>
      </c>
      <c r="B71">
        <v>1</v>
      </c>
      <c r="C71">
        <v>8</v>
      </c>
    </row>
    <row r="72" spans="1:3" x14ac:dyDescent="0.3">
      <c r="A72">
        <v>53429</v>
      </c>
      <c r="B72">
        <v>1</v>
      </c>
      <c r="C72">
        <v>8</v>
      </c>
    </row>
    <row r="73" spans="1:3" x14ac:dyDescent="0.3">
      <c r="A73">
        <v>53391</v>
      </c>
      <c r="B73">
        <v>1</v>
      </c>
      <c r="C73">
        <v>8</v>
      </c>
    </row>
    <row r="74" spans="1:3" x14ac:dyDescent="0.3">
      <c r="A74">
        <v>48423</v>
      </c>
      <c r="B74">
        <v>1</v>
      </c>
      <c r="C74">
        <v>8</v>
      </c>
    </row>
    <row r="75" spans="1:3" x14ac:dyDescent="0.3">
      <c r="A75">
        <v>47160</v>
      </c>
      <c r="B75">
        <v>1</v>
      </c>
      <c r="C75">
        <v>8</v>
      </c>
    </row>
    <row r="76" spans="1:3" x14ac:dyDescent="0.3">
      <c r="A76">
        <v>41872</v>
      </c>
      <c r="B76">
        <v>1</v>
      </c>
      <c r="C76">
        <v>8</v>
      </c>
    </row>
    <row r="77" spans="1:3" x14ac:dyDescent="0.3">
      <c r="A77">
        <v>37527</v>
      </c>
      <c r="B77">
        <v>1</v>
      </c>
      <c r="C77">
        <v>8</v>
      </c>
    </row>
    <row r="78" spans="1:3" x14ac:dyDescent="0.3">
      <c r="A78">
        <v>12321</v>
      </c>
      <c r="B78">
        <v>1</v>
      </c>
      <c r="C78">
        <v>8</v>
      </c>
    </row>
    <row r="79" spans="1:3" x14ac:dyDescent="0.3">
      <c r="A79">
        <v>73193</v>
      </c>
      <c r="B79">
        <v>1</v>
      </c>
      <c r="C79">
        <v>8</v>
      </c>
    </row>
    <row r="80" spans="1:3" x14ac:dyDescent="0.3">
      <c r="A80">
        <v>78403</v>
      </c>
      <c r="B80">
        <v>1</v>
      </c>
      <c r="C80">
        <v>8</v>
      </c>
    </row>
    <row r="81" spans="1:3" x14ac:dyDescent="0.3">
      <c r="A81">
        <v>76866</v>
      </c>
      <c r="B81">
        <v>1</v>
      </c>
      <c r="C81">
        <v>8</v>
      </c>
    </row>
    <row r="82" spans="1:3" x14ac:dyDescent="0.3">
      <c r="A82">
        <v>76332</v>
      </c>
      <c r="B82">
        <v>1</v>
      </c>
      <c r="C82">
        <v>8</v>
      </c>
    </row>
    <row r="83" spans="1:3" x14ac:dyDescent="0.3">
      <c r="A83">
        <v>73915</v>
      </c>
      <c r="B83">
        <v>1</v>
      </c>
      <c r="C83">
        <v>16</v>
      </c>
    </row>
    <row r="84" spans="1:3" x14ac:dyDescent="0.3">
      <c r="A84">
        <v>72543</v>
      </c>
      <c r="B84">
        <v>1</v>
      </c>
      <c r="C84">
        <v>8</v>
      </c>
    </row>
    <row r="85" spans="1:3" x14ac:dyDescent="0.3">
      <c r="A85">
        <v>72219</v>
      </c>
      <c r="B85">
        <v>1</v>
      </c>
      <c r="C85">
        <v>8</v>
      </c>
    </row>
    <row r="86" spans="1:3" x14ac:dyDescent="0.3">
      <c r="A86">
        <v>72218</v>
      </c>
      <c r="B86">
        <v>1</v>
      </c>
      <c r="C86">
        <v>8</v>
      </c>
    </row>
    <row r="87" spans="1:3" x14ac:dyDescent="0.3">
      <c r="A87">
        <v>71800</v>
      </c>
      <c r="B87">
        <v>1</v>
      </c>
      <c r="C87">
        <v>8</v>
      </c>
    </row>
    <row r="88" spans="1:3" x14ac:dyDescent="0.3">
      <c r="A88">
        <v>70978</v>
      </c>
      <c r="B88">
        <v>1</v>
      </c>
      <c r="C88">
        <v>8</v>
      </c>
    </row>
    <row r="89" spans="1:3" x14ac:dyDescent="0.3">
      <c r="A89">
        <v>67522</v>
      </c>
      <c r="B89">
        <v>1</v>
      </c>
      <c r="C89">
        <v>8</v>
      </c>
    </row>
    <row r="90" spans="1:3" x14ac:dyDescent="0.3">
      <c r="A90">
        <v>60784</v>
      </c>
      <c r="B90">
        <v>1</v>
      </c>
      <c r="C90">
        <v>8</v>
      </c>
    </row>
    <row r="91" spans="1:3" x14ac:dyDescent="0.3">
      <c r="A91">
        <v>54552</v>
      </c>
      <c r="B91">
        <v>1</v>
      </c>
      <c r="C91">
        <v>16</v>
      </c>
    </row>
    <row r="92" spans="1:3" x14ac:dyDescent="0.3">
      <c r="A92">
        <v>50704</v>
      </c>
      <c r="B92">
        <v>1</v>
      </c>
      <c r="C92">
        <v>8</v>
      </c>
    </row>
    <row r="93" spans="1:3" x14ac:dyDescent="0.3">
      <c r="A93">
        <v>50574</v>
      </c>
      <c r="B93">
        <v>1</v>
      </c>
      <c r="C93">
        <v>8</v>
      </c>
    </row>
    <row r="94" spans="1:3" x14ac:dyDescent="0.3">
      <c r="A94">
        <v>46208</v>
      </c>
      <c r="B94">
        <v>1</v>
      </c>
      <c r="C94">
        <v>8</v>
      </c>
    </row>
    <row r="95" spans="1:3" x14ac:dyDescent="0.3">
      <c r="A95">
        <v>41407</v>
      </c>
      <c r="B95">
        <v>1</v>
      </c>
      <c r="C95">
        <v>16</v>
      </c>
    </row>
    <row r="96" spans="1:3" x14ac:dyDescent="0.3">
      <c r="A96">
        <v>75152</v>
      </c>
      <c r="B96">
        <v>1</v>
      </c>
      <c r="C96">
        <v>8</v>
      </c>
    </row>
    <row r="97" spans="1:3" x14ac:dyDescent="0.3">
      <c r="A97">
        <v>47093</v>
      </c>
      <c r="B97">
        <v>1</v>
      </c>
      <c r="C97">
        <v>16</v>
      </c>
    </row>
    <row r="98" spans="1:3" x14ac:dyDescent="0.3">
      <c r="A98">
        <v>23354</v>
      </c>
      <c r="B98">
        <v>1</v>
      </c>
      <c r="C98">
        <v>8</v>
      </c>
    </row>
    <row r="99" spans="1:3" x14ac:dyDescent="0.3">
      <c r="A99">
        <v>38647</v>
      </c>
      <c r="B99">
        <v>1</v>
      </c>
      <c r="C99">
        <v>16</v>
      </c>
    </row>
    <row r="100" spans="1:3" x14ac:dyDescent="0.3">
      <c r="A100">
        <v>72332</v>
      </c>
      <c r="B100">
        <v>1</v>
      </c>
      <c r="C100">
        <v>8</v>
      </c>
    </row>
    <row r="101" spans="1:3" x14ac:dyDescent="0.3">
      <c r="A101">
        <v>68745</v>
      </c>
      <c r="B101">
        <v>1</v>
      </c>
      <c r="C101">
        <v>8</v>
      </c>
    </row>
    <row r="102" spans="1:3" x14ac:dyDescent="0.3">
      <c r="A102">
        <v>68466</v>
      </c>
      <c r="B102">
        <v>1</v>
      </c>
      <c r="C102">
        <v>8</v>
      </c>
    </row>
    <row r="103" spans="1:3" x14ac:dyDescent="0.3">
      <c r="A103">
        <v>66600</v>
      </c>
      <c r="B103">
        <v>1</v>
      </c>
      <c r="C103">
        <v>8</v>
      </c>
    </row>
    <row r="104" spans="1:3" x14ac:dyDescent="0.3">
      <c r="A104">
        <v>17164</v>
      </c>
      <c r="B104">
        <v>1</v>
      </c>
      <c r="C104">
        <v>8</v>
      </c>
    </row>
    <row r="105" spans="1:3" x14ac:dyDescent="0.3">
      <c r="A105">
        <v>63052</v>
      </c>
      <c r="B105">
        <v>1</v>
      </c>
      <c r="C105">
        <v>8</v>
      </c>
    </row>
    <row r="106" spans="1:3" x14ac:dyDescent="0.3">
      <c r="A106">
        <v>40580</v>
      </c>
      <c r="B106">
        <v>1</v>
      </c>
      <c r="C106">
        <v>8</v>
      </c>
    </row>
    <row r="107" spans="1:3" x14ac:dyDescent="0.3">
      <c r="A107">
        <v>35161</v>
      </c>
      <c r="B107">
        <v>1</v>
      </c>
      <c r="C107">
        <v>8</v>
      </c>
    </row>
    <row r="108" spans="1:3" x14ac:dyDescent="0.3">
      <c r="A108">
        <v>32886</v>
      </c>
      <c r="B108">
        <v>1</v>
      </c>
      <c r="C108">
        <v>8</v>
      </c>
    </row>
    <row r="109" spans="1:3" x14ac:dyDescent="0.3">
      <c r="A109">
        <v>25016</v>
      </c>
      <c r="B109">
        <v>1</v>
      </c>
      <c r="C109">
        <v>8</v>
      </c>
    </row>
    <row r="110" spans="1:3" x14ac:dyDescent="0.3">
      <c r="A110">
        <v>27914</v>
      </c>
      <c r="B110">
        <v>1</v>
      </c>
      <c r="C110">
        <v>8</v>
      </c>
    </row>
    <row r="111" spans="1:3" x14ac:dyDescent="0.3">
      <c r="A111">
        <v>76864</v>
      </c>
      <c r="B111">
        <v>1</v>
      </c>
      <c r="C111">
        <v>8</v>
      </c>
    </row>
    <row r="112" spans="1:3" x14ac:dyDescent="0.3">
      <c r="A112">
        <v>14897</v>
      </c>
      <c r="B112">
        <v>1</v>
      </c>
      <c r="C112">
        <v>8</v>
      </c>
    </row>
    <row r="113" spans="1:3" x14ac:dyDescent="0.3">
      <c r="A113">
        <v>69416</v>
      </c>
      <c r="B113">
        <v>1</v>
      </c>
      <c r="C113">
        <v>8</v>
      </c>
    </row>
    <row r="114" spans="1:3" x14ac:dyDescent="0.3">
      <c r="A114">
        <v>51412</v>
      </c>
      <c r="B114">
        <v>1</v>
      </c>
      <c r="C114">
        <v>8</v>
      </c>
    </row>
    <row r="115" spans="1:3" x14ac:dyDescent="0.3">
      <c r="A115">
        <v>30149</v>
      </c>
      <c r="B115">
        <v>1</v>
      </c>
      <c r="C115">
        <v>8</v>
      </c>
    </row>
    <row r="116" spans="1:3" x14ac:dyDescent="0.3">
      <c r="A116">
        <v>78033</v>
      </c>
      <c r="B116">
        <v>1</v>
      </c>
      <c r="C116">
        <v>16</v>
      </c>
    </row>
    <row r="117" spans="1:3" x14ac:dyDescent="0.3">
      <c r="A117">
        <v>76695</v>
      </c>
      <c r="B117">
        <v>1</v>
      </c>
      <c r="C117">
        <v>8</v>
      </c>
    </row>
    <row r="118" spans="1:3" x14ac:dyDescent="0.3">
      <c r="A118">
        <v>11502</v>
      </c>
      <c r="B118">
        <v>1</v>
      </c>
      <c r="C118">
        <v>8</v>
      </c>
    </row>
    <row r="119" spans="1:3" x14ac:dyDescent="0.3">
      <c r="A119">
        <v>75147</v>
      </c>
      <c r="B119">
        <v>1</v>
      </c>
      <c r="C119">
        <v>8</v>
      </c>
    </row>
    <row r="120" spans="1:3" x14ac:dyDescent="0.3">
      <c r="A120">
        <v>71797</v>
      </c>
      <c r="B120">
        <v>1</v>
      </c>
      <c r="C120">
        <v>8</v>
      </c>
    </row>
    <row r="121" spans="1:3" x14ac:dyDescent="0.3">
      <c r="A121">
        <v>18928</v>
      </c>
      <c r="B121">
        <v>1</v>
      </c>
      <c r="C121">
        <v>8</v>
      </c>
    </row>
    <row r="122" spans="1:3" x14ac:dyDescent="0.3">
      <c r="A122">
        <v>56946</v>
      </c>
      <c r="B122">
        <v>1</v>
      </c>
      <c r="C122">
        <v>8</v>
      </c>
    </row>
    <row r="123" spans="1:3" x14ac:dyDescent="0.3">
      <c r="A123">
        <v>53622</v>
      </c>
      <c r="B123">
        <v>1</v>
      </c>
      <c r="C123">
        <v>16</v>
      </c>
    </row>
    <row r="124" spans="1:3" x14ac:dyDescent="0.3">
      <c r="A124">
        <v>53402</v>
      </c>
      <c r="B124">
        <v>1</v>
      </c>
      <c r="C124">
        <v>8</v>
      </c>
    </row>
    <row r="125" spans="1:3" x14ac:dyDescent="0.3">
      <c r="A125">
        <v>20642</v>
      </c>
      <c r="B125">
        <v>1</v>
      </c>
      <c r="C125">
        <v>8</v>
      </c>
    </row>
    <row r="126" spans="1:3" x14ac:dyDescent="0.3">
      <c r="A126">
        <v>49917</v>
      </c>
      <c r="B126">
        <v>1</v>
      </c>
      <c r="C126">
        <v>16</v>
      </c>
    </row>
    <row r="127" spans="1:3" x14ac:dyDescent="0.3">
      <c r="A127">
        <v>48093</v>
      </c>
      <c r="B127">
        <v>1</v>
      </c>
      <c r="C127">
        <v>8</v>
      </c>
    </row>
    <row r="128" spans="1:3" x14ac:dyDescent="0.3">
      <c r="A128">
        <v>41616</v>
      </c>
      <c r="B128">
        <v>1</v>
      </c>
      <c r="C128">
        <v>8</v>
      </c>
    </row>
    <row r="129" spans="1:3" x14ac:dyDescent="0.3">
      <c r="A129">
        <v>23618</v>
      </c>
      <c r="B129">
        <v>1</v>
      </c>
      <c r="C129">
        <v>8</v>
      </c>
    </row>
    <row r="130" spans="1:3" x14ac:dyDescent="0.3">
      <c r="A130">
        <v>24742</v>
      </c>
      <c r="B130">
        <v>1</v>
      </c>
      <c r="C130">
        <v>8</v>
      </c>
    </row>
    <row r="131" spans="1:3" x14ac:dyDescent="0.3">
      <c r="A131">
        <v>28945</v>
      </c>
      <c r="B131">
        <v>1</v>
      </c>
      <c r="C131">
        <v>8</v>
      </c>
    </row>
    <row r="132" spans="1:3" x14ac:dyDescent="0.3">
      <c r="A132">
        <v>49647</v>
      </c>
      <c r="B132">
        <v>1</v>
      </c>
      <c r="C132">
        <v>8</v>
      </c>
    </row>
    <row r="133" spans="1:3" x14ac:dyDescent="0.3">
      <c r="A133">
        <v>75742</v>
      </c>
      <c r="B133">
        <v>1</v>
      </c>
      <c r="C133">
        <v>8</v>
      </c>
    </row>
    <row r="134" spans="1:3" x14ac:dyDescent="0.3">
      <c r="A134">
        <v>74949</v>
      </c>
      <c r="B134">
        <v>1</v>
      </c>
      <c r="C134">
        <v>8</v>
      </c>
    </row>
    <row r="135" spans="1:3" x14ac:dyDescent="0.3">
      <c r="A135">
        <v>62965</v>
      </c>
      <c r="B135">
        <v>1</v>
      </c>
      <c r="C135">
        <v>8</v>
      </c>
    </row>
    <row r="136" spans="1:3" x14ac:dyDescent="0.3">
      <c r="A136">
        <v>59743</v>
      </c>
      <c r="B136">
        <v>1</v>
      </c>
      <c r="C136">
        <v>8</v>
      </c>
    </row>
    <row r="137" spans="1:3" x14ac:dyDescent="0.3">
      <c r="A137">
        <v>55790</v>
      </c>
      <c r="B137">
        <v>1</v>
      </c>
      <c r="C137">
        <v>8</v>
      </c>
    </row>
    <row r="138" spans="1:3" x14ac:dyDescent="0.3">
      <c r="A138">
        <v>52329</v>
      </c>
      <c r="B138">
        <v>1</v>
      </c>
      <c r="C138">
        <v>8</v>
      </c>
    </row>
    <row r="139" spans="1:3" x14ac:dyDescent="0.3">
      <c r="A139">
        <v>51915</v>
      </c>
      <c r="B139">
        <v>1</v>
      </c>
      <c r="C139">
        <v>8</v>
      </c>
    </row>
    <row r="140" spans="1:3" x14ac:dyDescent="0.3">
      <c r="A140">
        <v>51553</v>
      </c>
      <c r="B140">
        <v>1</v>
      </c>
      <c r="C140">
        <v>16</v>
      </c>
    </row>
    <row r="141" spans="1:3" x14ac:dyDescent="0.3">
      <c r="A141">
        <v>20768</v>
      </c>
      <c r="B141">
        <v>1</v>
      </c>
      <c r="C141">
        <v>8</v>
      </c>
    </row>
    <row r="142" spans="1:3" x14ac:dyDescent="0.3">
      <c r="A142">
        <v>45694</v>
      </c>
      <c r="B142">
        <v>1</v>
      </c>
      <c r="C142">
        <v>8</v>
      </c>
    </row>
    <row r="143" spans="1:3" x14ac:dyDescent="0.3">
      <c r="A143">
        <v>43670</v>
      </c>
      <c r="B143">
        <v>1</v>
      </c>
      <c r="C143">
        <v>8</v>
      </c>
    </row>
    <row r="144" spans="1:3" x14ac:dyDescent="0.3">
      <c r="A144">
        <v>41306</v>
      </c>
      <c r="B144">
        <v>1</v>
      </c>
      <c r="C144">
        <v>16</v>
      </c>
    </row>
    <row r="145" spans="1:3" x14ac:dyDescent="0.3">
      <c r="A145">
        <v>23152</v>
      </c>
      <c r="B145">
        <v>1</v>
      </c>
      <c r="C145">
        <v>8</v>
      </c>
    </row>
    <row r="146" spans="1:3" x14ac:dyDescent="0.3">
      <c r="A146">
        <v>72228</v>
      </c>
      <c r="B146">
        <v>1</v>
      </c>
      <c r="C146">
        <v>8</v>
      </c>
    </row>
    <row r="147" spans="1:3" x14ac:dyDescent="0.3">
      <c r="A147">
        <v>52714</v>
      </c>
      <c r="B147">
        <v>1</v>
      </c>
      <c r="C147">
        <v>8</v>
      </c>
    </row>
    <row r="148" spans="1:3" x14ac:dyDescent="0.3">
      <c r="A148">
        <v>52601</v>
      </c>
      <c r="B148">
        <v>1</v>
      </c>
      <c r="C148">
        <v>8</v>
      </c>
    </row>
    <row r="149" spans="1:3" x14ac:dyDescent="0.3">
      <c r="A149">
        <v>74710</v>
      </c>
      <c r="B149">
        <v>1</v>
      </c>
      <c r="C149">
        <v>16</v>
      </c>
    </row>
    <row r="150" spans="1:3" x14ac:dyDescent="0.3">
      <c r="A150">
        <v>71798</v>
      </c>
      <c r="B150">
        <v>1</v>
      </c>
      <c r="C150">
        <v>8</v>
      </c>
    </row>
    <row r="151" spans="1:3" x14ac:dyDescent="0.3">
      <c r="A151">
        <v>15500</v>
      </c>
      <c r="B151">
        <v>1</v>
      </c>
      <c r="C151">
        <v>8</v>
      </c>
    </row>
    <row r="152" spans="1:3" x14ac:dyDescent="0.3">
      <c r="A152">
        <v>68652</v>
      </c>
      <c r="B152">
        <v>1</v>
      </c>
      <c r="C152">
        <v>8</v>
      </c>
    </row>
    <row r="153" spans="1:3" x14ac:dyDescent="0.3">
      <c r="A153">
        <v>67413</v>
      </c>
      <c r="B153">
        <v>1</v>
      </c>
      <c r="C153">
        <v>8</v>
      </c>
    </row>
    <row r="154" spans="1:3" x14ac:dyDescent="0.3">
      <c r="A154">
        <v>65202</v>
      </c>
      <c r="B154">
        <v>1</v>
      </c>
      <c r="C154">
        <v>16</v>
      </c>
    </row>
    <row r="155" spans="1:3" x14ac:dyDescent="0.3">
      <c r="A155">
        <v>61333</v>
      </c>
      <c r="B155">
        <v>1</v>
      </c>
      <c r="C155">
        <v>8</v>
      </c>
    </row>
    <row r="156" spans="1:3" x14ac:dyDescent="0.3">
      <c r="A156">
        <v>58293</v>
      </c>
      <c r="B156">
        <v>1</v>
      </c>
      <c r="C156">
        <v>8</v>
      </c>
    </row>
    <row r="157" spans="1:3" x14ac:dyDescent="0.3">
      <c r="A157">
        <v>55761</v>
      </c>
      <c r="B157">
        <v>1</v>
      </c>
      <c r="C157">
        <v>8</v>
      </c>
    </row>
    <row r="158" spans="1:3" x14ac:dyDescent="0.3">
      <c r="A158">
        <v>43256</v>
      </c>
      <c r="B158">
        <v>1</v>
      </c>
      <c r="C158">
        <v>16</v>
      </c>
    </row>
    <row r="159" spans="1:3" x14ac:dyDescent="0.3">
      <c r="A159">
        <v>43004</v>
      </c>
      <c r="B159">
        <v>1</v>
      </c>
      <c r="C159">
        <v>8</v>
      </c>
    </row>
    <row r="160" spans="1:3" x14ac:dyDescent="0.3">
      <c r="A160">
        <v>38604</v>
      </c>
      <c r="B160">
        <v>1</v>
      </c>
      <c r="C160">
        <v>8</v>
      </c>
    </row>
    <row r="161" spans="1:3" x14ac:dyDescent="0.3">
      <c r="A161">
        <v>36851</v>
      </c>
      <c r="B161">
        <v>1</v>
      </c>
      <c r="C161">
        <v>8</v>
      </c>
    </row>
    <row r="162" spans="1:3" x14ac:dyDescent="0.3">
      <c r="A162">
        <v>31122</v>
      </c>
      <c r="B162">
        <v>1</v>
      </c>
      <c r="C162">
        <v>8</v>
      </c>
    </row>
    <row r="163" spans="1:3" x14ac:dyDescent="0.3">
      <c r="A163">
        <v>30285</v>
      </c>
      <c r="B163">
        <v>1</v>
      </c>
      <c r="C163">
        <v>16</v>
      </c>
    </row>
    <row r="164" spans="1:3" x14ac:dyDescent="0.3">
      <c r="A164">
        <v>30082</v>
      </c>
      <c r="B164">
        <v>1</v>
      </c>
      <c r="C164">
        <v>8</v>
      </c>
    </row>
    <row r="165" spans="1:3" x14ac:dyDescent="0.3">
      <c r="A165">
        <v>71295</v>
      </c>
      <c r="B165">
        <v>1</v>
      </c>
      <c r="C165">
        <v>8</v>
      </c>
    </row>
    <row r="166" spans="1:3" x14ac:dyDescent="0.3">
      <c r="A166">
        <v>28841</v>
      </c>
      <c r="B166">
        <v>1</v>
      </c>
      <c r="C166">
        <v>16</v>
      </c>
    </row>
    <row r="167" spans="1:3" x14ac:dyDescent="0.3">
      <c r="A167">
        <v>78067</v>
      </c>
      <c r="B167">
        <v>1</v>
      </c>
      <c r="C167">
        <v>8</v>
      </c>
    </row>
    <row r="168" spans="1:3" x14ac:dyDescent="0.3">
      <c r="A168">
        <v>75122</v>
      </c>
      <c r="B168">
        <v>1</v>
      </c>
      <c r="C168">
        <v>8</v>
      </c>
    </row>
    <row r="169" spans="1:3" x14ac:dyDescent="0.3">
      <c r="A169">
        <v>68093</v>
      </c>
      <c r="B169">
        <v>1</v>
      </c>
      <c r="C169">
        <v>8</v>
      </c>
    </row>
    <row r="170" spans="1:3" x14ac:dyDescent="0.3">
      <c r="A170">
        <v>66677</v>
      </c>
      <c r="B170">
        <v>1</v>
      </c>
      <c r="C170">
        <v>8</v>
      </c>
    </row>
    <row r="171" spans="1:3" x14ac:dyDescent="0.3">
      <c r="A171">
        <v>17568</v>
      </c>
      <c r="B171">
        <v>1</v>
      </c>
      <c r="C171">
        <v>8</v>
      </c>
    </row>
    <row r="172" spans="1:3" x14ac:dyDescent="0.3">
      <c r="A172">
        <v>59751</v>
      </c>
      <c r="B172">
        <v>1</v>
      </c>
      <c r="C172">
        <v>8</v>
      </c>
    </row>
    <row r="173" spans="1:3" x14ac:dyDescent="0.3">
      <c r="A173">
        <v>58980</v>
      </c>
      <c r="B173">
        <v>1</v>
      </c>
      <c r="C173">
        <v>16</v>
      </c>
    </row>
    <row r="174" spans="1:3" x14ac:dyDescent="0.3">
      <c r="A174">
        <v>47169</v>
      </c>
      <c r="B174">
        <v>1</v>
      </c>
      <c r="C174">
        <v>8</v>
      </c>
    </row>
    <row r="175" spans="1:3" x14ac:dyDescent="0.3">
      <c r="A175">
        <v>37531</v>
      </c>
      <c r="B175">
        <v>1</v>
      </c>
      <c r="C175">
        <v>8</v>
      </c>
    </row>
    <row r="176" spans="1:3" x14ac:dyDescent="0.3">
      <c r="A176">
        <v>34168</v>
      </c>
      <c r="B176">
        <v>1</v>
      </c>
      <c r="C176">
        <v>8</v>
      </c>
    </row>
    <row r="177" spans="1:3" x14ac:dyDescent="0.3">
      <c r="A177">
        <v>29968</v>
      </c>
      <c r="B177">
        <v>1</v>
      </c>
      <c r="C177">
        <v>8</v>
      </c>
    </row>
    <row r="178" spans="1:3" x14ac:dyDescent="0.3">
      <c r="A178">
        <v>25146</v>
      </c>
      <c r="B178">
        <v>1</v>
      </c>
      <c r="C178">
        <v>8</v>
      </c>
    </row>
    <row r="179" spans="1:3" x14ac:dyDescent="0.3">
      <c r="A179">
        <v>39215</v>
      </c>
      <c r="B179">
        <v>1</v>
      </c>
      <c r="C179">
        <v>8</v>
      </c>
    </row>
    <row r="180" spans="1:3" x14ac:dyDescent="0.3">
      <c r="A180">
        <v>30572</v>
      </c>
      <c r="B180">
        <v>1</v>
      </c>
      <c r="C180">
        <v>8</v>
      </c>
    </row>
    <row r="181" spans="1:3" x14ac:dyDescent="0.3">
      <c r="A181">
        <v>27720</v>
      </c>
      <c r="B181">
        <v>1</v>
      </c>
      <c r="C181">
        <v>16</v>
      </c>
    </row>
    <row r="182" spans="1:3" x14ac:dyDescent="0.3">
      <c r="A182">
        <v>10106</v>
      </c>
      <c r="B182">
        <v>1</v>
      </c>
      <c r="C182">
        <v>8</v>
      </c>
    </row>
    <row r="183" spans="1:3" x14ac:dyDescent="0.3">
      <c r="A183">
        <v>77834</v>
      </c>
      <c r="B183">
        <v>1</v>
      </c>
      <c r="C183">
        <v>16</v>
      </c>
    </row>
    <row r="184" spans="1:3" x14ac:dyDescent="0.3">
      <c r="A184">
        <v>77764</v>
      </c>
      <c r="B184">
        <v>1</v>
      </c>
      <c r="C184">
        <v>8</v>
      </c>
    </row>
    <row r="185" spans="1:3" x14ac:dyDescent="0.3">
      <c r="A185">
        <v>73717</v>
      </c>
      <c r="B185">
        <v>1</v>
      </c>
      <c r="C185">
        <v>16</v>
      </c>
    </row>
    <row r="186" spans="1:3" x14ac:dyDescent="0.3">
      <c r="A186">
        <v>13666</v>
      </c>
      <c r="B186">
        <v>1</v>
      </c>
      <c r="C186">
        <v>8</v>
      </c>
    </row>
    <row r="187" spans="1:3" x14ac:dyDescent="0.3">
      <c r="A187">
        <v>71078</v>
      </c>
      <c r="B187">
        <v>1</v>
      </c>
      <c r="C187">
        <v>8</v>
      </c>
    </row>
    <row r="188" spans="1:3" x14ac:dyDescent="0.3">
      <c r="A188">
        <v>15333</v>
      </c>
      <c r="B188">
        <v>1</v>
      </c>
      <c r="C188">
        <v>16</v>
      </c>
    </row>
    <row r="189" spans="1:3" x14ac:dyDescent="0.3">
      <c r="A189">
        <v>68702</v>
      </c>
      <c r="B189">
        <v>1</v>
      </c>
      <c r="C189">
        <v>8</v>
      </c>
    </row>
    <row r="190" spans="1:3" x14ac:dyDescent="0.3">
      <c r="A190">
        <v>53813</v>
      </c>
      <c r="B190">
        <v>1</v>
      </c>
      <c r="C190">
        <v>8</v>
      </c>
    </row>
    <row r="191" spans="1:3" x14ac:dyDescent="0.3">
      <c r="A191">
        <v>50575</v>
      </c>
      <c r="B191">
        <v>1</v>
      </c>
      <c r="C191">
        <v>16</v>
      </c>
    </row>
    <row r="192" spans="1:3" x14ac:dyDescent="0.3">
      <c r="A192">
        <v>49071</v>
      </c>
      <c r="B192">
        <v>1</v>
      </c>
      <c r="C192">
        <v>8</v>
      </c>
    </row>
    <row r="193" spans="1:3" x14ac:dyDescent="0.3">
      <c r="A193">
        <v>37904</v>
      </c>
      <c r="B193">
        <v>1</v>
      </c>
      <c r="C193">
        <v>8</v>
      </c>
    </row>
    <row r="194" spans="1:3" x14ac:dyDescent="0.3">
      <c r="A194">
        <v>23879</v>
      </c>
      <c r="B194">
        <v>1</v>
      </c>
      <c r="C194">
        <v>8</v>
      </c>
    </row>
    <row r="195" spans="1:3" x14ac:dyDescent="0.3">
      <c r="A195">
        <v>30293</v>
      </c>
      <c r="B195">
        <v>1</v>
      </c>
      <c r="C195">
        <v>8</v>
      </c>
    </row>
    <row r="196" spans="1:3" x14ac:dyDescent="0.3">
      <c r="A196">
        <v>30280</v>
      </c>
      <c r="B196">
        <v>1</v>
      </c>
      <c r="C196">
        <v>16</v>
      </c>
    </row>
    <row r="197" spans="1:3" x14ac:dyDescent="0.3">
      <c r="A197">
        <v>28951</v>
      </c>
      <c r="B197">
        <v>1</v>
      </c>
      <c r="C197">
        <v>8</v>
      </c>
    </row>
    <row r="198" spans="1:3" x14ac:dyDescent="0.3">
      <c r="A198">
        <v>71700</v>
      </c>
      <c r="B198">
        <v>1</v>
      </c>
      <c r="C198">
        <v>8</v>
      </c>
    </row>
    <row r="199" spans="1:3" x14ac:dyDescent="0.3">
      <c r="A199">
        <v>70443</v>
      </c>
      <c r="B199">
        <v>1</v>
      </c>
      <c r="C199">
        <v>8</v>
      </c>
    </row>
    <row r="200" spans="1:3" x14ac:dyDescent="0.3">
      <c r="A200">
        <v>68257</v>
      </c>
      <c r="B200">
        <v>1</v>
      </c>
      <c r="C200">
        <v>8</v>
      </c>
    </row>
    <row r="201" spans="1:3" x14ac:dyDescent="0.3">
      <c r="A201">
        <v>50705</v>
      </c>
      <c r="B201">
        <v>1</v>
      </c>
      <c r="C201">
        <v>8</v>
      </c>
    </row>
    <row r="202" spans="1:3" x14ac:dyDescent="0.3">
      <c r="A202">
        <v>30301</v>
      </c>
      <c r="B202">
        <v>1</v>
      </c>
      <c r="C202">
        <v>16</v>
      </c>
    </row>
    <row r="203" spans="1:3" x14ac:dyDescent="0.3">
      <c r="A203">
        <v>76945</v>
      </c>
      <c r="B203">
        <v>1</v>
      </c>
      <c r="C203">
        <v>8</v>
      </c>
    </row>
    <row r="204" spans="1:3" x14ac:dyDescent="0.3">
      <c r="A204">
        <v>75483</v>
      </c>
      <c r="B204">
        <v>1</v>
      </c>
      <c r="C204">
        <v>8</v>
      </c>
    </row>
    <row r="205" spans="1:3" x14ac:dyDescent="0.3">
      <c r="A205">
        <v>68420</v>
      </c>
      <c r="B205">
        <v>1</v>
      </c>
      <c r="C205">
        <v>8</v>
      </c>
    </row>
    <row r="206" spans="1:3" x14ac:dyDescent="0.3">
      <c r="A206">
        <v>66173</v>
      </c>
      <c r="B206">
        <v>1</v>
      </c>
      <c r="C206">
        <v>8</v>
      </c>
    </row>
    <row r="207" spans="1:3" x14ac:dyDescent="0.3">
      <c r="A207">
        <v>18078</v>
      </c>
      <c r="B207">
        <v>1</v>
      </c>
      <c r="C207">
        <v>8</v>
      </c>
    </row>
    <row r="208" spans="1:3" x14ac:dyDescent="0.3">
      <c r="A208">
        <v>58378</v>
      </c>
      <c r="B208">
        <v>1</v>
      </c>
      <c r="C208">
        <v>8</v>
      </c>
    </row>
    <row r="209" spans="1:3" x14ac:dyDescent="0.3">
      <c r="A209">
        <v>55055</v>
      </c>
      <c r="B209">
        <v>1</v>
      </c>
      <c r="C209">
        <v>8</v>
      </c>
    </row>
    <row r="210" spans="1:3" x14ac:dyDescent="0.3">
      <c r="A210">
        <v>54715</v>
      </c>
      <c r="B210">
        <v>1</v>
      </c>
      <c r="C210">
        <v>8</v>
      </c>
    </row>
    <row r="211" spans="1:3" x14ac:dyDescent="0.3">
      <c r="A211">
        <v>50059</v>
      </c>
      <c r="B211">
        <v>1</v>
      </c>
      <c r="C211">
        <v>8</v>
      </c>
    </row>
    <row r="212" spans="1:3" x14ac:dyDescent="0.3">
      <c r="A212">
        <v>49070</v>
      </c>
      <c r="B212">
        <v>1</v>
      </c>
      <c r="C212">
        <v>16</v>
      </c>
    </row>
    <row r="213" spans="1:3" x14ac:dyDescent="0.3">
      <c r="A213">
        <v>46824</v>
      </c>
      <c r="B213">
        <v>1</v>
      </c>
      <c r="C213">
        <v>8</v>
      </c>
    </row>
    <row r="214" spans="1:3" x14ac:dyDescent="0.3">
      <c r="A214">
        <v>45887</v>
      </c>
      <c r="B214">
        <v>1</v>
      </c>
      <c r="C214">
        <v>8</v>
      </c>
    </row>
    <row r="215" spans="1:3" x14ac:dyDescent="0.3">
      <c r="A215">
        <v>42911</v>
      </c>
      <c r="B215">
        <v>1</v>
      </c>
      <c r="C215">
        <v>8</v>
      </c>
    </row>
    <row r="216" spans="1:3" x14ac:dyDescent="0.3">
      <c r="A216">
        <v>42694</v>
      </c>
      <c r="B216">
        <v>1</v>
      </c>
      <c r="C216">
        <v>8</v>
      </c>
    </row>
    <row r="217" spans="1:3" x14ac:dyDescent="0.3">
      <c r="A217">
        <v>70985</v>
      </c>
      <c r="B217">
        <v>1</v>
      </c>
      <c r="C217">
        <v>8</v>
      </c>
    </row>
    <row r="218" spans="1:3" x14ac:dyDescent="0.3">
      <c r="A218">
        <v>39437</v>
      </c>
      <c r="B218">
        <v>1</v>
      </c>
      <c r="C218">
        <v>16</v>
      </c>
    </row>
    <row r="219" spans="1:3" x14ac:dyDescent="0.3">
      <c r="A219">
        <v>39131</v>
      </c>
      <c r="B219">
        <v>1</v>
      </c>
      <c r="C219">
        <v>16</v>
      </c>
    </row>
    <row r="220" spans="1:3" x14ac:dyDescent="0.3">
      <c r="A220">
        <v>28242</v>
      </c>
      <c r="B220">
        <v>1</v>
      </c>
      <c r="C220">
        <v>16</v>
      </c>
    </row>
    <row r="221" spans="1:3" x14ac:dyDescent="0.3">
      <c r="A221">
        <v>12110</v>
      </c>
      <c r="B221">
        <v>1</v>
      </c>
      <c r="C221">
        <v>8</v>
      </c>
    </row>
    <row r="222" spans="1:3" x14ac:dyDescent="0.3">
      <c r="A222">
        <v>67411</v>
      </c>
      <c r="B222">
        <v>1</v>
      </c>
      <c r="C222">
        <v>8</v>
      </c>
    </row>
    <row r="223" spans="1:3" x14ac:dyDescent="0.3">
      <c r="A223">
        <v>19436</v>
      </c>
      <c r="B223">
        <v>1</v>
      </c>
      <c r="C223">
        <v>8</v>
      </c>
    </row>
    <row r="224" spans="1:3" x14ac:dyDescent="0.3">
      <c r="A224">
        <v>49746</v>
      </c>
      <c r="B224">
        <v>1</v>
      </c>
      <c r="C224">
        <v>8</v>
      </c>
    </row>
    <row r="225" spans="1:3" x14ac:dyDescent="0.3">
      <c r="A225">
        <v>45583</v>
      </c>
      <c r="B225">
        <v>1</v>
      </c>
      <c r="C225">
        <v>8</v>
      </c>
    </row>
    <row r="226" spans="1:3" x14ac:dyDescent="0.3">
      <c r="A226">
        <v>42358</v>
      </c>
      <c r="B226">
        <v>1</v>
      </c>
      <c r="C226">
        <v>8</v>
      </c>
    </row>
    <row r="227" spans="1:3" x14ac:dyDescent="0.3">
      <c r="A227">
        <v>37784</v>
      </c>
      <c r="B227">
        <v>1</v>
      </c>
      <c r="C227">
        <v>16</v>
      </c>
    </row>
    <row r="228" spans="1:3" x14ac:dyDescent="0.3">
      <c r="A228">
        <v>27984</v>
      </c>
      <c r="B228">
        <v>1</v>
      </c>
      <c r="C228">
        <v>8</v>
      </c>
    </row>
    <row r="229" spans="1:3" x14ac:dyDescent="0.3">
      <c r="A229">
        <v>43723</v>
      </c>
      <c r="B229">
        <v>1</v>
      </c>
      <c r="C229">
        <v>8</v>
      </c>
    </row>
    <row r="230" spans="1:3" x14ac:dyDescent="0.3">
      <c r="A230">
        <v>32927</v>
      </c>
      <c r="B230">
        <v>1</v>
      </c>
      <c r="C230">
        <v>8</v>
      </c>
    </row>
    <row r="231" spans="1:3" x14ac:dyDescent="0.3">
      <c r="A231">
        <v>77125</v>
      </c>
      <c r="B231">
        <v>1</v>
      </c>
      <c r="C231">
        <v>8</v>
      </c>
    </row>
    <row r="232" spans="1:3" x14ac:dyDescent="0.3">
      <c r="A232">
        <v>73441</v>
      </c>
      <c r="B232">
        <v>1</v>
      </c>
      <c r="C232">
        <v>8</v>
      </c>
    </row>
    <row r="233" spans="1:3" x14ac:dyDescent="0.3">
      <c r="A233">
        <v>73350</v>
      </c>
      <c r="B233">
        <v>1</v>
      </c>
      <c r="C233">
        <v>8</v>
      </c>
    </row>
    <row r="234" spans="1:3" x14ac:dyDescent="0.3">
      <c r="A234">
        <v>69762</v>
      </c>
      <c r="B234">
        <v>1</v>
      </c>
      <c r="C234">
        <v>8</v>
      </c>
    </row>
    <row r="235" spans="1:3" x14ac:dyDescent="0.3">
      <c r="A235">
        <v>66617</v>
      </c>
      <c r="B235">
        <v>1</v>
      </c>
      <c r="C235">
        <v>8</v>
      </c>
    </row>
    <row r="236" spans="1:3" x14ac:dyDescent="0.3">
      <c r="A236">
        <v>15717</v>
      </c>
      <c r="B236">
        <v>1</v>
      </c>
      <c r="C236">
        <v>8</v>
      </c>
    </row>
    <row r="237" spans="1:3" x14ac:dyDescent="0.3">
      <c r="A237">
        <v>64510</v>
      </c>
      <c r="B237">
        <v>1</v>
      </c>
      <c r="C237">
        <v>8</v>
      </c>
    </row>
    <row r="238" spans="1:3" x14ac:dyDescent="0.3">
      <c r="A238">
        <v>62619</v>
      </c>
      <c r="B238">
        <v>1</v>
      </c>
      <c r="C238">
        <v>8</v>
      </c>
    </row>
    <row r="239" spans="1:3" x14ac:dyDescent="0.3">
      <c r="A239">
        <v>51332</v>
      </c>
      <c r="B239">
        <v>1</v>
      </c>
      <c r="C239">
        <v>8</v>
      </c>
    </row>
    <row r="240" spans="1:3" x14ac:dyDescent="0.3">
      <c r="A240">
        <v>47069</v>
      </c>
      <c r="B240">
        <v>1</v>
      </c>
      <c r="C240">
        <v>8</v>
      </c>
    </row>
    <row r="241" spans="1:3" x14ac:dyDescent="0.3">
      <c r="A241">
        <v>37448</v>
      </c>
      <c r="B241">
        <v>1</v>
      </c>
      <c r="C241">
        <v>8</v>
      </c>
    </row>
    <row r="242" spans="1:3" x14ac:dyDescent="0.3">
      <c r="A242">
        <v>20612</v>
      </c>
      <c r="B242">
        <v>1</v>
      </c>
      <c r="C242">
        <v>8</v>
      </c>
    </row>
    <row r="243" spans="1:3" x14ac:dyDescent="0.3">
      <c r="A243">
        <v>77049</v>
      </c>
      <c r="B243">
        <v>1</v>
      </c>
      <c r="C243">
        <v>8</v>
      </c>
    </row>
    <row r="244" spans="1:3" x14ac:dyDescent="0.3">
      <c r="A244">
        <v>75154</v>
      </c>
      <c r="B244">
        <v>1</v>
      </c>
      <c r="C244">
        <v>8</v>
      </c>
    </row>
    <row r="245" spans="1:3" x14ac:dyDescent="0.3">
      <c r="A245">
        <v>68882</v>
      </c>
      <c r="B245">
        <v>1</v>
      </c>
      <c r="C245">
        <v>8</v>
      </c>
    </row>
    <row r="246" spans="1:3" x14ac:dyDescent="0.3">
      <c r="A246">
        <v>67471</v>
      </c>
      <c r="B246">
        <v>1</v>
      </c>
      <c r="C246">
        <v>8</v>
      </c>
    </row>
    <row r="247" spans="1:3" x14ac:dyDescent="0.3">
      <c r="A247">
        <v>61109</v>
      </c>
      <c r="B247">
        <v>1</v>
      </c>
      <c r="C247">
        <v>8</v>
      </c>
    </row>
    <row r="248" spans="1:3" x14ac:dyDescent="0.3">
      <c r="A248">
        <v>58472</v>
      </c>
      <c r="B248">
        <v>1</v>
      </c>
      <c r="C248">
        <v>16</v>
      </c>
    </row>
    <row r="249" spans="1:3" x14ac:dyDescent="0.3">
      <c r="A249">
        <v>56908</v>
      </c>
      <c r="B249">
        <v>1</v>
      </c>
      <c r="C249">
        <v>16</v>
      </c>
    </row>
    <row r="250" spans="1:3" x14ac:dyDescent="0.3">
      <c r="A250">
        <v>49302</v>
      </c>
      <c r="B250">
        <v>1</v>
      </c>
      <c r="C250">
        <v>16</v>
      </c>
    </row>
    <row r="251" spans="1:3" x14ac:dyDescent="0.3">
      <c r="A251">
        <v>47362</v>
      </c>
      <c r="B251">
        <v>1</v>
      </c>
      <c r="C251">
        <v>8</v>
      </c>
    </row>
    <row r="252" spans="1:3" x14ac:dyDescent="0.3">
      <c r="A252">
        <v>21960</v>
      </c>
      <c r="B252">
        <v>1</v>
      </c>
      <c r="C252">
        <v>16</v>
      </c>
    </row>
    <row r="253" spans="1:3" x14ac:dyDescent="0.3">
      <c r="A253">
        <v>45585</v>
      </c>
      <c r="B253">
        <v>1</v>
      </c>
      <c r="C253">
        <v>16</v>
      </c>
    </row>
    <row r="254" spans="1:3" x14ac:dyDescent="0.3">
      <c r="A254">
        <v>36212</v>
      </c>
      <c r="B254">
        <v>1</v>
      </c>
      <c r="C254">
        <v>8</v>
      </c>
    </row>
    <row r="255" spans="1:3" x14ac:dyDescent="0.3">
      <c r="A255">
        <v>35150</v>
      </c>
      <c r="B255">
        <v>1</v>
      </c>
      <c r="C255">
        <v>8</v>
      </c>
    </row>
    <row r="256" spans="1:3" x14ac:dyDescent="0.3">
      <c r="A256">
        <v>28793</v>
      </c>
      <c r="B256">
        <v>1</v>
      </c>
      <c r="C256">
        <v>8</v>
      </c>
    </row>
    <row r="257" spans="1:3" x14ac:dyDescent="0.3">
      <c r="A257">
        <v>73793</v>
      </c>
      <c r="B257">
        <v>1</v>
      </c>
      <c r="C257">
        <v>8</v>
      </c>
    </row>
    <row r="258" spans="1:3" x14ac:dyDescent="0.3">
      <c r="A258">
        <v>68453</v>
      </c>
      <c r="B258">
        <v>1</v>
      </c>
      <c r="C258">
        <v>8</v>
      </c>
    </row>
    <row r="259" spans="1:3" x14ac:dyDescent="0.3">
      <c r="A259">
        <v>59103</v>
      </c>
      <c r="B259">
        <v>1</v>
      </c>
      <c r="C259">
        <v>8</v>
      </c>
    </row>
    <row r="260" spans="1:3" x14ac:dyDescent="0.3">
      <c r="A260">
        <v>50310</v>
      </c>
      <c r="B260">
        <v>1</v>
      </c>
      <c r="C260">
        <v>8</v>
      </c>
    </row>
    <row r="261" spans="1:3" x14ac:dyDescent="0.3">
      <c r="A261">
        <v>76498</v>
      </c>
      <c r="B261">
        <v>1</v>
      </c>
      <c r="C261">
        <v>8</v>
      </c>
    </row>
    <row r="262" spans="1:3" x14ac:dyDescent="0.3">
      <c r="A262">
        <v>75300</v>
      </c>
      <c r="B262">
        <v>1</v>
      </c>
      <c r="C262">
        <v>8</v>
      </c>
    </row>
    <row r="263" spans="1:3" x14ac:dyDescent="0.3">
      <c r="A263">
        <v>74394</v>
      </c>
      <c r="B263">
        <v>1</v>
      </c>
      <c r="C263">
        <v>8</v>
      </c>
    </row>
    <row r="264" spans="1:3" x14ac:dyDescent="0.3">
      <c r="A264">
        <v>73742</v>
      </c>
      <c r="B264">
        <v>1</v>
      </c>
      <c r="C264">
        <v>8</v>
      </c>
    </row>
    <row r="265" spans="1:3" x14ac:dyDescent="0.3">
      <c r="A265">
        <v>72743</v>
      </c>
      <c r="B265">
        <v>1</v>
      </c>
      <c r="C265">
        <v>8</v>
      </c>
    </row>
    <row r="266" spans="1:3" x14ac:dyDescent="0.3">
      <c r="A266">
        <v>72657</v>
      </c>
      <c r="B266">
        <v>1</v>
      </c>
      <c r="C266">
        <v>8</v>
      </c>
    </row>
    <row r="267" spans="1:3" x14ac:dyDescent="0.3">
      <c r="A267">
        <v>14389</v>
      </c>
      <c r="B267">
        <v>1</v>
      </c>
      <c r="C267">
        <v>8</v>
      </c>
    </row>
    <row r="268" spans="1:3" x14ac:dyDescent="0.3">
      <c r="A268">
        <v>67637</v>
      </c>
      <c r="B268">
        <v>1</v>
      </c>
      <c r="C268">
        <v>8</v>
      </c>
    </row>
    <row r="269" spans="1:3" x14ac:dyDescent="0.3">
      <c r="A269">
        <v>61528</v>
      </c>
      <c r="B269">
        <v>1</v>
      </c>
      <c r="C269">
        <v>8</v>
      </c>
    </row>
    <row r="270" spans="1:3" x14ac:dyDescent="0.3">
      <c r="A270">
        <v>47158</v>
      </c>
      <c r="B270">
        <v>1</v>
      </c>
      <c r="C270">
        <v>8</v>
      </c>
    </row>
    <row r="271" spans="1:3" x14ac:dyDescent="0.3">
      <c r="A271">
        <v>43232</v>
      </c>
      <c r="B271">
        <v>1</v>
      </c>
      <c r="C271">
        <v>8</v>
      </c>
    </row>
    <row r="272" spans="1:3" x14ac:dyDescent="0.3">
      <c r="A272">
        <v>39046</v>
      </c>
      <c r="B272">
        <v>1</v>
      </c>
      <c r="C272">
        <v>8</v>
      </c>
    </row>
    <row r="273" spans="1:3" x14ac:dyDescent="0.3">
      <c r="A273">
        <v>37197</v>
      </c>
      <c r="B273">
        <v>1</v>
      </c>
      <c r="C273">
        <v>8</v>
      </c>
    </row>
    <row r="274" spans="1:3" x14ac:dyDescent="0.3">
      <c r="A274">
        <v>37024</v>
      </c>
      <c r="B274">
        <v>1</v>
      </c>
      <c r="C274">
        <v>8</v>
      </c>
    </row>
    <row r="275" spans="1:3" x14ac:dyDescent="0.3">
      <c r="A275">
        <v>34827</v>
      </c>
      <c r="B275">
        <v>1</v>
      </c>
      <c r="C275">
        <v>8</v>
      </c>
    </row>
    <row r="276" spans="1:3" x14ac:dyDescent="0.3">
      <c r="A276">
        <v>73421</v>
      </c>
      <c r="B276">
        <v>1</v>
      </c>
      <c r="C276">
        <v>8</v>
      </c>
    </row>
    <row r="277" spans="1:3" x14ac:dyDescent="0.3">
      <c r="A277">
        <v>57660</v>
      </c>
      <c r="B277">
        <v>1</v>
      </c>
      <c r="C277">
        <v>8</v>
      </c>
    </row>
    <row r="278" spans="1:3" x14ac:dyDescent="0.3">
      <c r="A278">
        <v>19730</v>
      </c>
      <c r="B278">
        <v>1</v>
      </c>
      <c r="C278">
        <v>8</v>
      </c>
    </row>
    <row r="279" spans="1:3" x14ac:dyDescent="0.3">
      <c r="A279">
        <v>49191</v>
      </c>
      <c r="B279">
        <v>1</v>
      </c>
      <c r="C279">
        <v>8</v>
      </c>
    </row>
    <row r="280" spans="1:3" x14ac:dyDescent="0.3">
      <c r="A280">
        <v>37707</v>
      </c>
      <c r="B280">
        <v>1</v>
      </c>
      <c r="C280">
        <v>8</v>
      </c>
    </row>
    <row r="281" spans="1:3" x14ac:dyDescent="0.3">
      <c r="A281">
        <v>10314</v>
      </c>
      <c r="B281">
        <v>1</v>
      </c>
      <c r="C281">
        <v>16</v>
      </c>
    </row>
    <row r="282" spans="1:3" x14ac:dyDescent="0.3">
      <c r="A282">
        <v>74399</v>
      </c>
      <c r="B282">
        <v>1</v>
      </c>
      <c r="C282">
        <v>8</v>
      </c>
    </row>
    <row r="283" spans="1:3" x14ac:dyDescent="0.3">
      <c r="A283">
        <v>14950</v>
      </c>
      <c r="B283">
        <v>1</v>
      </c>
      <c r="C283">
        <v>8</v>
      </c>
    </row>
    <row r="284" spans="1:3" x14ac:dyDescent="0.3">
      <c r="A284">
        <v>68111</v>
      </c>
      <c r="B284">
        <v>1</v>
      </c>
      <c r="C284">
        <v>8</v>
      </c>
    </row>
    <row r="285" spans="1:3" x14ac:dyDescent="0.3">
      <c r="A285">
        <v>63729</v>
      </c>
      <c r="B285">
        <v>1</v>
      </c>
      <c r="C285">
        <v>16</v>
      </c>
    </row>
    <row r="286" spans="1:3" x14ac:dyDescent="0.3">
      <c r="A286">
        <v>58483</v>
      </c>
      <c r="B286">
        <v>1</v>
      </c>
      <c r="C286">
        <v>8</v>
      </c>
    </row>
    <row r="287" spans="1:3" x14ac:dyDescent="0.3">
      <c r="A287">
        <v>49301</v>
      </c>
      <c r="B287">
        <v>1</v>
      </c>
      <c r="C287">
        <v>8</v>
      </c>
    </row>
    <row r="288" spans="1:3" x14ac:dyDescent="0.3">
      <c r="A288">
        <v>49189</v>
      </c>
      <c r="B288">
        <v>1</v>
      </c>
      <c r="C288">
        <v>16</v>
      </c>
    </row>
    <row r="289" spans="1:3" x14ac:dyDescent="0.3">
      <c r="A289">
        <v>41622</v>
      </c>
      <c r="B289">
        <v>1</v>
      </c>
      <c r="C289">
        <v>8</v>
      </c>
    </row>
    <row r="290" spans="1:3" x14ac:dyDescent="0.3">
      <c r="A290">
        <v>34786</v>
      </c>
      <c r="B290">
        <v>1</v>
      </c>
      <c r="C290">
        <v>8</v>
      </c>
    </row>
    <row r="291" spans="1:3" x14ac:dyDescent="0.3">
      <c r="A291">
        <v>31351</v>
      </c>
      <c r="B291">
        <v>1</v>
      </c>
      <c r="C291">
        <v>8</v>
      </c>
    </row>
    <row r="292" spans="1:3" x14ac:dyDescent="0.3">
      <c r="A292">
        <v>78235</v>
      </c>
      <c r="B292">
        <v>1</v>
      </c>
      <c r="C292">
        <v>8</v>
      </c>
    </row>
    <row r="293" spans="1:3" x14ac:dyDescent="0.3">
      <c r="A293">
        <v>76880</v>
      </c>
      <c r="B293">
        <v>1</v>
      </c>
      <c r="C293">
        <v>8</v>
      </c>
    </row>
    <row r="294" spans="1:3" x14ac:dyDescent="0.3">
      <c r="A294">
        <v>71055</v>
      </c>
      <c r="B294">
        <v>1</v>
      </c>
      <c r="C294">
        <v>8</v>
      </c>
    </row>
    <row r="295" spans="1:3" x14ac:dyDescent="0.3">
      <c r="A295">
        <v>68675</v>
      </c>
      <c r="B295">
        <v>1</v>
      </c>
      <c r="C295">
        <v>8</v>
      </c>
    </row>
    <row r="296" spans="1:3" x14ac:dyDescent="0.3">
      <c r="A296">
        <v>67518</v>
      </c>
      <c r="B296">
        <v>1</v>
      </c>
      <c r="C296">
        <v>8</v>
      </c>
    </row>
    <row r="297" spans="1:3" x14ac:dyDescent="0.3">
      <c r="A297">
        <v>66343</v>
      </c>
      <c r="B297">
        <v>1</v>
      </c>
      <c r="C297">
        <v>8</v>
      </c>
    </row>
    <row r="298" spans="1:3" x14ac:dyDescent="0.3">
      <c r="A298">
        <v>62128</v>
      </c>
      <c r="B298">
        <v>1</v>
      </c>
      <c r="C298">
        <v>8</v>
      </c>
    </row>
    <row r="299" spans="1:3" x14ac:dyDescent="0.3">
      <c r="A299">
        <v>61920</v>
      </c>
      <c r="B299">
        <v>1</v>
      </c>
      <c r="C299">
        <v>8</v>
      </c>
    </row>
    <row r="300" spans="1:3" x14ac:dyDescent="0.3">
      <c r="A300">
        <v>55499</v>
      </c>
      <c r="B300">
        <v>1</v>
      </c>
      <c r="C300">
        <v>8</v>
      </c>
    </row>
    <row r="301" spans="1:3" x14ac:dyDescent="0.3">
      <c r="A301">
        <v>47779</v>
      </c>
      <c r="B301">
        <v>1</v>
      </c>
      <c r="C301">
        <v>8</v>
      </c>
    </row>
    <row r="302" spans="1:3" x14ac:dyDescent="0.3">
      <c r="A302">
        <v>37808</v>
      </c>
      <c r="B302">
        <v>1</v>
      </c>
      <c r="C302">
        <v>16</v>
      </c>
    </row>
    <row r="303" spans="1:3" x14ac:dyDescent="0.3">
      <c r="A303">
        <v>37521</v>
      </c>
      <c r="B303">
        <v>1</v>
      </c>
      <c r="C303">
        <v>8</v>
      </c>
    </row>
    <row r="304" spans="1:3" x14ac:dyDescent="0.3">
      <c r="A304">
        <v>35778</v>
      </c>
      <c r="B304">
        <v>1</v>
      </c>
      <c r="C304">
        <v>8</v>
      </c>
    </row>
    <row r="305" spans="1:3" x14ac:dyDescent="0.3">
      <c r="A305">
        <v>34829</v>
      </c>
      <c r="B305">
        <v>1</v>
      </c>
      <c r="C305">
        <v>8</v>
      </c>
    </row>
    <row r="306" spans="1:3" x14ac:dyDescent="0.3">
      <c r="A306">
        <v>31505</v>
      </c>
      <c r="B306">
        <v>1</v>
      </c>
      <c r="C306">
        <v>8</v>
      </c>
    </row>
    <row r="307" spans="1:3" x14ac:dyDescent="0.3">
      <c r="A307">
        <v>74190</v>
      </c>
      <c r="B307">
        <v>1</v>
      </c>
      <c r="C307">
        <v>8</v>
      </c>
    </row>
    <row r="308" spans="1:3" x14ac:dyDescent="0.3">
      <c r="A308">
        <v>21689</v>
      </c>
      <c r="B308">
        <v>1</v>
      </c>
      <c r="C308">
        <v>16</v>
      </c>
    </row>
    <row r="309" spans="1:3" x14ac:dyDescent="0.3">
      <c r="A309">
        <v>37708</v>
      </c>
      <c r="B309">
        <v>1</v>
      </c>
      <c r="C309">
        <v>8</v>
      </c>
    </row>
    <row r="310" spans="1:3" x14ac:dyDescent="0.3">
      <c r="A310">
        <v>29138</v>
      </c>
      <c r="B310">
        <v>1</v>
      </c>
      <c r="C310">
        <v>8</v>
      </c>
    </row>
    <row r="311" spans="1:3" x14ac:dyDescent="0.3">
      <c r="A311">
        <v>74176</v>
      </c>
      <c r="B311">
        <v>1</v>
      </c>
      <c r="C311">
        <v>8</v>
      </c>
    </row>
    <row r="312" spans="1:3" x14ac:dyDescent="0.3">
      <c r="A312">
        <v>72217</v>
      </c>
      <c r="B312">
        <v>1</v>
      </c>
      <c r="C312">
        <v>8</v>
      </c>
    </row>
    <row r="313" spans="1:3" x14ac:dyDescent="0.3">
      <c r="A313">
        <v>15607</v>
      </c>
      <c r="B313">
        <v>1</v>
      </c>
      <c r="C313">
        <v>8</v>
      </c>
    </row>
    <row r="314" spans="1:3" x14ac:dyDescent="0.3">
      <c r="A314">
        <v>17946</v>
      </c>
      <c r="B314">
        <v>1</v>
      </c>
      <c r="C314">
        <v>8</v>
      </c>
    </row>
    <row r="315" spans="1:3" x14ac:dyDescent="0.3">
      <c r="A315">
        <v>19123</v>
      </c>
      <c r="B315">
        <v>1</v>
      </c>
      <c r="C315">
        <v>8</v>
      </c>
    </row>
    <row r="316" spans="1:3" x14ac:dyDescent="0.3">
      <c r="A316">
        <v>53159</v>
      </c>
      <c r="B316">
        <v>1</v>
      </c>
      <c r="C316">
        <v>8</v>
      </c>
    </row>
    <row r="317" spans="1:3" x14ac:dyDescent="0.3">
      <c r="A317">
        <v>51581</v>
      </c>
      <c r="B317">
        <v>1</v>
      </c>
      <c r="C317">
        <v>8</v>
      </c>
    </row>
    <row r="318" spans="1:3" x14ac:dyDescent="0.3">
      <c r="A318">
        <v>38226</v>
      </c>
      <c r="B318">
        <v>1</v>
      </c>
      <c r="C318">
        <v>8</v>
      </c>
    </row>
    <row r="319" spans="1:3" x14ac:dyDescent="0.3">
      <c r="A319">
        <v>37698</v>
      </c>
      <c r="B319">
        <v>1</v>
      </c>
      <c r="C319">
        <v>16</v>
      </c>
    </row>
    <row r="320" spans="1:3" x14ac:dyDescent="0.3">
      <c r="A320">
        <v>31007</v>
      </c>
      <c r="B320">
        <v>1</v>
      </c>
      <c r="C320">
        <v>8</v>
      </c>
    </row>
    <row r="321" spans="1:3" x14ac:dyDescent="0.3">
      <c r="A321">
        <v>68333</v>
      </c>
      <c r="B321">
        <v>1</v>
      </c>
      <c r="C321">
        <v>8</v>
      </c>
    </row>
    <row r="322" spans="1:3" x14ac:dyDescent="0.3">
      <c r="A322">
        <v>67718</v>
      </c>
      <c r="B322">
        <v>1</v>
      </c>
      <c r="C322">
        <v>8</v>
      </c>
    </row>
    <row r="323" spans="1:3" x14ac:dyDescent="0.3">
      <c r="A323">
        <v>19843</v>
      </c>
      <c r="B323">
        <v>1</v>
      </c>
      <c r="C323">
        <v>8</v>
      </c>
    </row>
    <row r="324" spans="1:3" x14ac:dyDescent="0.3">
      <c r="A324">
        <v>39465</v>
      </c>
      <c r="B324">
        <v>1</v>
      </c>
      <c r="C324">
        <v>16</v>
      </c>
    </row>
    <row r="325" spans="1:3" x14ac:dyDescent="0.3">
      <c r="A325">
        <v>35708</v>
      </c>
      <c r="B325">
        <v>1</v>
      </c>
      <c r="C325">
        <v>16</v>
      </c>
    </row>
    <row r="326" spans="1:3" x14ac:dyDescent="0.3">
      <c r="A326">
        <v>74067</v>
      </c>
      <c r="B326">
        <v>1</v>
      </c>
      <c r="C326">
        <v>8</v>
      </c>
    </row>
    <row r="327" spans="1:3" x14ac:dyDescent="0.3">
      <c r="A327">
        <v>73693</v>
      </c>
      <c r="B327">
        <v>1</v>
      </c>
      <c r="C327">
        <v>8</v>
      </c>
    </row>
    <row r="328" spans="1:3" x14ac:dyDescent="0.3">
      <c r="A328">
        <v>13160</v>
      </c>
      <c r="B328">
        <v>1</v>
      </c>
      <c r="C328">
        <v>8</v>
      </c>
    </row>
    <row r="329" spans="1:3" x14ac:dyDescent="0.3">
      <c r="A329">
        <v>67635</v>
      </c>
      <c r="B329">
        <v>1</v>
      </c>
      <c r="C329">
        <v>8</v>
      </c>
    </row>
    <row r="330" spans="1:3" x14ac:dyDescent="0.3">
      <c r="A330">
        <v>17718</v>
      </c>
      <c r="B330">
        <v>1</v>
      </c>
      <c r="C330">
        <v>8</v>
      </c>
    </row>
    <row r="331" spans="1:3" x14ac:dyDescent="0.3">
      <c r="A331">
        <v>60738</v>
      </c>
      <c r="B331">
        <v>1</v>
      </c>
      <c r="C331">
        <v>8</v>
      </c>
    </row>
    <row r="332" spans="1:3" x14ac:dyDescent="0.3">
      <c r="A332">
        <v>19004</v>
      </c>
      <c r="B332">
        <v>1</v>
      </c>
      <c r="C332">
        <v>8</v>
      </c>
    </row>
    <row r="333" spans="1:3" x14ac:dyDescent="0.3">
      <c r="A333">
        <v>50936</v>
      </c>
      <c r="B333">
        <v>1</v>
      </c>
      <c r="C333">
        <v>8</v>
      </c>
    </row>
    <row r="334" spans="1:3" x14ac:dyDescent="0.3">
      <c r="A334">
        <v>49460</v>
      </c>
      <c r="B334">
        <v>1</v>
      </c>
      <c r="C334">
        <v>8</v>
      </c>
    </row>
    <row r="335" spans="1:3" x14ac:dyDescent="0.3">
      <c r="A335">
        <v>32425</v>
      </c>
      <c r="B335">
        <v>1</v>
      </c>
      <c r="C335">
        <v>8</v>
      </c>
    </row>
    <row r="336" spans="1:3" x14ac:dyDescent="0.3">
      <c r="A336">
        <v>31745</v>
      </c>
      <c r="B336">
        <v>1</v>
      </c>
      <c r="C336">
        <v>8</v>
      </c>
    </row>
    <row r="337" spans="1:3" x14ac:dyDescent="0.3">
      <c r="A337">
        <v>30455</v>
      </c>
      <c r="B337">
        <v>1</v>
      </c>
      <c r="C337">
        <v>16</v>
      </c>
    </row>
    <row r="338" spans="1:3" x14ac:dyDescent="0.3">
      <c r="A338">
        <v>76623</v>
      </c>
      <c r="B338">
        <v>1</v>
      </c>
      <c r="C338">
        <v>8</v>
      </c>
    </row>
    <row r="339" spans="1:3" x14ac:dyDescent="0.3">
      <c r="A339">
        <v>75399</v>
      </c>
      <c r="B339">
        <v>1</v>
      </c>
      <c r="C339">
        <v>8</v>
      </c>
    </row>
    <row r="340" spans="1:3" x14ac:dyDescent="0.3">
      <c r="A340">
        <v>52216</v>
      </c>
      <c r="B340">
        <v>1</v>
      </c>
      <c r="C340">
        <v>8</v>
      </c>
    </row>
    <row r="341" spans="1:3" x14ac:dyDescent="0.3">
      <c r="A341">
        <v>37125</v>
      </c>
      <c r="B341">
        <v>1</v>
      </c>
      <c r="C341">
        <v>16</v>
      </c>
    </row>
    <row r="342" spans="1:3" x14ac:dyDescent="0.3">
      <c r="A342">
        <v>78404</v>
      </c>
      <c r="B342">
        <v>1</v>
      </c>
      <c r="C342">
        <v>8</v>
      </c>
    </row>
    <row r="343" spans="1:3" x14ac:dyDescent="0.3">
      <c r="A343">
        <v>76694</v>
      </c>
      <c r="B343">
        <v>1</v>
      </c>
      <c r="C343">
        <v>8</v>
      </c>
    </row>
    <row r="344" spans="1:3" x14ac:dyDescent="0.3">
      <c r="A344">
        <v>75027</v>
      </c>
      <c r="B344">
        <v>1</v>
      </c>
      <c r="C344">
        <v>16</v>
      </c>
    </row>
    <row r="345" spans="1:3" x14ac:dyDescent="0.3">
      <c r="A345">
        <v>73782</v>
      </c>
      <c r="B345">
        <v>1</v>
      </c>
      <c r="C345">
        <v>8</v>
      </c>
    </row>
    <row r="346" spans="1:3" x14ac:dyDescent="0.3">
      <c r="A346">
        <v>57194</v>
      </c>
      <c r="B346">
        <v>1</v>
      </c>
      <c r="C346">
        <v>16</v>
      </c>
    </row>
    <row r="347" spans="1:3" x14ac:dyDescent="0.3">
      <c r="A347">
        <v>54667</v>
      </c>
      <c r="B347">
        <v>1</v>
      </c>
      <c r="C347">
        <v>8</v>
      </c>
    </row>
    <row r="348" spans="1:3" x14ac:dyDescent="0.3">
      <c r="A348">
        <v>21248</v>
      </c>
      <c r="B348">
        <v>1</v>
      </c>
      <c r="C348">
        <v>8</v>
      </c>
    </row>
    <row r="349" spans="1:3" x14ac:dyDescent="0.3">
      <c r="A349">
        <v>35402</v>
      </c>
      <c r="B349">
        <v>1</v>
      </c>
      <c r="C349">
        <v>16</v>
      </c>
    </row>
    <row r="350" spans="1:3" x14ac:dyDescent="0.3">
      <c r="A350">
        <v>34010</v>
      </c>
      <c r="B350">
        <v>1</v>
      </c>
      <c r="C350">
        <v>16</v>
      </c>
    </row>
    <row r="351" spans="1:3" x14ac:dyDescent="0.3">
      <c r="A351">
        <v>76072</v>
      </c>
      <c r="B351">
        <v>1</v>
      </c>
      <c r="C351">
        <v>16</v>
      </c>
    </row>
    <row r="352" spans="1:3" x14ac:dyDescent="0.3">
      <c r="A352">
        <v>75938</v>
      </c>
      <c r="B352">
        <v>1</v>
      </c>
      <c r="C352">
        <v>8</v>
      </c>
    </row>
    <row r="353" spans="1:3" x14ac:dyDescent="0.3">
      <c r="A353">
        <v>56388</v>
      </c>
      <c r="B353">
        <v>1</v>
      </c>
      <c r="C353">
        <v>16</v>
      </c>
    </row>
    <row r="354" spans="1:3" x14ac:dyDescent="0.3">
      <c r="A354">
        <v>46209</v>
      </c>
      <c r="B354">
        <v>1</v>
      </c>
      <c r="C354">
        <v>16</v>
      </c>
    </row>
    <row r="355" spans="1:3" x14ac:dyDescent="0.3">
      <c r="A355">
        <v>70335</v>
      </c>
      <c r="B355">
        <v>1</v>
      </c>
      <c r="C355">
        <v>8</v>
      </c>
    </row>
    <row r="356" spans="1:3" x14ac:dyDescent="0.3">
      <c r="A356">
        <v>66167</v>
      </c>
      <c r="B356">
        <v>1</v>
      </c>
      <c r="C356">
        <v>8</v>
      </c>
    </row>
    <row r="357" spans="1:3" x14ac:dyDescent="0.3">
      <c r="A357">
        <v>18193</v>
      </c>
      <c r="B357">
        <v>1</v>
      </c>
      <c r="C357">
        <v>8</v>
      </c>
    </row>
    <row r="358" spans="1:3" x14ac:dyDescent="0.3">
      <c r="A358">
        <v>59900</v>
      </c>
      <c r="B358">
        <v>1</v>
      </c>
      <c r="C358">
        <v>8</v>
      </c>
    </row>
    <row r="359" spans="1:3" x14ac:dyDescent="0.3">
      <c r="A359">
        <v>59744</v>
      </c>
      <c r="B359">
        <v>1</v>
      </c>
      <c r="C359">
        <v>8</v>
      </c>
    </row>
    <row r="360" spans="1:3" x14ac:dyDescent="0.3">
      <c r="A360">
        <v>51214</v>
      </c>
      <c r="B360">
        <v>1</v>
      </c>
      <c r="C360">
        <v>8</v>
      </c>
    </row>
    <row r="361" spans="1:3" x14ac:dyDescent="0.3">
      <c r="A361">
        <v>49994</v>
      </c>
      <c r="B361">
        <v>1</v>
      </c>
      <c r="C361">
        <v>8</v>
      </c>
    </row>
    <row r="362" spans="1:3" x14ac:dyDescent="0.3">
      <c r="A362">
        <v>43443</v>
      </c>
      <c r="B362">
        <v>1</v>
      </c>
      <c r="C362">
        <v>8</v>
      </c>
    </row>
    <row r="363" spans="1:3" x14ac:dyDescent="0.3">
      <c r="A363">
        <v>39768</v>
      </c>
      <c r="B363">
        <v>1</v>
      </c>
      <c r="C363">
        <v>8</v>
      </c>
    </row>
    <row r="364" spans="1:3" x14ac:dyDescent="0.3">
      <c r="A364">
        <v>35053</v>
      </c>
      <c r="B364">
        <v>1</v>
      </c>
      <c r="C364">
        <v>8</v>
      </c>
    </row>
    <row r="365" spans="1:3" x14ac:dyDescent="0.3">
      <c r="A365">
        <v>24248</v>
      </c>
      <c r="B365">
        <v>1</v>
      </c>
      <c r="C365">
        <v>8</v>
      </c>
    </row>
    <row r="366" spans="1:3" x14ac:dyDescent="0.3">
      <c r="A366">
        <v>62372</v>
      </c>
      <c r="B366">
        <v>1</v>
      </c>
      <c r="C366">
        <v>8</v>
      </c>
    </row>
    <row r="367" spans="1:3" x14ac:dyDescent="0.3">
      <c r="A367">
        <v>41734</v>
      </c>
      <c r="B367">
        <v>1</v>
      </c>
      <c r="C367">
        <v>16</v>
      </c>
    </row>
    <row r="368" spans="1:3" x14ac:dyDescent="0.3">
      <c r="A368">
        <v>31765</v>
      </c>
      <c r="B368">
        <v>1</v>
      </c>
      <c r="C368">
        <v>8</v>
      </c>
    </row>
    <row r="369" spans="1:3" x14ac:dyDescent="0.3">
      <c r="A369">
        <v>31353</v>
      </c>
      <c r="B369">
        <v>1</v>
      </c>
      <c r="C369">
        <v>8</v>
      </c>
    </row>
    <row r="370" spans="1:3" x14ac:dyDescent="0.3">
      <c r="A370">
        <v>74711</v>
      </c>
      <c r="B370">
        <v>2</v>
      </c>
      <c r="C370">
        <v>16</v>
      </c>
    </row>
    <row r="371" spans="1:3" x14ac:dyDescent="0.3">
      <c r="A371">
        <v>73554</v>
      </c>
      <c r="B371">
        <v>1</v>
      </c>
      <c r="C371">
        <v>8</v>
      </c>
    </row>
    <row r="372" spans="1:3" x14ac:dyDescent="0.3">
      <c r="A372">
        <v>72666</v>
      </c>
      <c r="B372">
        <v>1</v>
      </c>
      <c r="C372">
        <v>8</v>
      </c>
    </row>
    <row r="373" spans="1:3" x14ac:dyDescent="0.3">
      <c r="A373">
        <v>15970</v>
      </c>
      <c r="B373">
        <v>1</v>
      </c>
      <c r="C373">
        <v>8</v>
      </c>
    </row>
    <row r="374" spans="1:3" x14ac:dyDescent="0.3">
      <c r="A374">
        <v>61945</v>
      </c>
      <c r="B374">
        <v>1</v>
      </c>
      <c r="C374">
        <v>8</v>
      </c>
    </row>
    <row r="375" spans="1:3" x14ac:dyDescent="0.3">
      <c r="A375">
        <v>60787</v>
      </c>
      <c r="B375">
        <v>1</v>
      </c>
      <c r="C375">
        <v>8</v>
      </c>
    </row>
    <row r="376" spans="1:3" x14ac:dyDescent="0.3">
      <c r="A376">
        <v>60649</v>
      </c>
      <c r="B376">
        <v>1</v>
      </c>
      <c r="C376">
        <v>8</v>
      </c>
    </row>
    <row r="377" spans="1:3" x14ac:dyDescent="0.3">
      <c r="A377">
        <v>41532</v>
      </c>
      <c r="B377">
        <v>1</v>
      </c>
      <c r="C377">
        <v>8</v>
      </c>
    </row>
    <row r="378" spans="1:3" x14ac:dyDescent="0.3">
      <c r="A378">
        <v>37900</v>
      </c>
      <c r="B378">
        <v>1</v>
      </c>
      <c r="C378">
        <v>8</v>
      </c>
    </row>
    <row r="379" spans="1:3" x14ac:dyDescent="0.3">
      <c r="A379">
        <v>36428</v>
      </c>
      <c r="B379">
        <v>1</v>
      </c>
      <c r="C379">
        <v>8</v>
      </c>
    </row>
    <row r="380" spans="1:3" x14ac:dyDescent="0.3">
      <c r="A380">
        <v>31668</v>
      </c>
      <c r="B380">
        <v>1</v>
      </c>
      <c r="C380">
        <v>8</v>
      </c>
    </row>
    <row r="381" spans="1:3" x14ac:dyDescent="0.3">
      <c r="A381">
        <v>70441</v>
      </c>
      <c r="B381">
        <v>1</v>
      </c>
      <c r="C381">
        <v>8</v>
      </c>
    </row>
    <row r="382" spans="1:3" x14ac:dyDescent="0.3">
      <c r="A382">
        <v>61335</v>
      </c>
      <c r="B382">
        <v>1</v>
      </c>
      <c r="C382">
        <v>8</v>
      </c>
    </row>
    <row r="383" spans="1:3" x14ac:dyDescent="0.3">
      <c r="A383">
        <v>74491</v>
      </c>
      <c r="B383">
        <v>1</v>
      </c>
      <c r="C383">
        <v>16</v>
      </c>
    </row>
    <row r="384" spans="1:3" x14ac:dyDescent="0.3">
      <c r="A384">
        <v>72006</v>
      </c>
      <c r="B384">
        <v>1</v>
      </c>
      <c r="C384">
        <v>8</v>
      </c>
    </row>
    <row r="385" spans="1:3" x14ac:dyDescent="0.3">
      <c r="A385">
        <v>72000</v>
      </c>
      <c r="B385">
        <v>1</v>
      </c>
      <c r="C385">
        <v>8</v>
      </c>
    </row>
    <row r="386" spans="1:3" x14ac:dyDescent="0.3">
      <c r="A386">
        <v>67638</v>
      </c>
      <c r="B386">
        <v>1</v>
      </c>
      <c r="C386">
        <v>8</v>
      </c>
    </row>
    <row r="387" spans="1:3" x14ac:dyDescent="0.3">
      <c r="A387">
        <v>63841</v>
      </c>
      <c r="B387">
        <v>1</v>
      </c>
      <c r="C387">
        <v>8</v>
      </c>
    </row>
    <row r="388" spans="1:3" x14ac:dyDescent="0.3">
      <c r="A388">
        <v>58987</v>
      </c>
      <c r="B388">
        <v>1</v>
      </c>
      <c r="C388">
        <v>8</v>
      </c>
    </row>
    <row r="389" spans="1:3" x14ac:dyDescent="0.3">
      <c r="A389">
        <v>56211</v>
      </c>
      <c r="B389">
        <v>1</v>
      </c>
      <c r="C389">
        <v>8</v>
      </c>
    </row>
    <row r="390" spans="1:3" x14ac:dyDescent="0.3">
      <c r="A390">
        <v>55891</v>
      </c>
      <c r="B390">
        <v>1</v>
      </c>
      <c r="C390">
        <v>8</v>
      </c>
    </row>
    <row r="391" spans="1:3" x14ac:dyDescent="0.3">
      <c r="A391">
        <v>49817</v>
      </c>
      <c r="B391">
        <v>1</v>
      </c>
      <c r="C391">
        <v>16</v>
      </c>
    </row>
    <row r="392" spans="1:3" x14ac:dyDescent="0.3">
      <c r="A392">
        <v>49812</v>
      </c>
      <c r="B392">
        <v>1</v>
      </c>
      <c r="C392">
        <v>8</v>
      </c>
    </row>
    <row r="393" spans="1:3" x14ac:dyDescent="0.3">
      <c r="A393">
        <v>48416</v>
      </c>
      <c r="B393">
        <v>1</v>
      </c>
      <c r="C393">
        <v>8</v>
      </c>
    </row>
    <row r="394" spans="1:3" x14ac:dyDescent="0.3">
      <c r="A394">
        <v>39164</v>
      </c>
      <c r="B394">
        <v>1</v>
      </c>
      <c r="C394">
        <v>8</v>
      </c>
    </row>
    <row r="395" spans="1:3" x14ac:dyDescent="0.3">
      <c r="A395">
        <v>37526</v>
      </c>
      <c r="B395">
        <v>1</v>
      </c>
      <c r="C395">
        <v>8</v>
      </c>
    </row>
    <row r="396" spans="1:3" x14ac:dyDescent="0.3">
      <c r="A396">
        <v>34971</v>
      </c>
      <c r="B396">
        <v>1</v>
      </c>
      <c r="C396">
        <v>8</v>
      </c>
    </row>
    <row r="397" spans="1:3" x14ac:dyDescent="0.3">
      <c r="A397">
        <v>31516</v>
      </c>
      <c r="B397">
        <v>1</v>
      </c>
      <c r="C397">
        <v>8</v>
      </c>
    </row>
    <row r="398" spans="1:3" x14ac:dyDescent="0.3">
      <c r="A398">
        <v>30461</v>
      </c>
      <c r="B398">
        <v>1</v>
      </c>
      <c r="C398">
        <v>8</v>
      </c>
    </row>
    <row r="399" spans="1:3" x14ac:dyDescent="0.3">
      <c r="A399">
        <v>29471</v>
      </c>
      <c r="B399">
        <v>1</v>
      </c>
      <c r="C399">
        <v>8</v>
      </c>
    </row>
    <row r="400" spans="1:3" x14ac:dyDescent="0.3">
      <c r="A400">
        <v>28930</v>
      </c>
      <c r="B400">
        <v>1</v>
      </c>
      <c r="C400">
        <v>8</v>
      </c>
    </row>
    <row r="401" spans="1:3" x14ac:dyDescent="0.3">
      <c r="A401">
        <v>11689</v>
      </c>
      <c r="B401">
        <v>1</v>
      </c>
      <c r="C401">
        <v>8</v>
      </c>
    </row>
    <row r="402" spans="1:3" x14ac:dyDescent="0.3">
      <c r="A402" s="26">
        <v>52965</v>
      </c>
      <c r="B402" s="26">
        <v>1</v>
      </c>
      <c r="C402" s="26">
        <v>8</v>
      </c>
    </row>
    <row r="403" spans="1:3" x14ac:dyDescent="0.3">
      <c r="A403">
        <v>42887</v>
      </c>
      <c r="B403">
        <v>1</v>
      </c>
      <c r="C403">
        <v>16</v>
      </c>
    </row>
    <row r="404" spans="1:3" x14ac:dyDescent="0.3">
      <c r="A404">
        <v>27992</v>
      </c>
      <c r="B404">
        <v>1</v>
      </c>
      <c r="C404">
        <v>8</v>
      </c>
    </row>
    <row r="405" spans="1:3" x14ac:dyDescent="0.3">
      <c r="A405">
        <v>78285</v>
      </c>
      <c r="B405">
        <v>1</v>
      </c>
      <c r="C405">
        <v>8</v>
      </c>
    </row>
    <row r="406" spans="1:3" x14ac:dyDescent="0.3">
      <c r="A406">
        <v>78168</v>
      </c>
      <c r="B406">
        <v>1</v>
      </c>
      <c r="C406">
        <v>8</v>
      </c>
    </row>
    <row r="407" spans="1:3" x14ac:dyDescent="0.3">
      <c r="A407">
        <v>77050</v>
      </c>
      <c r="B407">
        <v>1</v>
      </c>
      <c r="C407">
        <v>8</v>
      </c>
    </row>
    <row r="408" spans="1:3" x14ac:dyDescent="0.3">
      <c r="A408">
        <v>75655</v>
      </c>
      <c r="B408">
        <v>1</v>
      </c>
      <c r="C408">
        <v>8</v>
      </c>
    </row>
    <row r="409" spans="1:3" x14ac:dyDescent="0.3">
      <c r="A409">
        <v>73916</v>
      </c>
      <c r="B409">
        <v>1</v>
      </c>
      <c r="C409">
        <v>16</v>
      </c>
    </row>
    <row r="410" spans="1:3" x14ac:dyDescent="0.3">
      <c r="A410">
        <v>69286</v>
      </c>
      <c r="B410">
        <v>1</v>
      </c>
      <c r="C410">
        <v>8</v>
      </c>
    </row>
    <row r="411" spans="1:3" x14ac:dyDescent="0.3">
      <c r="A411">
        <v>16328</v>
      </c>
      <c r="B411">
        <v>1</v>
      </c>
      <c r="C411">
        <v>8</v>
      </c>
    </row>
    <row r="412" spans="1:3" x14ac:dyDescent="0.3">
      <c r="A412">
        <v>61172</v>
      </c>
      <c r="B412">
        <v>1</v>
      </c>
      <c r="C412">
        <v>8</v>
      </c>
    </row>
    <row r="413" spans="1:3" x14ac:dyDescent="0.3">
      <c r="A413">
        <v>52283</v>
      </c>
      <c r="B413">
        <v>1</v>
      </c>
      <c r="C413">
        <v>8</v>
      </c>
    </row>
    <row r="414" spans="1:3" x14ac:dyDescent="0.3">
      <c r="A414">
        <v>52213</v>
      </c>
      <c r="B414">
        <v>1</v>
      </c>
      <c r="C414">
        <v>8</v>
      </c>
    </row>
    <row r="415" spans="1:3" x14ac:dyDescent="0.3">
      <c r="A415">
        <v>51506</v>
      </c>
      <c r="B415">
        <v>1</v>
      </c>
      <c r="C415">
        <v>8</v>
      </c>
    </row>
    <row r="416" spans="1:3" x14ac:dyDescent="0.3">
      <c r="A416">
        <v>39891</v>
      </c>
      <c r="B416">
        <v>1</v>
      </c>
      <c r="C416">
        <v>8</v>
      </c>
    </row>
    <row r="417" spans="1:3" x14ac:dyDescent="0.3">
      <c r="A417">
        <v>37696</v>
      </c>
      <c r="B417">
        <v>1</v>
      </c>
      <c r="C417">
        <v>8</v>
      </c>
    </row>
    <row r="418" spans="1:3" x14ac:dyDescent="0.3">
      <c r="A418">
        <v>35525</v>
      </c>
      <c r="B418">
        <v>1</v>
      </c>
      <c r="C418">
        <v>8</v>
      </c>
    </row>
    <row r="419" spans="1:3" x14ac:dyDescent="0.3">
      <c r="A419">
        <v>78202</v>
      </c>
      <c r="B419">
        <v>1</v>
      </c>
      <c r="C419">
        <v>8</v>
      </c>
    </row>
    <row r="420" spans="1:3" x14ac:dyDescent="0.3">
      <c r="A420">
        <v>74971</v>
      </c>
      <c r="B420">
        <v>1</v>
      </c>
      <c r="C420">
        <v>8</v>
      </c>
    </row>
    <row r="421" spans="1:3" x14ac:dyDescent="0.3">
      <c r="A421">
        <v>71169</v>
      </c>
      <c r="B421">
        <v>1</v>
      </c>
      <c r="C421">
        <v>8</v>
      </c>
    </row>
    <row r="422" spans="1:3" x14ac:dyDescent="0.3">
      <c r="A422">
        <v>70341</v>
      </c>
      <c r="B422">
        <v>1</v>
      </c>
      <c r="C422">
        <v>8</v>
      </c>
    </row>
    <row r="423" spans="1:3" x14ac:dyDescent="0.3">
      <c r="A423">
        <v>66734</v>
      </c>
      <c r="B423">
        <v>1</v>
      </c>
      <c r="C423">
        <v>16</v>
      </c>
    </row>
    <row r="424" spans="1:3" x14ac:dyDescent="0.3">
      <c r="A424">
        <v>63843</v>
      </c>
      <c r="B424">
        <v>1</v>
      </c>
      <c r="C424">
        <v>16</v>
      </c>
    </row>
    <row r="425" spans="1:3" x14ac:dyDescent="0.3">
      <c r="A425">
        <v>17220</v>
      </c>
      <c r="B425">
        <v>1</v>
      </c>
      <c r="C425">
        <v>8</v>
      </c>
    </row>
    <row r="426" spans="1:3" x14ac:dyDescent="0.3">
      <c r="A426">
        <v>60374</v>
      </c>
      <c r="B426">
        <v>1</v>
      </c>
      <c r="C426">
        <v>8</v>
      </c>
    </row>
    <row r="427" spans="1:3" x14ac:dyDescent="0.3">
      <c r="A427">
        <v>59896</v>
      </c>
      <c r="B427">
        <v>1</v>
      </c>
      <c r="C427">
        <v>16</v>
      </c>
    </row>
    <row r="428" spans="1:3" x14ac:dyDescent="0.3">
      <c r="A428">
        <v>57819</v>
      </c>
      <c r="B428">
        <v>1</v>
      </c>
      <c r="C428">
        <v>8</v>
      </c>
    </row>
    <row r="429" spans="1:3" x14ac:dyDescent="0.3">
      <c r="A429">
        <v>57570</v>
      </c>
      <c r="B429">
        <v>1</v>
      </c>
      <c r="C429">
        <v>8</v>
      </c>
    </row>
    <row r="430" spans="1:3" x14ac:dyDescent="0.3">
      <c r="A430">
        <v>39163</v>
      </c>
      <c r="B430">
        <v>1</v>
      </c>
      <c r="C430">
        <v>8</v>
      </c>
    </row>
    <row r="431" spans="1:3" x14ac:dyDescent="0.3">
      <c r="A431">
        <v>29472</v>
      </c>
      <c r="B431">
        <v>1</v>
      </c>
      <c r="C431">
        <v>8</v>
      </c>
    </row>
    <row r="432" spans="1:3" x14ac:dyDescent="0.3">
      <c r="A432">
        <v>25708</v>
      </c>
      <c r="B432">
        <v>1</v>
      </c>
      <c r="C432">
        <v>8</v>
      </c>
    </row>
    <row r="433" spans="1:3" x14ac:dyDescent="0.3">
      <c r="A433">
        <v>78308</v>
      </c>
      <c r="B433">
        <v>1</v>
      </c>
      <c r="C433">
        <v>8</v>
      </c>
    </row>
    <row r="434" spans="1:3" x14ac:dyDescent="0.3">
      <c r="A434">
        <v>78287</v>
      </c>
      <c r="B434">
        <v>1</v>
      </c>
      <c r="C434">
        <v>8</v>
      </c>
    </row>
    <row r="435" spans="1:3" x14ac:dyDescent="0.3">
      <c r="A435">
        <v>73447</v>
      </c>
      <c r="B435">
        <v>1</v>
      </c>
      <c r="C435">
        <v>8</v>
      </c>
    </row>
    <row r="436" spans="1:3" x14ac:dyDescent="0.3">
      <c r="A436">
        <v>72932</v>
      </c>
      <c r="B436">
        <v>1</v>
      </c>
      <c r="C436">
        <v>8</v>
      </c>
    </row>
    <row r="437" spans="1:3" x14ac:dyDescent="0.3">
      <c r="A437">
        <v>72667</v>
      </c>
      <c r="B437">
        <v>1</v>
      </c>
      <c r="C437">
        <v>8</v>
      </c>
    </row>
    <row r="438" spans="1:3" x14ac:dyDescent="0.3">
      <c r="A438">
        <v>13850</v>
      </c>
      <c r="B438">
        <v>1</v>
      </c>
      <c r="C438">
        <v>8</v>
      </c>
    </row>
    <row r="439" spans="1:3" x14ac:dyDescent="0.3">
      <c r="A439">
        <v>68701</v>
      </c>
      <c r="B439">
        <v>1</v>
      </c>
      <c r="C439">
        <v>8</v>
      </c>
    </row>
    <row r="440" spans="1:3" x14ac:dyDescent="0.3">
      <c r="A440">
        <v>15903</v>
      </c>
      <c r="B440">
        <v>1</v>
      </c>
      <c r="C440">
        <v>8</v>
      </c>
    </row>
    <row r="441" spans="1:3" x14ac:dyDescent="0.3">
      <c r="A441">
        <v>15956</v>
      </c>
      <c r="B441">
        <v>1</v>
      </c>
      <c r="C441">
        <v>8</v>
      </c>
    </row>
    <row r="442" spans="1:3" x14ac:dyDescent="0.3">
      <c r="A442">
        <v>19232</v>
      </c>
      <c r="B442">
        <v>1</v>
      </c>
      <c r="C442">
        <v>8</v>
      </c>
    </row>
    <row r="443" spans="1:3" x14ac:dyDescent="0.3">
      <c r="A443">
        <v>53696</v>
      </c>
      <c r="B443">
        <v>1</v>
      </c>
      <c r="C443">
        <v>8</v>
      </c>
    </row>
    <row r="444" spans="1:3" x14ac:dyDescent="0.3">
      <c r="A444">
        <v>40389</v>
      </c>
      <c r="B444">
        <v>1</v>
      </c>
      <c r="C444">
        <v>8</v>
      </c>
    </row>
    <row r="445" spans="1:3" x14ac:dyDescent="0.3">
      <c r="A445">
        <v>33777</v>
      </c>
      <c r="B445">
        <v>1</v>
      </c>
      <c r="C445">
        <v>16</v>
      </c>
    </row>
    <row r="446" spans="1:3" x14ac:dyDescent="0.3">
      <c r="A446">
        <v>30736</v>
      </c>
      <c r="B446">
        <v>1</v>
      </c>
      <c r="C446">
        <v>16</v>
      </c>
    </row>
    <row r="447" spans="1:3" x14ac:dyDescent="0.3">
      <c r="A447">
        <v>28838</v>
      </c>
      <c r="B447">
        <v>1</v>
      </c>
      <c r="C447">
        <v>8</v>
      </c>
    </row>
    <row r="448" spans="1:3" x14ac:dyDescent="0.3">
      <c r="A448">
        <v>37477</v>
      </c>
      <c r="B448">
        <v>1</v>
      </c>
      <c r="C448">
        <v>16</v>
      </c>
    </row>
    <row r="449" spans="1:3" x14ac:dyDescent="0.3">
      <c r="A449">
        <v>77830</v>
      </c>
      <c r="B449">
        <v>1</v>
      </c>
      <c r="C449">
        <v>8</v>
      </c>
    </row>
    <row r="450" spans="1:3" x14ac:dyDescent="0.3">
      <c r="A450">
        <v>71082</v>
      </c>
      <c r="B450">
        <v>1</v>
      </c>
      <c r="C450">
        <v>16</v>
      </c>
    </row>
    <row r="451" spans="1:3" x14ac:dyDescent="0.3">
      <c r="A451">
        <v>63122</v>
      </c>
      <c r="B451">
        <v>1</v>
      </c>
      <c r="C451">
        <v>16</v>
      </c>
    </row>
    <row r="452" spans="1:3" x14ac:dyDescent="0.3">
      <c r="A452">
        <v>57596</v>
      </c>
      <c r="B452">
        <v>1</v>
      </c>
      <c r="C452">
        <v>16</v>
      </c>
    </row>
    <row r="453" spans="1:3" x14ac:dyDescent="0.3">
      <c r="A453">
        <v>36435</v>
      </c>
      <c r="B453">
        <v>1</v>
      </c>
      <c r="C453">
        <v>8</v>
      </c>
    </row>
    <row r="454" spans="1:3" x14ac:dyDescent="0.3">
      <c r="A454">
        <v>76577</v>
      </c>
      <c r="B454">
        <v>1</v>
      </c>
      <c r="C454">
        <v>8</v>
      </c>
    </row>
    <row r="455" spans="1:3" x14ac:dyDescent="0.3">
      <c r="A455">
        <v>74003</v>
      </c>
      <c r="B455">
        <v>1</v>
      </c>
      <c r="C455">
        <v>8</v>
      </c>
    </row>
    <row r="456" spans="1:3" x14ac:dyDescent="0.3">
      <c r="A456">
        <v>70699</v>
      </c>
      <c r="B456">
        <v>1</v>
      </c>
      <c r="C456">
        <v>8</v>
      </c>
    </row>
    <row r="457" spans="1:3" x14ac:dyDescent="0.3">
      <c r="A457">
        <v>15105</v>
      </c>
      <c r="B457">
        <v>1</v>
      </c>
      <c r="C457">
        <v>8</v>
      </c>
    </row>
    <row r="458" spans="1:3" x14ac:dyDescent="0.3">
      <c r="A458">
        <v>68748</v>
      </c>
      <c r="B458">
        <v>1</v>
      </c>
      <c r="C458">
        <v>8</v>
      </c>
    </row>
    <row r="459" spans="1:3" x14ac:dyDescent="0.3">
      <c r="A459">
        <v>66947</v>
      </c>
      <c r="B459">
        <v>1</v>
      </c>
      <c r="C459">
        <v>8</v>
      </c>
    </row>
    <row r="460" spans="1:3" x14ac:dyDescent="0.3">
      <c r="A460">
        <v>62855</v>
      </c>
      <c r="B460">
        <v>1</v>
      </c>
      <c r="C460">
        <v>8</v>
      </c>
    </row>
    <row r="461" spans="1:3" x14ac:dyDescent="0.3">
      <c r="A461">
        <v>61927</v>
      </c>
      <c r="B461">
        <v>1</v>
      </c>
      <c r="C461">
        <v>8</v>
      </c>
    </row>
    <row r="462" spans="1:3" x14ac:dyDescent="0.3">
      <c r="A462">
        <v>60873</v>
      </c>
      <c r="B462">
        <v>1</v>
      </c>
      <c r="C462">
        <v>8</v>
      </c>
    </row>
    <row r="463" spans="1:3" x14ac:dyDescent="0.3">
      <c r="A463">
        <v>56213</v>
      </c>
      <c r="B463">
        <v>1</v>
      </c>
      <c r="C463">
        <v>8</v>
      </c>
    </row>
    <row r="464" spans="1:3" x14ac:dyDescent="0.3">
      <c r="A464">
        <v>52658</v>
      </c>
      <c r="B464">
        <v>1</v>
      </c>
      <c r="C464">
        <v>8</v>
      </c>
    </row>
    <row r="465" spans="1:3" x14ac:dyDescent="0.3">
      <c r="A465">
        <v>49238</v>
      </c>
      <c r="B465">
        <v>1</v>
      </c>
      <c r="C465">
        <v>8</v>
      </c>
    </row>
    <row r="466" spans="1:3" x14ac:dyDescent="0.3">
      <c r="A466">
        <v>47173</v>
      </c>
      <c r="B466">
        <v>1</v>
      </c>
      <c r="C466">
        <v>8</v>
      </c>
    </row>
    <row r="467" spans="1:3" x14ac:dyDescent="0.3">
      <c r="A467">
        <v>41525</v>
      </c>
      <c r="B467">
        <v>1</v>
      </c>
      <c r="C467">
        <v>8</v>
      </c>
    </row>
    <row r="468" spans="1:3" x14ac:dyDescent="0.3">
      <c r="A468">
        <v>31436</v>
      </c>
      <c r="B468">
        <v>1</v>
      </c>
      <c r="C468">
        <v>16</v>
      </c>
    </row>
    <row r="469" spans="1:3" x14ac:dyDescent="0.3">
      <c r="A469">
        <v>73497</v>
      </c>
      <c r="B469">
        <v>1</v>
      </c>
      <c r="C469">
        <v>8</v>
      </c>
    </row>
    <row r="470" spans="1:3" x14ac:dyDescent="0.3">
      <c r="A470">
        <v>52286</v>
      </c>
      <c r="B470">
        <v>1</v>
      </c>
      <c r="C470">
        <v>8</v>
      </c>
    </row>
    <row r="471" spans="1:3" x14ac:dyDescent="0.3">
      <c r="A471">
        <v>31766</v>
      </c>
      <c r="B471">
        <v>1</v>
      </c>
      <c r="C471">
        <v>8</v>
      </c>
    </row>
    <row r="472" spans="1:3" x14ac:dyDescent="0.3">
      <c r="A472">
        <v>76218</v>
      </c>
      <c r="B472">
        <v>1</v>
      </c>
      <c r="C472">
        <v>8</v>
      </c>
    </row>
    <row r="473" spans="1:3" x14ac:dyDescent="0.3">
      <c r="A473">
        <v>73783</v>
      </c>
      <c r="B473">
        <v>1</v>
      </c>
      <c r="C473">
        <v>8</v>
      </c>
    </row>
    <row r="474" spans="1:3" x14ac:dyDescent="0.3">
      <c r="A474">
        <v>72542</v>
      </c>
      <c r="B474">
        <v>1</v>
      </c>
      <c r="C474">
        <v>8</v>
      </c>
    </row>
    <row r="475" spans="1:3" x14ac:dyDescent="0.3">
      <c r="A475">
        <v>68506</v>
      </c>
      <c r="B475">
        <v>1</v>
      </c>
      <c r="C475">
        <v>16</v>
      </c>
    </row>
    <row r="476" spans="1:3" x14ac:dyDescent="0.3">
      <c r="A476">
        <v>65203</v>
      </c>
      <c r="B476">
        <v>1</v>
      </c>
      <c r="C476">
        <v>16</v>
      </c>
    </row>
    <row r="477" spans="1:3" x14ac:dyDescent="0.3">
      <c r="A477">
        <v>62822</v>
      </c>
      <c r="B477">
        <v>1</v>
      </c>
      <c r="C477">
        <v>8</v>
      </c>
    </row>
    <row r="478" spans="1:3" x14ac:dyDescent="0.3">
      <c r="A478">
        <v>59804</v>
      </c>
      <c r="B478">
        <v>1</v>
      </c>
      <c r="C478">
        <v>8</v>
      </c>
    </row>
    <row r="479" spans="1:3" x14ac:dyDescent="0.3">
      <c r="A479">
        <v>18137</v>
      </c>
      <c r="B479">
        <v>1</v>
      </c>
      <c r="C479">
        <v>16</v>
      </c>
    </row>
    <row r="480" spans="1:3" x14ac:dyDescent="0.3">
      <c r="A480">
        <v>39461</v>
      </c>
      <c r="B480">
        <v>1</v>
      </c>
      <c r="C480">
        <v>8</v>
      </c>
    </row>
    <row r="481" spans="1:3" x14ac:dyDescent="0.3">
      <c r="A481">
        <v>36209</v>
      </c>
      <c r="B481">
        <v>1</v>
      </c>
      <c r="C481">
        <v>8</v>
      </c>
    </row>
    <row r="482" spans="1:3" x14ac:dyDescent="0.3">
      <c r="A482">
        <v>34267</v>
      </c>
      <c r="B482">
        <v>1</v>
      </c>
      <c r="C482">
        <v>8</v>
      </c>
    </row>
    <row r="483" spans="1:3" x14ac:dyDescent="0.3">
      <c r="A483">
        <v>33404</v>
      </c>
      <c r="B483">
        <v>1</v>
      </c>
      <c r="C483">
        <v>8</v>
      </c>
    </row>
    <row r="484" spans="1:3" x14ac:dyDescent="0.3">
      <c r="A484">
        <v>27989</v>
      </c>
      <c r="B484">
        <v>1</v>
      </c>
      <c r="C484">
        <v>8</v>
      </c>
    </row>
    <row r="485" spans="1:3" x14ac:dyDescent="0.3">
      <c r="A485">
        <v>76073</v>
      </c>
      <c r="B485">
        <v>1</v>
      </c>
      <c r="C485">
        <v>8</v>
      </c>
    </row>
    <row r="486" spans="1:3" x14ac:dyDescent="0.3">
      <c r="A486">
        <v>75313</v>
      </c>
      <c r="B486">
        <v>1</v>
      </c>
      <c r="C486">
        <v>8</v>
      </c>
    </row>
    <row r="487" spans="1:3" x14ac:dyDescent="0.3">
      <c r="A487">
        <v>78237</v>
      </c>
      <c r="B487">
        <v>1</v>
      </c>
      <c r="C487">
        <v>8</v>
      </c>
    </row>
    <row r="488" spans="1:3" x14ac:dyDescent="0.3">
      <c r="A488">
        <v>65918</v>
      </c>
      <c r="B488">
        <v>1</v>
      </c>
      <c r="C488">
        <v>8</v>
      </c>
    </row>
    <row r="489" spans="1:3" x14ac:dyDescent="0.3">
      <c r="A489">
        <v>60623</v>
      </c>
      <c r="B489">
        <v>1</v>
      </c>
      <c r="C489">
        <v>8</v>
      </c>
    </row>
    <row r="490" spans="1:3" x14ac:dyDescent="0.3">
      <c r="A490">
        <v>59890</v>
      </c>
      <c r="B490">
        <v>1</v>
      </c>
      <c r="C490">
        <v>8</v>
      </c>
    </row>
    <row r="491" spans="1:3" x14ac:dyDescent="0.3">
      <c r="A491">
        <v>19671</v>
      </c>
      <c r="B491">
        <v>1</v>
      </c>
      <c r="C491">
        <v>8</v>
      </c>
    </row>
    <row r="492" spans="1:3" x14ac:dyDescent="0.3">
      <c r="A492">
        <v>48099</v>
      </c>
      <c r="B492">
        <v>1</v>
      </c>
      <c r="C492">
        <v>8</v>
      </c>
    </row>
    <row r="493" spans="1:3" x14ac:dyDescent="0.3">
      <c r="A493">
        <v>37026</v>
      </c>
      <c r="B493">
        <v>1</v>
      </c>
      <c r="C493">
        <v>8</v>
      </c>
    </row>
    <row r="494" spans="1:3" x14ac:dyDescent="0.3">
      <c r="A494">
        <v>31639</v>
      </c>
      <c r="B494">
        <v>1</v>
      </c>
      <c r="C494">
        <v>8</v>
      </c>
    </row>
    <row r="495" spans="1:3" x14ac:dyDescent="0.3">
      <c r="A495">
        <v>29210</v>
      </c>
      <c r="B495">
        <v>1</v>
      </c>
      <c r="C495">
        <v>8</v>
      </c>
    </row>
    <row r="496" spans="1:3" x14ac:dyDescent="0.3">
      <c r="A496">
        <v>71705</v>
      </c>
      <c r="B496">
        <v>1</v>
      </c>
      <c r="C496">
        <v>8</v>
      </c>
    </row>
    <row r="497" spans="1:3" x14ac:dyDescent="0.3">
      <c r="A497">
        <v>16215</v>
      </c>
      <c r="B497">
        <v>1</v>
      </c>
      <c r="C497">
        <v>16</v>
      </c>
    </row>
    <row r="498" spans="1:3" x14ac:dyDescent="0.3">
      <c r="A498">
        <v>47096</v>
      </c>
      <c r="B498">
        <v>1</v>
      </c>
      <c r="C498">
        <v>8</v>
      </c>
    </row>
    <row r="499" spans="1:3" x14ac:dyDescent="0.3">
      <c r="A499">
        <v>78288</v>
      </c>
      <c r="B499">
        <v>1</v>
      </c>
      <c r="C499">
        <v>8</v>
      </c>
    </row>
    <row r="500" spans="1:3" x14ac:dyDescent="0.3">
      <c r="A500">
        <v>73501</v>
      </c>
      <c r="B500">
        <v>1</v>
      </c>
      <c r="C500">
        <v>8</v>
      </c>
    </row>
    <row r="501" spans="1:3" x14ac:dyDescent="0.3">
      <c r="A501">
        <v>13212</v>
      </c>
      <c r="B501">
        <v>1</v>
      </c>
      <c r="C501">
        <v>8</v>
      </c>
    </row>
    <row r="502" spans="1:3" x14ac:dyDescent="0.3">
      <c r="A502">
        <v>48745</v>
      </c>
      <c r="B502">
        <v>1</v>
      </c>
      <c r="C502">
        <v>16</v>
      </c>
    </row>
    <row r="503" spans="1:3" x14ac:dyDescent="0.3">
      <c r="A503">
        <v>45967</v>
      </c>
      <c r="B503">
        <v>1</v>
      </c>
      <c r="C503">
        <v>16</v>
      </c>
    </row>
    <row r="504" spans="1:3" x14ac:dyDescent="0.3">
      <c r="A504">
        <v>38644</v>
      </c>
      <c r="B504">
        <v>1</v>
      </c>
      <c r="C504">
        <v>8</v>
      </c>
    </row>
    <row r="505" spans="1:3" x14ac:dyDescent="0.3">
      <c r="A505">
        <v>38038</v>
      </c>
      <c r="B505">
        <v>1</v>
      </c>
      <c r="C505">
        <v>16</v>
      </c>
    </row>
    <row r="506" spans="1:3" x14ac:dyDescent="0.3">
      <c r="A506">
        <v>36971</v>
      </c>
      <c r="B506">
        <v>1</v>
      </c>
      <c r="C506">
        <v>16</v>
      </c>
    </row>
    <row r="507" spans="1:3" x14ac:dyDescent="0.3">
      <c r="A507">
        <v>35717</v>
      </c>
      <c r="B507">
        <v>1</v>
      </c>
      <c r="C507">
        <v>8</v>
      </c>
    </row>
    <row r="508" spans="1:3" x14ac:dyDescent="0.3">
      <c r="A508">
        <v>31446</v>
      </c>
      <c r="B508">
        <v>1</v>
      </c>
      <c r="C508">
        <v>8</v>
      </c>
    </row>
    <row r="509" spans="1:3" x14ac:dyDescent="0.3">
      <c r="A509">
        <v>28597</v>
      </c>
      <c r="B509">
        <v>1</v>
      </c>
      <c r="C509">
        <v>8</v>
      </c>
    </row>
    <row r="510" spans="1:3" x14ac:dyDescent="0.3">
      <c r="A510">
        <v>46895</v>
      </c>
      <c r="B510">
        <v>1</v>
      </c>
      <c r="C510">
        <v>8</v>
      </c>
    </row>
    <row r="511" spans="1:3" x14ac:dyDescent="0.3">
      <c r="A511">
        <v>45586</v>
      </c>
      <c r="B511">
        <v>1</v>
      </c>
      <c r="C511">
        <v>8</v>
      </c>
    </row>
    <row r="512" spans="1:3" x14ac:dyDescent="0.3">
      <c r="A512">
        <v>44102</v>
      </c>
      <c r="B512">
        <v>1</v>
      </c>
      <c r="C512">
        <v>8</v>
      </c>
    </row>
    <row r="513" spans="1:3" x14ac:dyDescent="0.3">
      <c r="A513">
        <v>28797</v>
      </c>
      <c r="B513">
        <v>1</v>
      </c>
      <c r="C513">
        <v>8</v>
      </c>
    </row>
    <row r="514" spans="1:3" x14ac:dyDescent="0.3">
      <c r="A514">
        <v>75358</v>
      </c>
      <c r="B514">
        <v>1</v>
      </c>
      <c r="C514">
        <v>8</v>
      </c>
    </row>
    <row r="515" spans="1:3" x14ac:dyDescent="0.3">
      <c r="A515">
        <v>74397</v>
      </c>
      <c r="B515">
        <v>1</v>
      </c>
      <c r="C515">
        <v>8</v>
      </c>
    </row>
    <row r="516" spans="1:3" x14ac:dyDescent="0.3">
      <c r="A516">
        <v>71428</v>
      </c>
      <c r="B516">
        <v>1</v>
      </c>
      <c r="C516">
        <v>8</v>
      </c>
    </row>
    <row r="517" spans="1:3" x14ac:dyDescent="0.3">
      <c r="A517">
        <v>15438</v>
      </c>
      <c r="B517">
        <v>1</v>
      </c>
      <c r="C517">
        <v>8</v>
      </c>
    </row>
    <row r="518" spans="1:3" x14ac:dyDescent="0.3">
      <c r="A518">
        <v>62214</v>
      </c>
      <c r="B518">
        <v>1</v>
      </c>
      <c r="C518">
        <v>8</v>
      </c>
    </row>
    <row r="519" spans="1:3" x14ac:dyDescent="0.3">
      <c r="A519">
        <v>62213</v>
      </c>
      <c r="B519">
        <v>1</v>
      </c>
      <c r="C519">
        <v>8</v>
      </c>
    </row>
    <row r="520" spans="1:3" x14ac:dyDescent="0.3">
      <c r="A520">
        <v>58579</v>
      </c>
      <c r="B520">
        <v>1</v>
      </c>
      <c r="C520">
        <v>8</v>
      </c>
    </row>
    <row r="521" spans="1:3" x14ac:dyDescent="0.3">
      <c r="A521">
        <v>56937</v>
      </c>
      <c r="B521">
        <v>1</v>
      </c>
      <c r="C521">
        <v>8</v>
      </c>
    </row>
    <row r="522" spans="1:3" x14ac:dyDescent="0.3">
      <c r="A522">
        <v>52332</v>
      </c>
      <c r="B522">
        <v>1</v>
      </c>
      <c r="C522">
        <v>16</v>
      </c>
    </row>
    <row r="523" spans="1:3" x14ac:dyDescent="0.3">
      <c r="A523">
        <v>43437</v>
      </c>
      <c r="B523">
        <v>1</v>
      </c>
      <c r="C523">
        <v>8</v>
      </c>
    </row>
    <row r="524" spans="1:3" x14ac:dyDescent="0.3">
      <c r="A524">
        <v>37844</v>
      </c>
      <c r="B524">
        <v>1</v>
      </c>
      <c r="C524">
        <v>8</v>
      </c>
    </row>
    <row r="525" spans="1:3" x14ac:dyDescent="0.3">
      <c r="A525">
        <v>34387</v>
      </c>
      <c r="B525">
        <v>1</v>
      </c>
      <c r="C525">
        <v>8</v>
      </c>
    </row>
    <row r="526" spans="1:3" x14ac:dyDescent="0.3">
      <c r="A526">
        <v>24548</v>
      </c>
      <c r="B526">
        <v>1</v>
      </c>
      <c r="C526">
        <v>8</v>
      </c>
    </row>
    <row r="527" spans="1:3" x14ac:dyDescent="0.3">
      <c r="A527">
        <v>12499</v>
      </c>
      <c r="B527">
        <v>1</v>
      </c>
      <c r="C527">
        <v>8</v>
      </c>
    </row>
    <row r="528" spans="1:3" x14ac:dyDescent="0.3">
      <c r="A528">
        <v>71297</v>
      </c>
      <c r="B528">
        <v>1</v>
      </c>
      <c r="C528">
        <v>8</v>
      </c>
    </row>
    <row r="529" spans="1:3" x14ac:dyDescent="0.3">
      <c r="A529">
        <v>68336</v>
      </c>
      <c r="B529">
        <v>1</v>
      </c>
      <c r="C529">
        <v>8</v>
      </c>
    </row>
    <row r="530" spans="1:3" x14ac:dyDescent="0.3">
      <c r="A530">
        <v>66551</v>
      </c>
      <c r="B530">
        <v>1</v>
      </c>
      <c r="C530">
        <v>8</v>
      </c>
    </row>
    <row r="531" spans="1:3" x14ac:dyDescent="0.3">
      <c r="A531">
        <v>29309</v>
      </c>
      <c r="B531">
        <v>1</v>
      </c>
      <c r="C531">
        <v>8</v>
      </c>
    </row>
    <row r="532" spans="1:3" x14ac:dyDescent="0.3">
      <c r="A532">
        <v>10550</v>
      </c>
      <c r="B532">
        <v>1</v>
      </c>
      <c r="C532">
        <v>8</v>
      </c>
    </row>
    <row r="533" spans="1:3" x14ac:dyDescent="0.3">
      <c r="A533">
        <v>78032</v>
      </c>
      <c r="B533">
        <v>1</v>
      </c>
      <c r="C533">
        <v>8</v>
      </c>
    </row>
    <row r="534" spans="1:3" x14ac:dyDescent="0.3">
      <c r="A534">
        <v>76485</v>
      </c>
      <c r="B534">
        <v>1</v>
      </c>
      <c r="C534">
        <v>16</v>
      </c>
    </row>
    <row r="535" spans="1:3" x14ac:dyDescent="0.3">
      <c r="A535">
        <v>75950</v>
      </c>
      <c r="B535">
        <v>1</v>
      </c>
      <c r="C535">
        <v>8</v>
      </c>
    </row>
    <row r="536" spans="1:3" x14ac:dyDescent="0.3">
      <c r="A536">
        <v>74183</v>
      </c>
      <c r="B536">
        <v>1</v>
      </c>
      <c r="C536">
        <v>8</v>
      </c>
    </row>
    <row r="537" spans="1:3" x14ac:dyDescent="0.3">
      <c r="A537">
        <v>68192</v>
      </c>
      <c r="B537">
        <v>1</v>
      </c>
      <c r="C537">
        <v>16</v>
      </c>
    </row>
    <row r="538" spans="1:3" x14ac:dyDescent="0.3">
      <c r="A538">
        <v>16981</v>
      </c>
      <c r="B538">
        <v>1</v>
      </c>
      <c r="C538">
        <v>16</v>
      </c>
    </row>
    <row r="539" spans="1:3" x14ac:dyDescent="0.3">
      <c r="A539">
        <v>18547</v>
      </c>
      <c r="B539">
        <v>1</v>
      </c>
      <c r="C539">
        <v>16</v>
      </c>
    </row>
    <row r="540" spans="1:3" x14ac:dyDescent="0.3">
      <c r="A540">
        <v>58835</v>
      </c>
      <c r="B540">
        <v>1</v>
      </c>
      <c r="C540">
        <v>8</v>
      </c>
    </row>
    <row r="541" spans="1:3" x14ac:dyDescent="0.3">
      <c r="A541">
        <v>18622</v>
      </c>
      <c r="B541">
        <v>1</v>
      </c>
      <c r="C541">
        <v>16</v>
      </c>
    </row>
    <row r="542" spans="1:3" x14ac:dyDescent="0.3">
      <c r="A542">
        <v>50818</v>
      </c>
      <c r="B542">
        <v>1</v>
      </c>
      <c r="C542">
        <v>8</v>
      </c>
    </row>
    <row r="543" spans="1:3" x14ac:dyDescent="0.3">
      <c r="A543">
        <v>22582</v>
      </c>
      <c r="B543">
        <v>1</v>
      </c>
      <c r="C543">
        <v>8</v>
      </c>
    </row>
    <row r="544" spans="1:3" x14ac:dyDescent="0.3">
      <c r="A544">
        <v>35302</v>
      </c>
      <c r="B544">
        <v>1</v>
      </c>
      <c r="C544">
        <v>16</v>
      </c>
    </row>
    <row r="545" spans="1:3" x14ac:dyDescent="0.3">
      <c r="A545">
        <v>34520</v>
      </c>
      <c r="B545">
        <v>1</v>
      </c>
      <c r="C545">
        <v>8</v>
      </c>
    </row>
    <row r="546" spans="1:3" x14ac:dyDescent="0.3">
      <c r="A546">
        <v>34266</v>
      </c>
      <c r="B546">
        <v>1</v>
      </c>
      <c r="C546">
        <v>8</v>
      </c>
    </row>
    <row r="547" spans="1:3" x14ac:dyDescent="0.3">
      <c r="A547">
        <v>27663</v>
      </c>
      <c r="B547">
        <v>1</v>
      </c>
      <c r="C547">
        <v>8</v>
      </c>
    </row>
    <row r="548" spans="1:3" x14ac:dyDescent="0.3">
      <c r="A548">
        <v>75365</v>
      </c>
      <c r="B548">
        <v>1</v>
      </c>
      <c r="C548">
        <v>8</v>
      </c>
    </row>
    <row r="549" spans="1:3" x14ac:dyDescent="0.3">
      <c r="A549">
        <v>69641</v>
      </c>
      <c r="B549">
        <v>1</v>
      </c>
      <c r="C549">
        <v>8</v>
      </c>
    </row>
    <row r="550" spans="1:3" x14ac:dyDescent="0.3">
      <c r="A550">
        <v>68323</v>
      </c>
      <c r="B550">
        <v>1</v>
      </c>
      <c r="C550">
        <v>16</v>
      </c>
    </row>
    <row r="551" spans="1:3" x14ac:dyDescent="0.3">
      <c r="A551">
        <v>64631</v>
      </c>
      <c r="B551">
        <v>1</v>
      </c>
      <c r="C551">
        <v>8</v>
      </c>
    </row>
    <row r="552" spans="1:3" x14ac:dyDescent="0.3">
      <c r="A552">
        <v>63952</v>
      </c>
      <c r="B552">
        <v>1</v>
      </c>
      <c r="C552">
        <v>8</v>
      </c>
    </row>
    <row r="553" spans="1:3" x14ac:dyDescent="0.3">
      <c r="A553">
        <v>61286</v>
      </c>
      <c r="B553">
        <v>1</v>
      </c>
      <c r="C553">
        <v>8</v>
      </c>
    </row>
    <row r="554" spans="1:3" x14ac:dyDescent="0.3">
      <c r="A554">
        <v>60872</v>
      </c>
      <c r="B554">
        <v>1</v>
      </c>
      <c r="C554">
        <v>8</v>
      </c>
    </row>
    <row r="555" spans="1:3" x14ac:dyDescent="0.3">
      <c r="A555">
        <v>59290</v>
      </c>
      <c r="B555">
        <v>1</v>
      </c>
      <c r="C555">
        <v>8</v>
      </c>
    </row>
    <row r="556" spans="1:3" x14ac:dyDescent="0.3">
      <c r="A556">
        <v>19825</v>
      </c>
      <c r="B556">
        <v>1</v>
      </c>
      <c r="C556">
        <v>16</v>
      </c>
    </row>
    <row r="557" spans="1:3" x14ac:dyDescent="0.3">
      <c r="A557">
        <v>34257</v>
      </c>
      <c r="B557">
        <v>1</v>
      </c>
      <c r="C557">
        <v>8</v>
      </c>
    </row>
    <row r="558" spans="1:3" x14ac:dyDescent="0.3">
      <c r="A558">
        <v>32127</v>
      </c>
      <c r="B558">
        <v>1</v>
      </c>
      <c r="C558">
        <v>8</v>
      </c>
    </row>
    <row r="559" spans="1:3" x14ac:dyDescent="0.3">
      <c r="A559">
        <v>31625</v>
      </c>
      <c r="B559">
        <v>1</v>
      </c>
      <c r="C559">
        <v>8</v>
      </c>
    </row>
    <row r="560" spans="1:3" x14ac:dyDescent="0.3">
      <c r="A560">
        <v>73874</v>
      </c>
      <c r="B560">
        <v>1</v>
      </c>
      <c r="C560">
        <v>8</v>
      </c>
    </row>
    <row r="561" spans="1:3" x14ac:dyDescent="0.3">
      <c r="A561">
        <v>72012</v>
      </c>
      <c r="B561">
        <v>1</v>
      </c>
      <c r="C561">
        <v>16</v>
      </c>
    </row>
    <row r="562" spans="1:3" x14ac:dyDescent="0.3">
      <c r="A562">
        <v>70977</v>
      </c>
      <c r="B562">
        <v>1</v>
      </c>
      <c r="C562">
        <v>16</v>
      </c>
    </row>
    <row r="563" spans="1:3" x14ac:dyDescent="0.3">
      <c r="A563">
        <v>16329</v>
      </c>
      <c r="B563">
        <v>1</v>
      </c>
      <c r="C563">
        <v>16</v>
      </c>
    </row>
    <row r="564" spans="1:3" x14ac:dyDescent="0.3">
      <c r="A564">
        <v>66071</v>
      </c>
      <c r="B564">
        <v>1</v>
      </c>
      <c r="C564">
        <v>16</v>
      </c>
    </row>
    <row r="565" spans="1:3" x14ac:dyDescent="0.3">
      <c r="A565">
        <v>55292</v>
      </c>
      <c r="B565">
        <v>1</v>
      </c>
      <c r="C565">
        <v>8</v>
      </c>
    </row>
    <row r="566" spans="1:3" x14ac:dyDescent="0.3">
      <c r="A566">
        <v>19647</v>
      </c>
      <c r="B566">
        <v>1</v>
      </c>
      <c r="C566">
        <v>8</v>
      </c>
    </row>
    <row r="567" spans="1:3" x14ac:dyDescent="0.3">
      <c r="A567">
        <v>22125</v>
      </c>
      <c r="B567">
        <v>1</v>
      </c>
      <c r="C567">
        <v>8</v>
      </c>
    </row>
    <row r="568" spans="1:3" x14ac:dyDescent="0.3">
      <c r="A568">
        <v>46734</v>
      </c>
      <c r="B568">
        <v>1</v>
      </c>
      <c r="C568">
        <v>8</v>
      </c>
    </row>
    <row r="569" spans="1:3" x14ac:dyDescent="0.3">
      <c r="A569">
        <v>46082</v>
      </c>
      <c r="B569">
        <v>1</v>
      </c>
      <c r="C569">
        <v>8</v>
      </c>
    </row>
    <row r="570" spans="1:3" x14ac:dyDescent="0.3">
      <c r="A570">
        <v>45335</v>
      </c>
      <c r="B570">
        <v>1</v>
      </c>
      <c r="C570">
        <v>16</v>
      </c>
    </row>
    <row r="571" spans="1:3" x14ac:dyDescent="0.3">
      <c r="A571">
        <v>43140</v>
      </c>
      <c r="B571">
        <v>1</v>
      </c>
      <c r="C571">
        <v>8</v>
      </c>
    </row>
    <row r="572" spans="1:3" x14ac:dyDescent="0.3">
      <c r="A572">
        <v>38257</v>
      </c>
      <c r="B572">
        <v>1</v>
      </c>
      <c r="C572">
        <v>16</v>
      </c>
    </row>
    <row r="573" spans="1:3" x14ac:dyDescent="0.3">
      <c r="A573">
        <v>23781</v>
      </c>
      <c r="B573">
        <v>1</v>
      </c>
      <c r="C573">
        <v>16</v>
      </c>
    </row>
    <row r="574" spans="1:3" x14ac:dyDescent="0.3">
      <c r="A574">
        <v>26798</v>
      </c>
      <c r="B574">
        <v>1</v>
      </c>
      <c r="C574">
        <v>8</v>
      </c>
    </row>
    <row r="575" spans="1:3" x14ac:dyDescent="0.3">
      <c r="A575">
        <v>76870</v>
      </c>
      <c r="B575">
        <v>1</v>
      </c>
      <c r="C575">
        <v>8</v>
      </c>
    </row>
    <row r="576" spans="1:3" x14ac:dyDescent="0.3">
      <c r="A576">
        <v>75790</v>
      </c>
      <c r="B576">
        <v>1</v>
      </c>
      <c r="C576">
        <v>8</v>
      </c>
    </row>
    <row r="577" spans="1:3" x14ac:dyDescent="0.3">
      <c r="A577">
        <v>70991</v>
      </c>
      <c r="B577">
        <v>1</v>
      </c>
      <c r="C577">
        <v>8</v>
      </c>
    </row>
    <row r="578" spans="1:3" x14ac:dyDescent="0.3">
      <c r="A578">
        <v>58841</v>
      </c>
      <c r="B578">
        <v>1</v>
      </c>
      <c r="C578">
        <v>8</v>
      </c>
    </row>
    <row r="579" spans="1:3" x14ac:dyDescent="0.3">
      <c r="A579">
        <v>58490</v>
      </c>
      <c r="B579">
        <v>1</v>
      </c>
      <c r="C579">
        <v>16</v>
      </c>
    </row>
    <row r="580" spans="1:3" x14ac:dyDescent="0.3">
      <c r="A580">
        <v>70909</v>
      </c>
      <c r="B580">
        <v>1</v>
      </c>
      <c r="C580">
        <v>8</v>
      </c>
    </row>
    <row r="581" spans="1:3" x14ac:dyDescent="0.3">
      <c r="A581">
        <v>44103</v>
      </c>
      <c r="B581">
        <v>1</v>
      </c>
      <c r="C581">
        <v>16</v>
      </c>
    </row>
    <row r="582" spans="1:3" x14ac:dyDescent="0.3">
      <c r="A582">
        <v>75123</v>
      </c>
      <c r="B582">
        <v>1</v>
      </c>
      <c r="C582">
        <v>8</v>
      </c>
    </row>
    <row r="583" spans="1:3" x14ac:dyDescent="0.3">
      <c r="A583">
        <v>74002</v>
      </c>
      <c r="B583">
        <v>1</v>
      </c>
      <c r="C583">
        <v>8</v>
      </c>
    </row>
    <row r="584" spans="1:3" x14ac:dyDescent="0.3">
      <c r="A584">
        <v>67551</v>
      </c>
      <c r="B584">
        <v>1</v>
      </c>
      <c r="C584">
        <v>16</v>
      </c>
    </row>
    <row r="585" spans="1:3" x14ac:dyDescent="0.3">
      <c r="A585">
        <v>66960</v>
      </c>
      <c r="B585">
        <v>1</v>
      </c>
      <c r="C585">
        <v>8</v>
      </c>
    </row>
    <row r="586" spans="1:3" x14ac:dyDescent="0.3">
      <c r="A586">
        <v>66952</v>
      </c>
      <c r="B586">
        <v>1</v>
      </c>
      <c r="C586">
        <v>8</v>
      </c>
    </row>
    <row r="587" spans="1:3" x14ac:dyDescent="0.3">
      <c r="A587">
        <v>58383</v>
      </c>
      <c r="B587">
        <v>1</v>
      </c>
      <c r="C587">
        <v>8</v>
      </c>
    </row>
    <row r="588" spans="1:3" x14ac:dyDescent="0.3">
      <c r="A588">
        <v>49565</v>
      </c>
      <c r="B588">
        <v>1</v>
      </c>
      <c r="C588">
        <v>8</v>
      </c>
    </row>
    <row r="589" spans="1:3" x14ac:dyDescent="0.3">
      <c r="A589">
        <v>35055</v>
      </c>
      <c r="B589">
        <v>1</v>
      </c>
      <c r="C589">
        <v>8</v>
      </c>
    </row>
    <row r="590" spans="1:3" x14ac:dyDescent="0.3">
      <c r="A590">
        <v>31442</v>
      </c>
      <c r="B590">
        <v>1</v>
      </c>
      <c r="C590">
        <v>8</v>
      </c>
    </row>
    <row r="591" spans="1:3" x14ac:dyDescent="0.3">
      <c r="A591">
        <v>78163</v>
      </c>
      <c r="B591">
        <v>1</v>
      </c>
      <c r="C591">
        <v>8</v>
      </c>
    </row>
    <row r="592" spans="1:3" x14ac:dyDescent="0.3">
      <c r="A592">
        <v>76869</v>
      </c>
      <c r="B592">
        <v>1</v>
      </c>
      <c r="C592">
        <v>8</v>
      </c>
    </row>
    <row r="593" spans="1:3" x14ac:dyDescent="0.3">
      <c r="A593">
        <v>74832</v>
      </c>
      <c r="B593">
        <v>1</v>
      </c>
      <c r="C593">
        <v>8</v>
      </c>
    </row>
    <row r="594" spans="1:3" x14ac:dyDescent="0.3">
      <c r="A594">
        <v>13264</v>
      </c>
      <c r="B594">
        <v>1</v>
      </c>
      <c r="C594">
        <v>8</v>
      </c>
    </row>
    <row r="595" spans="1:3" x14ac:dyDescent="0.3">
      <c r="A595">
        <v>72221</v>
      </c>
      <c r="B595">
        <v>1</v>
      </c>
      <c r="C595">
        <v>8</v>
      </c>
    </row>
    <row r="596" spans="1:3" x14ac:dyDescent="0.3">
      <c r="A596">
        <v>69738</v>
      </c>
      <c r="B596">
        <v>1</v>
      </c>
      <c r="C596">
        <v>8</v>
      </c>
    </row>
    <row r="597" spans="1:3" x14ac:dyDescent="0.3">
      <c r="A597">
        <v>69415</v>
      </c>
      <c r="B597">
        <v>1</v>
      </c>
      <c r="C597">
        <v>8</v>
      </c>
    </row>
    <row r="598" spans="1:3" x14ac:dyDescent="0.3">
      <c r="A598">
        <v>63344</v>
      </c>
      <c r="B598">
        <v>1</v>
      </c>
      <c r="C598">
        <v>8</v>
      </c>
    </row>
    <row r="599" spans="1:3" x14ac:dyDescent="0.3">
      <c r="A599">
        <v>62250</v>
      </c>
      <c r="B599">
        <v>1</v>
      </c>
      <c r="C599">
        <v>16</v>
      </c>
    </row>
    <row r="600" spans="1:3" x14ac:dyDescent="0.3">
      <c r="A600">
        <v>44877</v>
      </c>
      <c r="B600">
        <v>1</v>
      </c>
      <c r="C600">
        <v>8</v>
      </c>
    </row>
    <row r="601" spans="1:3" x14ac:dyDescent="0.3">
      <c r="A601">
        <v>23010</v>
      </c>
      <c r="B601">
        <v>1</v>
      </c>
      <c r="C601">
        <v>8</v>
      </c>
    </row>
    <row r="602" spans="1:3" x14ac:dyDescent="0.3">
      <c r="A602">
        <v>71710</v>
      </c>
      <c r="B602">
        <v>1</v>
      </c>
      <c r="C602">
        <v>16</v>
      </c>
    </row>
    <row r="603" spans="1:3" x14ac:dyDescent="0.3">
      <c r="A603">
        <v>61175</v>
      </c>
      <c r="B603">
        <v>1</v>
      </c>
      <c r="C603">
        <v>8</v>
      </c>
    </row>
    <row r="604" spans="1:3" x14ac:dyDescent="0.3">
      <c r="A604">
        <v>48263</v>
      </c>
      <c r="B604">
        <v>1</v>
      </c>
      <c r="C604">
        <v>8</v>
      </c>
    </row>
    <row r="605" spans="1:3" x14ac:dyDescent="0.3">
      <c r="A605">
        <v>65856</v>
      </c>
      <c r="B605">
        <v>1</v>
      </c>
      <c r="C605">
        <v>8</v>
      </c>
    </row>
    <row r="606" spans="1:3" x14ac:dyDescent="0.3">
      <c r="A606">
        <v>36434</v>
      </c>
      <c r="B606">
        <v>1</v>
      </c>
      <c r="C606">
        <v>8</v>
      </c>
    </row>
    <row r="607" spans="1:3" x14ac:dyDescent="0.3">
      <c r="A607">
        <v>34922</v>
      </c>
      <c r="B607">
        <v>1</v>
      </c>
      <c r="C607">
        <v>8</v>
      </c>
    </row>
    <row r="608" spans="1:3" x14ac:dyDescent="0.3">
      <c r="A608">
        <v>77600</v>
      </c>
      <c r="B608">
        <v>1</v>
      </c>
      <c r="C608">
        <v>8</v>
      </c>
    </row>
    <row r="609" spans="1:3" x14ac:dyDescent="0.3">
      <c r="A609">
        <v>77338</v>
      </c>
      <c r="B609">
        <v>1</v>
      </c>
      <c r="C609">
        <v>8</v>
      </c>
    </row>
    <row r="610" spans="1:3" x14ac:dyDescent="0.3">
      <c r="A610">
        <v>74514</v>
      </c>
      <c r="B610">
        <v>1</v>
      </c>
      <c r="C610">
        <v>8</v>
      </c>
    </row>
    <row r="611" spans="1:3" x14ac:dyDescent="0.3">
      <c r="A611">
        <v>74243</v>
      </c>
      <c r="B611">
        <v>1</v>
      </c>
      <c r="C611">
        <v>16</v>
      </c>
    </row>
    <row r="612" spans="1:3" x14ac:dyDescent="0.3">
      <c r="A612">
        <v>67634</v>
      </c>
      <c r="B612">
        <v>1</v>
      </c>
      <c r="C612">
        <v>8</v>
      </c>
    </row>
    <row r="613" spans="1:3" x14ac:dyDescent="0.3">
      <c r="A613">
        <v>66843</v>
      </c>
      <c r="B613">
        <v>1</v>
      </c>
      <c r="C613">
        <v>8</v>
      </c>
    </row>
    <row r="614" spans="1:3" x14ac:dyDescent="0.3">
      <c r="A614">
        <v>59740</v>
      </c>
      <c r="B614">
        <v>1</v>
      </c>
      <c r="C614">
        <v>8</v>
      </c>
    </row>
    <row r="615" spans="1:3" x14ac:dyDescent="0.3">
      <c r="A615">
        <v>27561</v>
      </c>
      <c r="B615">
        <v>1</v>
      </c>
      <c r="C615">
        <v>16</v>
      </c>
    </row>
    <row r="616" spans="1:3" x14ac:dyDescent="0.3">
      <c r="A616">
        <v>48738</v>
      </c>
      <c r="B616">
        <v>1</v>
      </c>
      <c r="C616">
        <v>16</v>
      </c>
    </row>
    <row r="617" spans="1:3" x14ac:dyDescent="0.3">
      <c r="A617">
        <v>30447</v>
      </c>
      <c r="B617">
        <v>1</v>
      </c>
      <c r="C617">
        <v>16</v>
      </c>
    </row>
    <row r="618" spans="1:3" x14ac:dyDescent="0.3">
      <c r="A618">
        <v>78034</v>
      </c>
      <c r="B618">
        <v>1</v>
      </c>
      <c r="C618">
        <v>8</v>
      </c>
    </row>
    <row r="619" spans="1:3" x14ac:dyDescent="0.3">
      <c r="A619">
        <v>74440</v>
      </c>
      <c r="B619">
        <v>1</v>
      </c>
      <c r="C619">
        <v>8</v>
      </c>
    </row>
    <row r="620" spans="1:3" x14ac:dyDescent="0.3">
      <c r="A620">
        <v>72544</v>
      </c>
      <c r="B620">
        <v>1</v>
      </c>
      <c r="C620">
        <v>8</v>
      </c>
    </row>
    <row r="621" spans="1:3" x14ac:dyDescent="0.3">
      <c r="A621">
        <v>66547</v>
      </c>
      <c r="B621">
        <v>1</v>
      </c>
      <c r="C621">
        <v>8</v>
      </c>
    </row>
    <row r="622" spans="1:3" x14ac:dyDescent="0.3">
      <c r="A622">
        <v>66376</v>
      </c>
      <c r="B622">
        <v>1</v>
      </c>
      <c r="C622">
        <v>16</v>
      </c>
    </row>
    <row r="623" spans="1:3" x14ac:dyDescent="0.3">
      <c r="A623">
        <v>20553</v>
      </c>
      <c r="B623">
        <v>1</v>
      </c>
      <c r="C623">
        <v>16</v>
      </c>
    </row>
    <row r="624" spans="1:3" x14ac:dyDescent="0.3">
      <c r="A624">
        <v>45134</v>
      </c>
      <c r="B624">
        <v>1</v>
      </c>
      <c r="C624">
        <v>8</v>
      </c>
    </row>
    <row r="625" spans="1:3" x14ac:dyDescent="0.3">
      <c r="A625">
        <v>40590</v>
      </c>
      <c r="B625">
        <v>1</v>
      </c>
      <c r="C625">
        <v>8</v>
      </c>
    </row>
    <row r="626" spans="1:3" x14ac:dyDescent="0.3">
      <c r="A626">
        <v>37568</v>
      </c>
      <c r="B626">
        <v>1</v>
      </c>
      <c r="C626">
        <v>8</v>
      </c>
    </row>
    <row r="627" spans="1:3" x14ac:dyDescent="0.3">
      <c r="A627">
        <v>37302</v>
      </c>
      <c r="B627">
        <v>1</v>
      </c>
      <c r="C627">
        <v>16</v>
      </c>
    </row>
    <row r="628" spans="1:3" x14ac:dyDescent="0.3">
      <c r="A628">
        <v>30845</v>
      </c>
      <c r="B628">
        <v>1</v>
      </c>
      <c r="C628">
        <v>16</v>
      </c>
    </row>
    <row r="629" spans="1:3" x14ac:dyDescent="0.3">
      <c r="A629">
        <v>25043</v>
      </c>
      <c r="B629">
        <v>1</v>
      </c>
      <c r="C629">
        <v>8</v>
      </c>
    </row>
    <row r="630" spans="1:3" x14ac:dyDescent="0.3">
      <c r="A630">
        <v>28837</v>
      </c>
      <c r="B630">
        <v>1</v>
      </c>
      <c r="C630">
        <v>8</v>
      </c>
    </row>
    <row r="631" spans="1:3" x14ac:dyDescent="0.3">
      <c r="A631">
        <v>77941</v>
      </c>
      <c r="B631">
        <v>1</v>
      </c>
      <c r="C631">
        <v>8</v>
      </c>
    </row>
    <row r="632" spans="1:3" x14ac:dyDescent="0.3">
      <c r="A632">
        <v>40140</v>
      </c>
      <c r="B632">
        <v>1</v>
      </c>
      <c r="C632">
        <v>8</v>
      </c>
    </row>
    <row r="633" spans="1:3" x14ac:dyDescent="0.3">
      <c r="A633">
        <v>77831</v>
      </c>
      <c r="B633">
        <v>1</v>
      </c>
      <c r="C633">
        <v>8</v>
      </c>
    </row>
    <row r="634" spans="1:3" x14ac:dyDescent="0.3">
      <c r="A634">
        <v>77756</v>
      </c>
      <c r="B634">
        <v>1</v>
      </c>
      <c r="C634">
        <v>8</v>
      </c>
    </row>
    <row r="635" spans="1:3" x14ac:dyDescent="0.3">
      <c r="A635">
        <v>69254</v>
      </c>
      <c r="B635">
        <v>1</v>
      </c>
      <c r="C635">
        <v>8</v>
      </c>
    </row>
    <row r="636" spans="1:3" x14ac:dyDescent="0.3">
      <c r="A636">
        <v>40186</v>
      </c>
      <c r="B636">
        <v>1</v>
      </c>
      <c r="C636">
        <v>16</v>
      </c>
    </row>
    <row r="637" spans="1:3" x14ac:dyDescent="0.3">
      <c r="A637">
        <v>76939</v>
      </c>
      <c r="B637">
        <v>1</v>
      </c>
      <c r="C637">
        <v>8</v>
      </c>
    </row>
    <row r="638" spans="1:3" x14ac:dyDescent="0.3">
      <c r="A638">
        <v>76653</v>
      </c>
      <c r="B638">
        <v>1</v>
      </c>
      <c r="C638">
        <v>8</v>
      </c>
    </row>
    <row r="639" spans="1:3" x14ac:dyDescent="0.3">
      <c r="A639">
        <v>73740</v>
      </c>
      <c r="B639">
        <v>1</v>
      </c>
      <c r="C639">
        <v>8</v>
      </c>
    </row>
    <row r="640" spans="1:3" x14ac:dyDescent="0.3">
      <c r="A640">
        <v>72190</v>
      </c>
      <c r="B640">
        <v>1</v>
      </c>
      <c r="C640">
        <v>8</v>
      </c>
    </row>
    <row r="641" spans="1:3" x14ac:dyDescent="0.3">
      <c r="A641">
        <v>70300</v>
      </c>
      <c r="B641">
        <v>1</v>
      </c>
      <c r="C641">
        <v>8</v>
      </c>
    </row>
    <row r="642" spans="1:3" x14ac:dyDescent="0.3">
      <c r="A642">
        <v>66349</v>
      </c>
      <c r="B642">
        <v>1</v>
      </c>
      <c r="C642">
        <v>8</v>
      </c>
    </row>
    <row r="643" spans="1:3" x14ac:dyDescent="0.3">
      <c r="A643">
        <v>62050</v>
      </c>
      <c r="B643">
        <v>1</v>
      </c>
      <c r="C643">
        <v>8</v>
      </c>
    </row>
    <row r="644" spans="1:3" x14ac:dyDescent="0.3">
      <c r="A644">
        <v>61067</v>
      </c>
      <c r="B644">
        <v>1</v>
      </c>
      <c r="C644">
        <v>8</v>
      </c>
    </row>
    <row r="645" spans="1:3" x14ac:dyDescent="0.3">
      <c r="A645">
        <v>58428</v>
      </c>
      <c r="B645">
        <v>1</v>
      </c>
      <c r="C645">
        <v>8</v>
      </c>
    </row>
    <row r="646" spans="1:3" x14ac:dyDescent="0.3">
      <c r="A646">
        <v>57739</v>
      </c>
      <c r="B646">
        <v>1</v>
      </c>
      <c r="C646">
        <v>8</v>
      </c>
    </row>
    <row r="647" spans="1:3" x14ac:dyDescent="0.3">
      <c r="A647">
        <v>55688</v>
      </c>
      <c r="B647">
        <v>1</v>
      </c>
      <c r="C647">
        <v>8</v>
      </c>
    </row>
    <row r="648" spans="1:3" x14ac:dyDescent="0.3">
      <c r="A648">
        <v>47605</v>
      </c>
      <c r="B648">
        <v>1</v>
      </c>
      <c r="C648">
        <v>16</v>
      </c>
    </row>
    <row r="649" spans="1:3" x14ac:dyDescent="0.3">
      <c r="A649">
        <v>46937</v>
      </c>
      <c r="B649">
        <v>1</v>
      </c>
      <c r="C649">
        <v>8</v>
      </c>
    </row>
    <row r="650" spans="1:3" x14ac:dyDescent="0.3">
      <c r="A650">
        <v>28342</v>
      </c>
      <c r="B650">
        <v>1</v>
      </c>
      <c r="C650">
        <v>8</v>
      </c>
    </row>
    <row r="651" spans="1:3" x14ac:dyDescent="0.3">
      <c r="A651">
        <v>27856</v>
      </c>
      <c r="B651">
        <v>1</v>
      </c>
      <c r="C651">
        <v>8</v>
      </c>
    </row>
    <row r="652" spans="1:3" x14ac:dyDescent="0.3">
      <c r="A652">
        <v>26713</v>
      </c>
      <c r="B652">
        <v>1</v>
      </c>
      <c r="C652">
        <v>8</v>
      </c>
    </row>
    <row r="653" spans="1:3" x14ac:dyDescent="0.3">
      <c r="A653">
        <v>13628</v>
      </c>
      <c r="B653">
        <v>1</v>
      </c>
      <c r="C653">
        <v>8</v>
      </c>
    </row>
    <row r="654" spans="1:3" x14ac:dyDescent="0.3">
      <c r="A654">
        <v>70451</v>
      </c>
      <c r="B654">
        <v>1</v>
      </c>
      <c r="C654">
        <v>8</v>
      </c>
    </row>
    <row r="655" spans="1:3" x14ac:dyDescent="0.3">
      <c r="A655">
        <v>70450</v>
      </c>
      <c r="B655">
        <v>1</v>
      </c>
      <c r="C655">
        <v>8</v>
      </c>
    </row>
    <row r="656" spans="1:3" x14ac:dyDescent="0.3">
      <c r="A656">
        <v>22452</v>
      </c>
      <c r="B656">
        <v>1</v>
      </c>
      <c r="C656">
        <v>8</v>
      </c>
    </row>
    <row r="657" spans="1:3" x14ac:dyDescent="0.3">
      <c r="A657">
        <v>73788</v>
      </c>
      <c r="B657">
        <v>1</v>
      </c>
      <c r="C657">
        <v>8</v>
      </c>
    </row>
    <row r="658" spans="1:3" x14ac:dyDescent="0.3">
      <c r="A658">
        <v>69660</v>
      </c>
      <c r="B658">
        <v>1</v>
      </c>
      <c r="C658">
        <v>8</v>
      </c>
    </row>
    <row r="659" spans="1:3" x14ac:dyDescent="0.3">
      <c r="A659">
        <v>69288</v>
      </c>
      <c r="B659">
        <v>1</v>
      </c>
      <c r="C659">
        <v>8</v>
      </c>
    </row>
    <row r="660" spans="1:3" x14ac:dyDescent="0.3">
      <c r="A660">
        <v>65423</v>
      </c>
      <c r="B660">
        <v>1</v>
      </c>
      <c r="C660">
        <v>16</v>
      </c>
    </row>
    <row r="661" spans="1:3" x14ac:dyDescent="0.3">
      <c r="A661">
        <v>61169</v>
      </c>
      <c r="B661">
        <v>1</v>
      </c>
      <c r="C661">
        <v>16</v>
      </c>
    </row>
    <row r="662" spans="1:3" x14ac:dyDescent="0.3">
      <c r="A662">
        <v>50309</v>
      </c>
      <c r="B662">
        <v>1</v>
      </c>
      <c r="C662">
        <v>16</v>
      </c>
    </row>
    <row r="663" spans="1:3" x14ac:dyDescent="0.3">
      <c r="A663">
        <v>50308</v>
      </c>
      <c r="B663">
        <v>1</v>
      </c>
      <c r="C663">
        <v>8</v>
      </c>
    </row>
    <row r="664" spans="1:3" x14ac:dyDescent="0.3">
      <c r="A664">
        <v>40843</v>
      </c>
      <c r="B664">
        <v>1</v>
      </c>
      <c r="C664">
        <v>8</v>
      </c>
    </row>
    <row r="665" spans="1:3" x14ac:dyDescent="0.3">
      <c r="A665">
        <v>39089</v>
      </c>
      <c r="B665">
        <v>1</v>
      </c>
      <c r="C665">
        <v>8</v>
      </c>
    </row>
    <row r="666" spans="1:3" x14ac:dyDescent="0.3">
      <c r="A666">
        <v>25659</v>
      </c>
      <c r="B666">
        <v>1</v>
      </c>
      <c r="C666">
        <v>8</v>
      </c>
    </row>
    <row r="667" spans="1:3" x14ac:dyDescent="0.3">
      <c r="A667">
        <v>77262</v>
      </c>
      <c r="B667">
        <v>1</v>
      </c>
      <c r="C667">
        <v>8</v>
      </c>
    </row>
    <row r="668" spans="1:3" x14ac:dyDescent="0.3">
      <c r="A668">
        <v>73498</v>
      </c>
      <c r="B668">
        <v>1</v>
      </c>
      <c r="C668">
        <v>16</v>
      </c>
    </row>
    <row r="669" spans="1:3" x14ac:dyDescent="0.3">
      <c r="A669">
        <v>46990</v>
      </c>
      <c r="B669">
        <v>1</v>
      </c>
      <c r="C669">
        <v>16</v>
      </c>
    </row>
    <row r="670" spans="1:3" x14ac:dyDescent="0.3">
      <c r="A670">
        <v>40185</v>
      </c>
      <c r="B670">
        <v>1</v>
      </c>
      <c r="C670">
        <v>8</v>
      </c>
    </row>
    <row r="671" spans="1:3" x14ac:dyDescent="0.3">
      <c r="A671">
        <v>76881</v>
      </c>
      <c r="B671">
        <v>1</v>
      </c>
      <c r="C671">
        <v>8</v>
      </c>
    </row>
    <row r="672" spans="1:3" x14ac:dyDescent="0.3">
      <c r="A672">
        <v>76788</v>
      </c>
      <c r="B672">
        <v>1</v>
      </c>
      <c r="C672">
        <v>8</v>
      </c>
    </row>
    <row r="673" spans="1:3" x14ac:dyDescent="0.3">
      <c r="A673">
        <v>76408</v>
      </c>
      <c r="B673">
        <v>1</v>
      </c>
      <c r="C673">
        <v>8</v>
      </c>
    </row>
    <row r="674" spans="1:3" x14ac:dyDescent="0.3">
      <c r="A674">
        <v>71777</v>
      </c>
      <c r="B674">
        <v>1</v>
      </c>
      <c r="C674">
        <v>8</v>
      </c>
    </row>
    <row r="675" spans="1:3" x14ac:dyDescent="0.3">
      <c r="A675">
        <v>69913</v>
      </c>
      <c r="B675">
        <v>1</v>
      </c>
      <c r="C675">
        <v>8</v>
      </c>
    </row>
    <row r="676" spans="1:3" x14ac:dyDescent="0.3">
      <c r="A676">
        <v>66860</v>
      </c>
      <c r="B676">
        <v>1</v>
      </c>
      <c r="C676">
        <v>8</v>
      </c>
    </row>
    <row r="677" spans="1:3" x14ac:dyDescent="0.3">
      <c r="A677">
        <v>62353</v>
      </c>
      <c r="B677">
        <v>1</v>
      </c>
      <c r="C677">
        <v>8</v>
      </c>
    </row>
    <row r="678" spans="1:3" x14ac:dyDescent="0.3">
      <c r="A678">
        <v>29094</v>
      </c>
      <c r="B678">
        <v>1</v>
      </c>
      <c r="C678">
        <v>16</v>
      </c>
    </row>
    <row r="679" spans="1:3" x14ac:dyDescent="0.3">
      <c r="A679">
        <v>20999</v>
      </c>
      <c r="B679">
        <v>1</v>
      </c>
      <c r="C679">
        <v>8</v>
      </c>
    </row>
    <row r="680" spans="1:3" x14ac:dyDescent="0.3">
      <c r="A680">
        <v>46380</v>
      </c>
      <c r="B680">
        <v>1</v>
      </c>
      <c r="C680">
        <v>16</v>
      </c>
    </row>
    <row r="681" spans="1:3" x14ac:dyDescent="0.3">
      <c r="A681">
        <v>39218</v>
      </c>
      <c r="B681">
        <v>1</v>
      </c>
      <c r="C681">
        <v>8</v>
      </c>
    </row>
    <row r="682" spans="1:3" x14ac:dyDescent="0.3">
      <c r="A682">
        <v>78167</v>
      </c>
      <c r="B682">
        <v>1</v>
      </c>
      <c r="C682">
        <v>8</v>
      </c>
    </row>
    <row r="683" spans="1:3" x14ac:dyDescent="0.3">
      <c r="A683">
        <v>75311</v>
      </c>
      <c r="B683">
        <v>1</v>
      </c>
      <c r="C683">
        <v>8</v>
      </c>
    </row>
    <row r="684" spans="1:3" x14ac:dyDescent="0.3">
      <c r="A684">
        <v>70905</v>
      </c>
      <c r="B684">
        <v>1</v>
      </c>
      <c r="C684">
        <v>8</v>
      </c>
    </row>
    <row r="685" spans="1:3" x14ac:dyDescent="0.3">
      <c r="A685">
        <v>69889</v>
      </c>
      <c r="B685">
        <v>1</v>
      </c>
      <c r="C685">
        <v>8</v>
      </c>
    </row>
    <row r="686" spans="1:3" x14ac:dyDescent="0.3">
      <c r="A686">
        <v>69658</v>
      </c>
      <c r="B686">
        <v>1</v>
      </c>
      <c r="C686">
        <v>8</v>
      </c>
    </row>
    <row r="687" spans="1:3" x14ac:dyDescent="0.3">
      <c r="A687">
        <v>68651</v>
      </c>
      <c r="B687">
        <v>1</v>
      </c>
      <c r="C687">
        <v>8</v>
      </c>
    </row>
    <row r="688" spans="1:3" x14ac:dyDescent="0.3">
      <c r="A688">
        <v>61399</v>
      </c>
      <c r="B688">
        <v>1</v>
      </c>
      <c r="C688">
        <v>16</v>
      </c>
    </row>
    <row r="689" spans="1:3" x14ac:dyDescent="0.3">
      <c r="A689">
        <v>55760</v>
      </c>
      <c r="B689">
        <v>1</v>
      </c>
      <c r="C689">
        <v>8</v>
      </c>
    </row>
    <row r="690" spans="1:3" x14ac:dyDescent="0.3">
      <c r="A690">
        <v>38127</v>
      </c>
      <c r="B690">
        <v>1</v>
      </c>
      <c r="C690">
        <v>8</v>
      </c>
    </row>
    <row r="691" spans="1:3" x14ac:dyDescent="0.3">
      <c r="A691">
        <v>26560</v>
      </c>
      <c r="B691">
        <v>1</v>
      </c>
      <c r="C691">
        <v>8</v>
      </c>
    </row>
    <row r="692" spans="1:3" x14ac:dyDescent="0.3">
      <c r="A692">
        <v>75649</v>
      </c>
      <c r="B692">
        <v>1</v>
      </c>
      <c r="C692">
        <v>8</v>
      </c>
    </row>
    <row r="693" spans="1:3" x14ac:dyDescent="0.3">
      <c r="A693">
        <v>51156</v>
      </c>
      <c r="B693">
        <v>1</v>
      </c>
      <c r="C693">
        <v>16</v>
      </c>
    </row>
    <row r="694" spans="1:3" x14ac:dyDescent="0.3">
      <c r="A694">
        <v>78069</v>
      </c>
      <c r="B694">
        <v>1</v>
      </c>
      <c r="C694">
        <v>8</v>
      </c>
    </row>
    <row r="695" spans="1:3" x14ac:dyDescent="0.3">
      <c r="A695">
        <v>73848</v>
      </c>
      <c r="B695">
        <v>1</v>
      </c>
      <c r="C695">
        <v>8</v>
      </c>
    </row>
    <row r="696" spans="1:3" x14ac:dyDescent="0.3">
      <c r="A696">
        <v>71781</v>
      </c>
      <c r="B696">
        <v>1</v>
      </c>
      <c r="C696">
        <v>8</v>
      </c>
    </row>
    <row r="697" spans="1:3" x14ac:dyDescent="0.3">
      <c r="A697">
        <v>64821</v>
      </c>
      <c r="B697">
        <v>1</v>
      </c>
      <c r="C697">
        <v>8</v>
      </c>
    </row>
    <row r="698" spans="1:3" x14ac:dyDescent="0.3">
      <c r="A698">
        <v>59293</v>
      </c>
      <c r="B698">
        <v>1</v>
      </c>
      <c r="C698">
        <v>16</v>
      </c>
    </row>
    <row r="699" spans="1:3" x14ac:dyDescent="0.3">
      <c r="A699">
        <v>59067</v>
      </c>
      <c r="B699">
        <v>1</v>
      </c>
      <c r="C699">
        <v>8</v>
      </c>
    </row>
    <row r="700" spans="1:3" x14ac:dyDescent="0.3">
      <c r="A700">
        <v>58586</v>
      </c>
      <c r="B700">
        <v>1</v>
      </c>
      <c r="C700">
        <v>8</v>
      </c>
    </row>
    <row r="701" spans="1:3" x14ac:dyDescent="0.3">
      <c r="A701">
        <v>19014</v>
      </c>
      <c r="B701">
        <v>1</v>
      </c>
      <c r="C701">
        <v>8</v>
      </c>
    </row>
    <row r="702" spans="1:3" x14ac:dyDescent="0.3">
      <c r="A702">
        <v>55894</v>
      </c>
      <c r="B702">
        <v>1</v>
      </c>
      <c r="C702">
        <v>8</v>
      </c>
    </row>
    <row r="703" spans="1:3" x14ac:dyDescent="0.3">
      <c r="A703">
        <v>47800</v>
      </c>
      <c r="B703">
        <v>1</v>
      </c>
      <c r="C703">
        <v>16</v>
      </c>
    </row>
    <row r="704" spans="1:3" x14ac:dyDescent="0.3">
      <c r="A704">
        <v>21803</v>
      </c>
      <c r="B704">
        <v>1</v>
      </c>
      <c r="C704">
        <v>16</v>
      </c>
    </row>
    <row r="705" spans="1:3" x14ac:dyDescent="0.3">
      <c r="A705">
        <v>44037</v>
      </c>
      <c r="B705">
        <v>1</v>
      </c>
      <c r="C705">
        <v>8</v>
      </c>
    </row>
    <row r="706" spans="1:3" x14ac:dyDescent="0.3">
      <c r="A706">
        <v>43871</v>
      </c>
      <c r="B706">
        <v>1</v>
      </c>
      <c r="C706">
        <v>8</v>
      </c>
    </row>
    <row r="707" spans="1:3" x14ac:dyDescent="0.3">
      <c r="A707">
        <v>23165</v>
      </c>
      <c r="B707">
        <v>1</v>
      </c>
      <c r="C707">
        <v>8</v>
      </c>
    </row>
    <row r="708" spans="1:3" x14ac:dyDescent="0.3">
      <c r="A708">
        <v>36028</v>
      </c>
      <c r="B708">
        <v>1</v>
      </c>
      <c r="C708">
        <v>8</v>
      </c>
    </row>
    <row r="709" spans="1:3" x14ac:dyDescent="0.3">
      <c r="A709">
        <v>34150</v>
      </c>
      <c r="B709">
        <v>1</v>
      </c>
      <c r="C709">
        <v>8</v>
      </c>
    </row>
    <row r="710" spans="1:3" x14ac:dyDescent="0.3">
      <c r="A710">
        <v>27535</v>
      </c>
      <c r="B710">
        <v>1</v>
      </c>
      <c r="C710">
        <v>8</v>
      </c>
    </row>
    <row r="711" spans="1:3" x14ac:dyDescent="0.3">
      <c r="A711">
        <v>54669</v>
      </c>
      <c r="B711">
        <v>1</v>
      </c>
      <c r="C711">
        <v>8</v>
      </c>
    </row>
    <row r="712" spans="1:3" x14ac:dyDescent="0.3">
      <c r="A712">
        <v>10121</v>
      </c>
      <c r="B712">
        <v>1</v>
      </c>
      <c r="C712">
        <v>16</v>
      </c>
    </row>
    <row r="713" spans="1:3" x14ac:dyDescent="0.3">
      <c r="A713">
        <v>75143</v>
      </c>
      <c r="B713">
        <v>1</v>
      </c>
      <c r="C713">
        <v>16</v>
      </c>
    </row>
    <row r="714" spans="1:3" x14ac:dyDescent="0.3">
      <c r="A714">
        <v>73527</v>
      </c>
      <c r="B714">
        <v>1</v>
      </c>
      <c r="C714">
        <v>8</v>
      </c>
    </row>
    <row r="715" spans="1:3" x14ac:dyDescent="0.3">
      <c r="A715">
        <v>72948</v>
      </c>
      <c r="B715">
        <v>1</v>
      </c>
      <c r="C715">
        <v>8</v>
      </c>
    </row>
    <row r="716" spans="1:3" x14ac:dyDescent="0.3">
      <c r="A716">
        <v>71796</v>
      </c>
      <c r="B716">
        <v>1</v>
      </c>
      <c r="C716">
        <v>16</v>
      </c>
    </row>
    <row r="717" spans="1:3" x14ac:dyDescent="0.3">
      <c r="A717">
        <v>69517</v>
      </c>
      <c r="B717">
        <v>1</v>
      </c>
      <c r="C717">
        <v>8</v>
      </c>
    </row>
    <row r="718" spans="1:3" x14ac:dyDescent="0.3">
      <c r="A718">
        <v>16079</v>
      </c>
      <c r="B718">
        <v>1</v>
      </c>
      <c r="C718">
        <v>8</v>
      </c>
    </row>
    <row r="719" spans="1:3" x14ac:dyDescent="0.3">
      <c r="A719">
        <v>46638</v>
      </c>
      <c r="B719">
        <v>1</v>
      </c>
      <c r="C719">
        <v>8</v>
      </c>
    </row>
    <row r="720" spans="1:3" x14ac:dyDescent="0.3">
      <c r="A720">
        <v>46636</v>
      </c>
      <c r="B720">
        <v>1</v>
      </c>
      <c r="C720">
        <v>8</v>
      </c>
    </row>
    <row r="721" spans="1:3" x14ac:dyDescent="0.3">
      <c r="A721">
        <v>39890</v>
      </c>
      <c r="B721">
        <v>1</v>
      </c>
      <c r="C721">
        <v>8</v>
      </c>
    </row>
    <row r="722" spans="1:3" x14ac:dyDescent="0.3">
      <c r="A722">
        <v>30464</v>
      </c>
      <c r="B722">
        <v>1</v>
      </c>
      <c r="C722">
        <v>16</v>
      </c>
    </row>
    <row r="723" spans="1:3" x14ac:dyDescent="0.3">
      <c r="A723">
        <v>77263</v>
      </c>
      <c r="B723">
        <v>1</v>
      </c>
      <c r="C723">
        <v>8</v>
      </c>
    </row>
    <row r="724" spans="1:3" x14ac:dyDescent="0.3">
      <c r="A724">
        <v>74188</v>
      </c>
      <c r="B724">
        <v>1</v>
      </c>
      <c r="C724">
        <v>8</v>
      </c>
    </row>
    <row r="725" spans="1:3" x14ac:dyDescent="0.3">
      <c r="A725">
        <v>61400</v>
      </c>
      <c r="B725">
        <v>1</v>
      </c>
      <c r="C725">
        <v>8</v>
      </c>
    </row>
    <row r="726" spans="1:3" x14ac:dyDescent="0.3">
      <c r="A726">
        <v>30298</v>
      </c>
      <c r="B726">
        <v>1</v>
      </c>
      <c r="C726">
        <v>8</v>
      </c>
    </row>
    <row r="727" spans="1:3" x14ac:dyDescent="0.3">
      <c r="A727">
        <v>73532</v>
      </c>
      <c r="B727">
        <v>1</v>
      </c>
      <c r="C727">
        <v>8</v>
      </c>
    </row>
    <row r="728" spans="1:3" x14ac:dyDescent="0.3">
      <c r="A728">
        <v>73490</v>
      </c>
      <c r="B728">
        <v>1</v>
      </c>
      <c r="C728">
        <v>8</v>
      </c>
    </row>
    <row r="729" spans="1:3" x14ac:dyDescent="0.3">
      <c r="A729">
        <v>13146</v>
      </c>
      <c r="B729">
        <v>1</v>
      </c>
      <c r="C729">
        <v>8</v>
      </c>
    </row>
    <row r="730" spans="1:3" x14ac:dyDescent="0.3">
      <c r="A730">
        <v>71249</v>
      </c>
      <c r="B730">
        <v>1</v>
      </c>
      <c r="C730">
        <v>8</v>
      </c>
    </row>
    <row r="731" spans="1:3" x14ac:dyDescent="0.3">
      <c r="A731">
        <v>69652</v>
      </c>
      <c r="B731">
        <v>1</v>
      </c>
      <c r="C731">
        <v>8</v>
      </c>
    </row>
    <row r="732" spans="1:3" x14ac:dyDescent="0.3">
      <c r="A732">
        <v>64625</v>
      </c>
      <c r="B732">
        <v>1</v>
      </c>
      <c r="C732">
        <v>8</v>
      </c>
    </row>
    <row r="733" spans="1:3" x14ac:dyDescent="0.3">
      <c r="A733">
        <v>63048</v>
      </c>
      <c r="B733">
        <v>1</v>
      </c>
      <c r="C733">
        <v>8</v>
      </c>
    </row>
    <row r="734" spans="1:3" x14ac:dyDescent="0.3">
      <c r="A734">
        <v>56210</v>
      </c>
      <c r="B734">
        <v>1</v>
      </c>
      <c r="C734">
        <v>8</v>
      </c>
    </row>
    <row r="735" spans="1:3" x14ac:dyDescent="0.3">
      <c r="A735">
        <v>51543</v>
      </c>
      <c r="B735">
        <v>1</v>
      </c>
      <c r="C735">
        <v>8</v>
      </c>
    </row>
    <row r="736" spans="1:3" x14ac:dyDescent="0.3">
      <c r="A736">
        <v>48419</v>
      </c>
      <c r="B736">
        <v>1</v>
      </c>
      <c r="C736">
        <v>8</v>
      </c>
    </row>
    <row r="737" spans="1:3" x14ac:dyDescent="0.3">
      <c r="A737">
        <v>43352</v>
      </c>
      <c r="B737">
        <v>1</v>
      </c>
      <c r="C737">
        <v>8</v>
      </c>
    </row>
    <row r="738" spans="1:3" x14ac:dyDescent="0.3">
      <c r="A738">
        <v>41313</v>
      </c>
      <c r="B738">
        <v>1</v>
      </c>
      <c r="C738">
        <v>8</v>
      </c>
    </row>
    <row r="739" spans="1:3" x14ac:dyDescent="0.3">
      <c r="A739">
        <v>40672</v>
      </c>
      <c r="B739">
        <v>1</v>
      </c>
      <c r="C739">
        <v>16</v>
      </c>
    </row>
    <row r="740" spans="1:3" x14ac:dyDescent="0.3">
      <c r="A740">
        <v>38339</v>
      </c>
      <c r="B740">
        <v>1</v>
      </c>
      <c r="C740">
        <v>8</v>
      </c>
    </row>
    <row r="741" spans="1:3" x14ac:dyDescent="0.3">
      <c r="A741">
        <v>38177</v>
      </c>
      <c r="B741">
        <v>1</v>
      </c>
      <c r="C741">
        <v>8</v>
      </c>
    </row>
    <row r="742" spans="1:3" x14ac:dyDescent="0.3">
      <c r="A742">
        <v>24330</v>
      </c>
      <c r="B742">
        <v>1</v>
      </c>
      <c r="C742">
        <v>8</v>
      </c>
    </row>
    <row r="743" spans="1:3" x14ac:dyDescent="0.3">
      <c r="A743">
        <v>73507</v>
      </c>
      <c r="B743">
        <v>2</v>
      </c>
      <c r="C743">
        <v>8</v>
      </c>
    </row>
    <row r="744" spans="1:3" x14ac:dyDescent="0.3">
      <c r="A744">
        <v>69659</v>
      </c>
      <c r="B744">
        <v>1</v>
      </c>
      <c r="C744">
        <v>8</v>
      </c>
    </row>
    <row r="745" spans="1:3" x14ac:dyDescent="0.3">
      <c r="A745">
        <v>63732</v>
      </c>
      <c r="B745">
        <v>1</v>
      </c>
      <c r="C745">
        <v>16</v>
      </c>
    </row>
    <row r="746" spans="1:3" x14ac:dyDescent="0.3">
      <c r="A746">
        <v>62940</v>
      </c>
      <c r="B746">
        <v>1</v>
      </c>
      <c r="C746">
        <v>8</v>
      </c>
    </row>
    <row r="747" spans="1:3" x14ac:dyDescent="0.3">
      <c r="A747">
        <v>59960</v>
      </c>
      <c r="B747">
        <v>1</v>
      </c>
      <c r="C747">
        <v>8</v>
      </c>
    </row>
    <row r="748" spans="1:3" x14ac:dyDescent="0.3">
      <c r="A748">
        <v>55166</v>
      </c>
      <c r="B748">
        <v>1</v>
      </c>
      <c r="C748">
        <v>8</v>
      </c>
    </row>
    <row r="749" spans="1:3" x14ac:dyDescent="0.3">
      <c r="A749">
        <v>52961</v>
      </c>
      <c r="B749">
        <v>1</v>
      </c>
      <c r="C749">
        <v>16</v>
      </c>
    </row>
    <row r="750" spans="1:3" x14ac:dyDescent="0.3">
      <c r="A750">
        <v>40591</v>
      </c>
      <c r="B750">
        <v>1</v>
      </c>
      <c r="C750">
        <v>8</v>
      </c>
    </row>
    <row r="751" spans="1:3" x14ac:dyDescent="0.3">
      <c r="A751">
        <v>40282</v>
      </c>
      <c r="B751">
        <v>1</v>
      </c>
      <c r="C751">
        <v>16</v>
      </c>
    </row>
    <row r="752" spans="1:3" x14ac:dyDescent="0.3">
      <c r="A752">
        <v>39463</v>
      </c>
      <c r="B752">
        <v>1</v>
      </c>
      <c r="C752">
        <v>8</v>
      </c>
    </row>
    <row r="753" spans="1:3" x14ac:dyDescent="0.3">
      <c r="A753">
        <v>35953</v>
      </c>
      <c r="B753">
        <v>1</v>
      </c>
      <c r="C753">
        <v>8</v>
      </c>
    </row>
    <row r="754" spans="1:3" x14ac:dyDescent="0.3">
      <c r="A754">
        <v>77509</v>
      </c>
      <c r="B754">
        <v>1</v>
      </c>
      <c r="C754">
        <v>8</v>
      </c>
    </row>
    <row r="755" spans="1:3" x14ac:dyDescent="0.3">
      <c r="A755">
        <v>73520</v>
      </c>
      <c r="B755">
        <v>1</v>
      </c>
      <c r="C755">
        <v>8</v>
      </c>
    </row>
    <row r="756" spans="1:3" x14ac:dyDescent="0.3">
      <c r="A756">
        <v>37714</v>
      </c>
      <c r="B756">
        <v>1</v>
      </c>
      <c r="C756">
        <v>8</v>
      </c>
    </row>
    <row r="757" spans="1:3" x14ac:dyDescent="0.3">
      <c r="A757">
        <v>64729</v>
      </c>
      <c r="B757">
        <v>1</v>
      </c>
      <c r="C757">
        <v>8</v>
      </c>
    </row>
    <row r="758" spans="1:3" x14ac:dyDescent="0.3">
      <c r="A758">
        <v>59809</v>
      </c>
      <c r="B758">
        <v>1</v>
      </c>
      <c r="C758">
        <v>8</v>
      </c>
    </row>
    <row r="759" spans="1:3" x14ac:dyDescent="0.3">
      <c r="A759">
        <v>51986</v>
      </c>
      <c r="B759">
        <v>1</v>
      </c>
      <c r="C759">
        <v>8</v>
      </c>
    </row>
    <row r="760" spans="1:3" x14ac:dyDescent="0.3">
      <c r="A760">
        <v>29305</v>
      </c>
      <c r="B760">
        <v>1</v>
      </c>
      <c r="C760">
        <v>16</v>
      </c>
    </row>
    <row r="761" spans="1:3" x14ac:dyDescent="0.3">
      <c r="A761">
        <v>76533</v>
      </c>
      <c r="B761">
        <v>1</v>
      </c>
      <c r="C761">
        <v>8</v>
      </c>
    </row>
    <row r="762" spans="1:3" x14ac:dyDescent="0.3">
      <c r="A762">
        <v>76405</v>
      </c>
      <c r="B762">
        <v>1</v>
      </c>
      <c r="C762">
        <v>8</v>
      </c>
    </row>
    <row r="763" spans="1:3" x14ac:dyDescent="0.3">
      <c r="A763">
        <v>75302</v>
      </c>
      <c r="B763">
        <v>1</v>
      </c>
      <c r="C763">
        <v>8</v>
      </c>
    </row>
    <row r="764" spans="1:3" x14ac:dyDescent="0.3">
      <c r="A764">
        <v>75126</v>
      </c>
      <c r="B764">
        <v>1</v>
      </c>
      <c r="C764">
        <v>8</v>
      </c>
    </row>
    <row r="765" spans="1:3" x14ac:dyDescent="0.3">
      <c r="A765">
        <v>74520</v>
      </c>
      <c r="B765">
        <v>1</v>
      </c>
      <c r="C765">
        <v>8</v>
      </c>
    </row>
    <row r="766" spans="1:3" x14ac:dyDescent="0.3">
      <c r="A766">
        <v>74512</v>
      </c>
      <c r="B766">
        <v>1</v>
      </c>
      <c r="C766">
        <v>8</v>
      </c>
    </row>
    <row r="767" spans="1:3" x14ac:dyDescent="0.3">
      <c r="A767">
        <v>72982</v>
      </c>
      <c r="B767">
        <v>1</v>
      </c>
      <c r="C767">
        <v>8</v>
      </c>
    </row>
    <row r="768" spans="1:3" x14ac:dyDescent="0.3">
      <c r="A768">
        <v>68902</v>
      </c>
      <c r="B768">
        <v>1</v>
      </c>
      <c r="C768">
        <v>8</v>
      </c>
    </row>
    <row r="769" spans="1:3" x14ac:dyDescent="0.3">
      <c r="A769">
        <v>66012</v>
      </c>
      <c r="B769">
        <v>1</v>
      </c>
      <c r="C769">
        <v>8</v>
      </c>
    </row>
    <row r="770" spans="1:3" x14ac:dyDescent="0.3">
      <c r="A770">
        <v>78165</v>
      </c>
      <c r="B770">
        <v>1</v>
      </c>
      <c r="C770">
        <v>8</v>
      </c>
    </row>
    <row r="771" spans="1:3" x14ac:dyDescent="0.3">
      <c r="A771">
        <v>78031</v>
      </c>
      <c r="B771">
        <v>1</v>
      </c>
      <c r="C771">
        <v>8</v>
      </c>
    </row>
    <row r="772" spans="1:3" x14ac:dyDescent="0.3">
      <c r="A772">
        <v>75949</v>
      </c>
      <c r="B772">
        <v>1</v>
      </c>
      <c r="C772">
        <v>8</v>
      </c>
    </row>
    <row r="773" spans="1:3" x14ac:dyDescent="0.3">
      <c r="A773">
        <v>75028</v>
      </c>
      <c r="B773">
        <v>1</v>
      </c>
      <c r="C773">
        <v>8</v>
      </c>
    </row>
    <row r="774" spans="1:3" x14ac:dyDescent="0.3">
      <c r="A774">
        <v>74400</v>
      </c>
      <c r="B774">
        <v>1</v>
      </c>
      <c r="C774">
        <v>8</v>
      </c>
    </row>
    <row r="775" spans="1:3" x14ac:dyDescent="0.3">
      <c r="A775">
        <v>68653</v>
      </c>
      <c r="B775">
        <v>1</v>
      </c>
      <c r="C775">
        <v>8</v>
      </c>
    </row>
    <row r="776" spans="1:3" x14ac:dyDescent="0.3">
      <c r="A776">
        <v>68452</v>
      </c>
      <c r="B776">
        <v>1</v>
      </c>
      <c r="C776">
        <v>8</v>
      </c>
    </row>
    <row r="777" spans="1:3" x14ac:dyDescent="0.3">
      <c r="A777">
        <v>18482</v>
      </c>
      <c r="B777">
        <v>1</v>
      </c>
      <c r="C777">
        <v>8</v>
      </c>
    </row>
    <row r="778" spans="1:3" x14ac:dyDescent="0.3">
      <c r="A778">
        <v>18523</v>
      </c>
      <c r="B778">
        <v>1</v>
      </c>
      <c r="C778">
        <v>8</v>
      </c>
    </row>
    <row r="779" spans="1:3" x14ac:dyDescent="0.3">
      <c r="A779">
        <v>43254</v>
      </c>
      <c r="B779">
        <v>1</v>
      </c>
      <c r="C779">
        <v>8</v>
      </c>
    </row>
    <row r="780" spans="1:3" x14ac:dyDescent="0.3">
      <c r="A780">
        <v>22997</v>
      </c>
      <c r="B780">
        <v>1</v>
      </c>
      <c r="C780">
        <v>16</v>
      </c>
    </row>
    <row r="781" spans="1:3" x14ac:dyDescent="0.3">
      <c r="A781">
        <v>37565</v>
      </c>
      <c r="B781">
        <v>1</v>
      </c>
      <c r="C781">
        <v>8</v>
      </c>
    </row>
    <row r="782" spans="1:3" x14ac:dyDescent="0.3">
      <c r="A782">
        <v>30733</v>
      </c>
      <c r="B782">
        <v>1</v>
      </c>
      <c r="C782">
        <v>16</v>
      </c>
    </row>
    <row r="783" spans="1:3" x14ac:dyDescent="0.3">
      <c r="A783">
        <v>26234</v>
      </c>
      <c r="B783">
        <v>1</v>
      </c>
      <c r="C783">
        <v>8</v>
      </c>
    </row>
    <row r="784" spans="1:3" x14ac:dyDescent="0.3">
      <c r="A784">
        <v>47090</v>
      </c>
      <c r="B784">
        <v>1</v>
      </c>
      <c r="C784">
        <v>8</v>
      </c>
    </row>
    <row r="785" spans="1:3" x14ac:dyDescent="0.3">
      <c r="A785">
        <v>41098</v>
      </c>
      <c r="B785">
        <v>1</v>
      </c>
      <c r="C785">
        <v>8</v>
      </c>
    </row>
    <row r="786" spans="1:3" x14ac:dyDescent="0.3">
      <c r="A786">
        <v>65204</v>
      </c>
      <c r="B786">
        <v>1</v>
      </c>
      <c r="C786">
        <v>8</v>
      </c>
    </row>
    <row r="787" spans="1:3" x14ac:dyDescent="0.3">
      <c r="A787">
        <v>37463</v>
      </c>
      <c r="B787">
        <v>1</v>
      </c>
      <c r="C787">
        <v>8</v>
      </c>
    </row>
    <row r="788" spans="1:3" x14ac:dyDescent="0.3">
      <c r="A788">
        <v>78236</v>
      </c>
      <c r="B788">
        <v>1</v>
      </c>
      <c r="C788">
        <v>8</v>
      </c>
    </row>
    <row r="789" spans="1:3" x14ac:dyDescent="0.3">
      <c r="A789">
        <v>74517</v>
      </c>
      <c r="B789">
        <v>1</v>
      </c>
      <c r="C789">
        <v>8</v>
      </c>
    </row>
    <row r="790" spans="1:3" x14ac:dyDescent="0.3">
      <c r="A790">
        <v>73508</v>
      </c>
      <c r="B790">
        <v>1</v>
      </c>
      <c r="C790">
        <v>8</v>
      </c>
    </row>
    <row r="791" spans="1:3" x14ac:dyDescent="0.3">
      <c r="A791">
        <v>68186</v>
      </c>
      <c r="B791">
        <v>1</v>
      </c>
      <c r="C791">
        <v>8</v>
      </c>
    </row>
    <row r="792" spans="1:3" x14ac:dyDescent="0.3">
      <c r="A792">
        <v>68179</v>
      </c>
      <c r="B792">
        <v>1</v>
      </c>
      <c r="C792">
        <v>8</v>
      </c>
    </row>
    <row r="793" spans="1:3" x14ac:dyDescent="0.3">
      <c r="A793">
        <v>66839</v>
      </c>
      <c r="B793">
        <v>1</v>
      </c>
      <c r="C793">
        <v>8</v>
      </c>
    </row>
    <row r="794" spans="1:3" x14ac:dyDescent="0.3">
      <c r="A794">
        <v>16867</v>
      </c>
      <c r="B794">
        <v>1</v>
      </c>
      <c r="C794">
        <v>8</v>
      </c>
    </row>
    <row r="795" spans="1:3" x14ac:dyDescent="0.3">
      <c r="A795">
        <v>63957</v>
      </c>
      <c r="B795">
        <v>1</v>
      </c>
      <c r="C795">
        <v>8</v>
      </c>
    </row>
    <row r="796" spans="1:3" x14ac:dyDescent="0.3">
      <c r="A796">
        <v>60743</v>
      </c>
      <c r="B796">
        <v>1</v>
      </c>
      <c r="C796">
        <v>8</v>
      </c>
    </row>
    <row r="797" spans="1:3" x14ac:dyDescent="0.3">
      <c r="A797">
        <v>54719</v>
      </c>
      <c r="B797">
        <v>1</v>
      </c>
      <c r="C797">
        <v>16</v>
      </c>
    </row>
    <row r="798" spans="1:3" x14ac:dyDescent="0.3">
      <c r="A798">
        <v>53386</v>
      </c>
      <c r="B798">
        <v>1</v>
      </c>
      <c r="C798">
        <v>8</v>
      </c>
    </row>
    <row r="799" spans="1:3" x14ac:dyDescent="0.3">
      <c r="A799">
        <v>45005</v>
      </c>
      <c r="B799">
        <v>1</v>
      </c>
      <c r="C799">
        <v>16</v>
      </c>
    </row>
    <row r="800" spans="1:3" x14ac:dyDescent="0.3">
      <c r="A800">
        <v>44131</v>
      </c>
      <c r="B800">
        <v>1</v>
      </c>
      <c r="C800">
        <v>8</v>
      </c>
    </row>
    <row r="801" spans="1:3" x14ac:dyDescent="0.3">
      <c r="A801">
        <v>37029</v>
      </c>
      <c r="B801">
        <v>1</v>
      </c>
      <c r="C801">
        <v>8</v>
      </c>
    </row>
    <row r="802" spans="1:3" x14ac:dyDescent="0.3">
      <c r="A802" s="26">
        <v>59486</v>
      </c>
      <c r="B802" s="26">
        <v>1</v>
      </c>
      <c r="C802" s="26">
        <v>8</v>
      </c>
    </row>
    <row r="803" spans="1:3" x14ac:dyDescent="0.3">
      <c r="A803">
        <v>56911</v>
      </c>
      <c r="B803">
        <v>1</v>
      </c>
      <c r="C803">
        <v>8</v>
      </c>
    </row>
    <row r="804" spans="1:3" x14ac:dyDescent="0.3">
      <c r="A804">
        <v>78286</v>
      </c>
      <c r="B804">
        <v>1</v>
      </c>
      <c r="C804">
        <v>8</v>
      </c>
    </row>
    <row r="805" spans="1:3" x14ac:dyDescent="0.3">
      <c r="A805">
        <v>76780</v>
      </c>
      <c r="B805">
        <v>1</v>
      </c>
      <c r="C805">
        <v>8</v>
      </c>
    </row>
    <row r="806" spans="1:3" x14ac:dyDescent="0.3">
      <c r="A806">
        <v>74897</v>
      </c>
      <c r="B806">
        <v>1</v>
      </c>
      <c r="C806">
        <v>8</v>
      </c>
    </row>
    <row r="807" spans="1:3" x14ac:dyDescent="0.3">
      <c r="A807">
        <v>74441</v>
      </c>
      <c r="B807">
        <v>1</v>
      </c>
      <c r="C807">
        <v>8</v>
      </c>
    </row>
    <row r="808" spans="1:3" x14ac:dyDescent="0.3">
      <c r="A808">
        <v>74356</v>
      </c>
      <c r="B808">
        <v>1</v>
      </c>
      <c r="C808">
        <v>8</v>
      </c>
    </row>
    <row r="809" spans="1:3" x14ac:dyDescent="0.3">
      <c r="A809">
        <v>74182</v>
      </c>
      <c r="B809">
        <v>1</v>
      </c>
      <c r="C809">
        <v>8</v>
      </c>
    </row>
    <row r="810" spans="1:3" x14ac:dyDescent="0.3">
      <c r="A810">
        <v>70713</v>
      </c>
      <c r="B810">
        <v>1</v>
      </c>
      <c r="C810">
        <v>8</v>
      </c>
    </row>
    <row r="811" spans="1:3" x14ac:dyDescent="0.3">
      <c r="A811">
        <v>68801</v>
      </c>
      <c r="B811">
        <v>1</v>
      </c>
      <c r="C811">
        <v>8</v>
      </c>
    </row>
    <row r="812" spans="1:3" x14ac:dyDescent="0.3">
      <c r="A812">
        <v>68656</v>
      </c>
      <c r="B812">
        <v>1</v>
      </c>
      <c r="C812">
        <v>8</v>
      </c>
    </row>
    <row r="813" spans="1:3" x14ac:dyDescent="0.3">
      <c r="A813">
        <v>68503</v>
      </c>
      <c r="B813">
        <v>1</v>
      </c>
      <c r="C813">
        <v>8</v>
      </c>
    </row>
    <row r="814" spans="1:3" x14ac:dyDescent="0.3">
      <c r="A814">
        <v>18793</v>
      </c>
      <c r="B814">
        <v>1</v>
      </c>
      <c r="C814">
        <v>8</v>
      </c>
    </row>
    <row r="815" spans="1:3" x14ac:dyDescent="0.3">
      <c r="A815">
        <v>51453</v>
      </c>
      <c r="B815">
        <v>1</v>
      </c>
      <c r="C815">
        <v>8</v>
      </c>
    </row>
    <row r="816" spans="1:3" x14ac:dyDescent="0.3">
      <c r="A816">
        <v>34519</v>
      </c>
      <c r="B816">
        <v>1</v>
      </c>
      <c r="C816">
        <v>8</v>
      </c>
    </row>
    <row r="817" spans="1:3" x14ac:dyDescent="0.3">
      <c r="A817">
        <v>34517</v>
      </c>
      <c r="B817">
        <v>1</v>
      </c>
      <c r="C817">
        <v>16</v>
      </c>
    </row>
    <row r="818" spans="1:3" x14ac:dyDescent="0.3">
      <c r="A818">
        <v>29374</v>
      </c>
      <c r="B818">
        <v>1</v>
      </c>
      <c r="C818">
        <v>8</v>
      </c>
    </row>
    <row r="819" spans="1:3" x14ac:dyDescent="0.3">
      <c r="A819">
        <v>29125</v>
      </c>
      <c r="B819">
        <v>1</v>
      </c>
      <c r="C819">
        <v>16</v>
      </c>
    </row>
    <row r="820" spans="1:3" x14ac:dyDescent="0.3">
      <c r="A820">
        <v>77833</v>
      </c>
      <c r="B820">
        <v>1</v>
      </c>
      <c r="C820">
        <v>8</v>
      </c>
    </row>
    <row r="821" spans="1:3" x14ac:dyDescent="0.3">
      <c r="A821">
        <v>75124</v>
      </c>
      <c r="B821">
        <v>1</v>
      </c>
      <c r="C821">
        <v>8</v>
      </c>
    </row>
    <row r="822" spans="1:3" x14ac:dyDescent="0.3">
      <c r="A822">
        <v>73847</v>
      </c>
      <c r="B822">
        <v>1</v>
      </c>
      <c r="C822">
        <v>8</v>
      </c>
    </row>
    <row r="823" spans="1:3" x14ac:dyDescent="0.3">
      <c r="A823">
        <v>72979</v>
      </c>
      <c r="B823">
        <v>1</v>
      </c>
      <c r="C823">
        <v>8</v>
      </c>
    </row>
    <row r="824" spans="1:3" x14ac:dyDescent="0.3">
      <c r="A824">
        <v>69656</v>
      </c>
      <c r="B824">
        <v>1</v>
      </c>
      <c r="C824">
        <v>8</v>
      </c>
    </row>
    <row r="825" spans="1:3" x14ac:dyDescent="0.3">
      <c r="A825">
        <v>60874</v>
      </c>
      <c r="B825">
        <v>1</v>
      </c>
      <c r="C825">
        <v>8</v>
      </c>
    </row>
    <row r="826" spans="1:3" x14ac:dyDescent="0.3">
      <c r="A826">
        <v>59737</v>
      </c>
      <c r="B826">
        <v>1</v>
      </c>
      <c r="C826">
        <v>8</v>
      </c>
    </row>
    <row r="827" spans="1:3" x14ac:dyDescent="0.3">
      <c r="A827">
        <v>57631</v>
      </c>
      <c r="B827">
        <v>1</v>
      </c>
      <c r="C827">
        <v>8</v>
      </c>
    </row>
    <row r="828" spans="1:3" x14ac:dyDescent="0.3">
      <c r="A828">
        <v>55170</v>
      </c>
      <c r="B828">
        <v>1</v>
      </c>
      <c r="C828">
        <v>8</v>
      </c>
    </row>
    <row r="829" spans="1:3" x14ac:dyDescent="0.3">
      <c r="A829">
        <v>55159</v>
      </c>
      <c r="B829">
        <v>1</v>
      </c>
      <c r="C829">
        <v>8</v>
      </c>
    </row>
    <row r="830" spans="1:3" x14ac:dyDescent="0.3">
      <c r="A830">
        <v>51554</v>
      </c>
      <c r="B830">
        <v>1</v>
      </c>
      <c r="C830">
        <v>8</v>
      </c>
    </row>
    <row r="831" spans="1:3" x14ac:dyDescent="0.3">
      <c r="A831">
        <v>51215</v>
      </c>
      <c r="B831">
        <v>1</v>
      </c>
      <c r="C831">
        <v>8</v>
      </c>
    </row>
    <row r="832" spans="1:3" x14ac:dyDescent="0.3">
      <c r="A832">
        <v>35779</v>
      </c>
      <c r="B832">
        <v>1</v>
      </c>
      <c r="C832">
        <v>8</v>
      </c>
    </row>
    <row r="833" spans="1:3" x14ac:dyDescent="0.3">
      <c r="A833">
        <v>33994</v>
      </c>
      <c r="B833">
        <v>1</v>
      </c>
      <c r="C833">
        <v>8</v>
      </c>
    </row>
    <row r="834" spans="1:3" x14ac:dyDescent="0.3">
      <c r="A834">
        <v>26408</v>
      </c>
      <c r="B834">
        <v>1</v>
      </c>
      <c r="C834">
        <v>8</v>
      </c>
    </row>
    <row r="835" spans="1:3" x14ac:dyDescent="0.3">
      <c r="A835">
        <v>10727</v>
      </c>
      <c r="B835">
        <v>1</v>
      </c>
      <c r="C835">
        <v>8</v>
      </c>
    </row>
    <row r="836" spans="1:3" x14ac:dyDescent="0.3">
      <c r="A836">
        <v>78166</v>
      </c>
      <c r="B836">
        <v>1</v>
      </c>
      <c r="C836">
        <v>8</v>
      </c>
    </row>
    <row r="837" spans="1:3" x14ac:dyDescent="0.3">
      <c r="A837">
        <v>75145</v>
      </c>
      <c r="B837">
        <v>1</v>
      </c>
      <c r="C837">
        <v>16</v>
      </c>
    </row>
    <row r="838" spans="1:3" x14ac:dyDescent="0.3">
      <c r="A838">
        <v>13725</v>
      </c>
      <c r="B838">
        <v>1</v>
      </c>
      <c r="C838">
        <v>16</v>
      </c>
    </row>
    <row r="839" spans="1:3" x14ac:dyDescent="0.3">
      <c r="A839">
        <v>15610</v>
      </c>
      <c r="B839">
        <v>1</v>
      </c>
      <c r="C839">
        <v>8</v>
      </c>
    </row>
    <row r="840" spans="1:3" x14ac:dyDescent="0.3">
      <c r="A840">
        <v>67351</v>
      </c>
      <c r="B840">
        <v>1</v>
      </c>
      <c r="C840">
        <v>8</v>
      </c>
    </row>
    <row r="841" spans="1:3" x14ac:dyDescent="0.3">
      <c r="A841">
        <v>16966</v>
      </c>
      <c r="B841">
        <v>1</v>
      </c>
      <c r="C841">
        <v>16</v>
      </c>
    </row>
    <row r="842" spans="1:3" x14ac:dyDescent="0.3">
      <c r="A842">
        <v>64953</v>
      </c>
      <c r="B842">
        <v>1</v>
      </c>
      <c r="C842">
        <v>8</v>
      </c>
    </row>
    <row r="843" spans="1:3" x14ac:dyDescent="0.3">
      <c r="A843">
        <v>63343</v>
      </c>
      <c r="B843">
        <v>1</v>
      </c>
      <c r="C843">
        <v>8</v>
      </c>
    </row>
    <row r="844" spans="1:3" x14ac:dyDescent="0.3">
      <c r="A844">
        <v>45334</v>
      </c>
      <c r="B844">
        <v>1</v>
      </c>
      <c r="C844">
        <v>8</v>
      </c>
    </row>
    <row r="845" spans="1:3" x14ac:dyDescent="0.3">
      <c r="A845">
        <v>43000</v>
      </c>
      <c r="B845">
        <v>1</v>
      </c>
      <c r="C845">
        <v>16</v>
      </c>
    </row>
    <row r="846" spans="1:3" x14ac:dyDescent="0.3">
      <c r="A846">
        <v>41621</v>
      </c>
      <c r="B846">
        <v>1</v>
      </c>
      <c r="C846">
        <v>8</v>
      </c>
    </row>
    <row r="847" spans="1:3" x14ac:dyDescent="0.3">
      <c r="A847">
        <v>39751</v>
      </c>
      <c r="B847">
        <v>1</v>
      </c>
      <c r="C847">
        <v>8</v>
      </c>
    </row>
    <row r="848" spans="1:3" x14ac:dyDescent="0.3">
      <c r="A848">
        <v>24254</v>
      </c>
      <c r="B848">
        <v>1</v>
      </c>
      <c r="C848">
        <v>8</v>
      </c>
    </row>
    <row r="849" spans="1:3" x14ac:dyDescent="0.3">
      <c r="A849">
        <v>27670</v>
      </c>
      <c r="B849">
        <v>1</v>
      </c>
      <c r="C849">
        <v>16</v>
      </c>
    </row>
    <row r="850" spans="1:3" x14ac:dyDescent="0.3">
      <c r="A850">
        <v>77432</v>
      </c>
      <c r="B850">
        <v>1</v>
      </c>
      <c r="C850">
        <v>8</v>
      </c>
    </row>
    <row r="851" spans="1:3" x14ac:dyDescent="0.3">
      <c r="A851">
        <v>75039</v>
      </c>
      <c r="B851">
        <v>1</v>
      </c>
      <c r="C851">
        <v>8</v>
      </c>
    </row>
    <row r="852" spans="1:3" x14ac:dyDescent="0.3">
      <c r="A852">
        <v>73710</v>
      </c>
      <c r="B852">
        <v>1</v>
      </c>
      <c r="C852">
        <v>8</v>
      </c>
    </row>
    <row r="853" spans="1:3" x14ac:dyDescent="0.3">
      <c r="A853">
        <v>41097</v>
      </c>
      <c r="B853">
        <v>1</v>
      </c>
      <c r="C853">
        <v>16</v>
      </c>
    </row>
    <row r="854" spans="1:3" x14ac:dyDescent="0.3">
      <c r="A854">
        <v>34276</v>
      </c>
      <c r="B854">
        <v>1</v>
      </c>
      <c r="C854">
        <v>16</v>
      </c>
    </row>
    <row r="855" spans="1:3" x14ac:dyDescent="0.3">
      <c r="A855">
        <v>74187</v>
      </c>
      <c r="B855">
        <v>1</v>
      </c>
      <c r="C855">
        <v>8</v>
      </c>
    </row>
    <row r="856" spans="1:3" x14ac:dyDescent="0.3">
      <c r="A856">
        <v>74885</v>
      </c>
      <c r="B856">
        <v>1</v>
      </c>
      <c r="C856">
        <v>8</v>
      </c>
    </row>
    <row r="857" spans="1:3" x14ac:dyDescent="0.3">
      <c r="A857">
        <v>74827</v>
      </c>
      <c r="B857">
        <v>1</v>
      </c>
      <c r="C857">
        <v>8</v>
      </c>
    </row>
    <row r="858" spans="1:3" x14ac:dyDescent="0.3">
      <c r="A858">
        <v>71988</v>
      </c>
      <c r="B858">
        <v>1</v>
      </c>
      <c r="C858">
        <v>8</v>
      </c>
    </row>
    <row r="859" spans="1:3" x14ac:dyDescent="0.3">
      <c r="A859">
        <v>68743</v>
      </c>
      <c r="B859">
        <v>1</v>
      </c>
      <c r="C859">
        <v>8</v>
      </c>
    </row>
    <row r="860" spans="1:3" x14ac:dyDescent="0.3">
      <c r="A860">
        <v>16166</v>
      </c>
      <c r="B860">
        <v>1</v>
      </c>
      <c r="C860">
        <v>8</v>
      </c>
    </row>
    <row r="861" spans="1:3" x14ac:dyDescent="0.3">
      <c r="A861">
        <v>66961</v>
      </c>
      <c r="B861">
        <v>1</v>
      </c>
      <c r="C861">
        <v>8</v>
      </c>
    </row>
    <row r="862" spans="1:3" x14ac:dyDescent="0.3">
      <c r="A862">
        <v>60882</v>
      </c>
      <c r="B862">
        <v>1</v>
      </c>
      <c r="C862">
        <v>8</v>
      </c>
    </row>
    <row r="863" spans="1:3" x14ac:dyDescent="0.3">
      <c r="A863">
        <v>58590</v>
      </c>
      <c r="B863">
        <v>1</v>
      </c>
      <c r="C863">
        <v>8</v>
      </c>
    </row>
    <row r="864" spans="1:3" x14ac:dyDescent="0.3">
      <c r="A864">
        <v>49979</v>
      </c>
      <c r="B864">
        <v>1</v>
      </c>
      <c r="C864">
        <v>8</v>
      </c>
    </row>
    <row r="865" spans="1:3" x14ac:dyDescent="0.3">
      <c r="A865">
        <v>48739</v>
      </c>
      <c r="B865">
        <v>1</v>
      </c>
      <c r="C865">
        <v>8</v>
      </c>
    </row>
    <row r="866" spans="1:3" x14ac:dyDescent="0.3">
      <c r="A866">
        <v>46103</v>
      </c>
      <c r="B866">
        <v>1</v>
      </c>
      <c r="C866">
        <v>8</v>
      </c>
    </row>
    <row r="867" spans="1:3" x14ac:dyDescent="0.3">
      <c r="A867">
        <v>38252</v>
      </c>
      <c r="B867">
        <v>1</v>
      </c>
      <c r="C867">
        <v>8</v>
      </c>
    </row>
    <row r="868" spans="1:3" x14ac:dyDescent="0.3">
      <c r="A868">
        <v>33951</v>
      </c>
      <c r="B868">
        <v>1</v>
      </c>
      <c r="C868">
        <v>8</v>
      </c>
    </row>
    <row r="869" spans="1:3" x14ac:dyDescent="0.3">
      <c r="A869">
        <v>78035</v>
      </c>
      <c r="B869">
        <v>1</v>
      </c>
      <c r="C869">
        <v>8</v>
      </c>
    </row>
    <row r="870" spans="1:3" x14ac:dyDescent="0.3">
      <c r="A870">
        <v>77940</v>
      </c>
      <c r="B870">
        <v>1</v>
      </c>
      <c r="C870">
        <v>8</v>
      </c>
    </row>
    <row r="871" spans="1:3" x14ac:dyDescent="0.3">
      <c r="A871">
        <v>74177</v>
      </c>
      <c r="B871">
        <v>1</v>
      </c>
      <c r="C871">
        <v>8</v>
      </c>
    </row>
    <row r="872" spans="1:3" x14ac:dyDescent="0.3">
      <c r="A872">
        <v>13493</v>
      </c>
      <c r="B872">
        <v>1</v>
      </c>
      <c r="C872">
        <v>8</v>
      </c>
    </row>
    <row r="873" spans="1:3" x14ac:dyDescent="0.3">
      <c r="A873">
        <v>71695</v>
      </c>
      <c r="B873">
        <v>1</v>
      </c>
      <c r="C873">
        <v>8</v>
      </c>
    </row>
    <row r="874" spans="1:3" x14ac:dyDescent="0.3">
      <c r="A874">
        <v>18459</v>
      </c>
      <c r="B874">
        <v>1</v>
      </c>
      <c r="C874">
        <v>8</v>
      </c>
    </row>
    <row r="875" spans="1:3" x14ac:dyDescent="0.3">
      <c r="A875">
        <v>48076</v>
      </c>
      <c r="B875">
        <v>1</v>
      </c>
      <c r="C875">
        <v>8</v>
      </c>
    </row>
    <row r="876" spans="1:3" x14ac:dyDescent="0.3">
      <c r="A876">
        <v>45875</v>
      </c>
      <c r="B876">
        <v>1</v>
      </c>
      <c r="C876">
        <v>8</v>
      </c>
    </row>
    <row r="877" spans="1:3" x14ac:dyDescent="0.3">
      <c r="A877">
        <v>43258</v>
      </c>
      <c r="B877">
        <v>1</v>
      </c>
      <c r="C877">
        <v>8</v>
      </c>
    </row>
    <row r="878" spans="1:3" x14ac:dyDescent="0.3">
      <c r="A878">
        <v>37460</v>
      </c>
      <c r="B878">
        <v>1</v>
      </c>
      <c r="C878">
        <v>16</v>
      </c>
    </row>
    <row r="879" spans="1:3" x14ac:dyDescent="0.3">
      <c r="A879">
        <v>33405</v>
      </c>
      <c r="B879">
        <v>1</v>
      </c>
      <c r="C879">
        <v>8</v>
      </c>
    </row>
    <row r="880" spans="1:3" x14ac:dyDescent="0.3">
      <c r="A880">
        <v>31130</v>
      </c>
      <c r="B880">
        <v>1</v>
      </c>
      <c r="C880">
        <v>16</v>
      </c>
    </row>
    <row r="881" spans="1:3" x14ac:dyDescent="0.3">
      <c r="A881">
        <v>28944</v>
      </c>
      <c r="B881">
        <v>1</v>
      </c>
      <c r="C881">
        <v>8</v>
      </c>
    </row>
    <row r="882" spans="1:3" x14ac:dyDescent="0.3">
      <c r="A882">
        <v>28786</v>
      </c>
      <c r="B882">
        <v>1</v>
      </c>
      <c r="C882">
        <v>8</v>
      </c>
    </row>
    <row r="883" spans="1:3" x14ac:dyDescent="0.3">
      <c r="A883">
        <v>26321</v>
      </c>
      <c r="B883">
        <v>1</v>
      </c>
      <c r="C883">
        <v>16</v>
      </c>
    </row>
    <row r="884" spans="1:3" x14ac:dyDescent="0.3">
      <c r="A884">
        <v>72825</v>
      </c>
      <c r="B884">
        <v>1</v>
      </c>
      <c r="C884">
        <v>8</v>
      </c>
    </row>
    <row r="885" spans="1:3" x14ac:dyDescent="0.3">
      <c r="A885">
        <v>61341</v>
      </c>
      <c r="B885">
        <v>1</v>
      </c>
      <c r="C885">
        <v>8</v>
      </c>
    </row>
    <row r="886" spans="1:3" x14ac:dyDescent="0.3">
      <c r="A886">
        <v>26328</v>
      </c>
      <c r="B886">
        <v>1</v>
      </c>
      <c r="C886">
        <v>8</v>
      </c>
    </row>
    <row r="887" spans="1:3" x14ac:dyDescent="0.3">
      <c r="A887">
        <v>75879</v>
      </c>
      <c r="B887">
        <v>1</v>
      </c>
      <c r="C887">
        <v>16</v>
      </c>
    </row>
    <row r="888" spans="1:3" x14ac:dyDescent="0.3">
      <c r="A888">
        <v>72980</v>
      </c>
      <c r="B888">
        <v>1</v>
      </c>
      <c r="C888">
        <v>8</v>
      </c>
    </row>
    <row r="889" spans="1:3" x14ac:dyDescent="0.3">
      <c r="A889">
        <v>67298</v>
      </c>
      <c r="B889">
        <v>1</v>
      </c>
      <c r="C889">
        <v>8</v>
      </c>
    </row>
    <row r="890" spans="1:3" x14ac:dyDescent="0.3">
      <c r="A890">
        <v>63061</v>
      </c>
      <c r="B890">
        <v>1</v>
      </c>
      <c r="C890">
        <v>8</v>
      </c>
    </row>
    <row r="891" spans="1:3" x14ac:dyDescent="0.3">
      <c r="A891">
        <v>61483</v>
      </c>
      <c r="B891">
        <v>1</v>
      </c>
      <c r="C891">
        <v>8</v>
      </c>
    </row>
    <row r="892" spans="1:3" x14ac:dyDescent="0.3">
      <c r="A892">
        <v>60612</v>
      </c>
      <c r="B892">
        <v>1</v>
      </c>
      <c r="C892">
        <v>8</v>
      </c>
    </row>
    <row r="893" spans="1:3" x14ac:dyDescent="0.3">
      <c r="A893">
        <v>50783</v>
      </c>
      <c r="B893">
        <v>1</v>
      </c>
      <c r="C893">
        <v>8</v>
      </c>
    </row>
    <row r="894" spans="1:3" x14ac:dyDescent="0.3">
      <c r="A894">
        <v>47802</v>
      </c>
      <c r="B894">
        <v>1</v>
      </c>
      <c r="C894">
        <v>8</v>
      </c>
    </row>
    <row r="895" spans="1:3" x14ac:dyDescent="0.3">
      <c r="A895">
        <v>38477</v>
      </c>
      <c r="B895">
        <v>1</v>
      </c>
      <c r="C895">
        <v>8</v>
      </c>
    </row>
    <row r="896" spans="1:3" x14ac:dyDescent="0.3">
      <c r="A896">
        <v>66126</v>
      </c>
      <c r="B896">
        <v>1</v>
      </c>
      <c r="C896">
        <v>8</v>
      </c>
    </row>
    <row r="897" spans="1:3" x14ac:dyDescent="0.3">
      <c r="A897">
        <v>60797</v>
      </c>
      <c r="B897">
        <v>1</v>
      </c>
      <c r="C897">
        <v>8</v>
      </c>
    </row>
    <row r="898" spans="1:3" x14ac:dyDescent="0.3">
      <c r="A898">
        <v>59024</v>
      </c>
      <c r="B898">
        <v>1</v>
      </c>
      <c r="C898">
        <v>8</v>
      </c>
    </row>
    <row r="899" spans="1:3" x14ac:dyDescent="0.3">
      <c r="A899">
        <v>51990</v>
      </c>
      <c r="B899">
        <v>1</v>
      </c>
      <c r="C899">
        <v>8</v>
      </c>
    </row>
    <row r="900" spans="1:3" x14ac:dyDescent="0.3">
      <c r="A900">
        <v>42890</v>
      </c>
      <c r="B900">
        <v>1</v>
      </c>
      <c r="C900">
        <v>8</v>
      </c>
    </row>
    <row r="901" spans="1:3" x14ac:dyDescent="0.3">
      <c r="A901">
        <v>10419</v>
      </c>
      <c r="B901">
        <v>1</v>
      </c>
      <c r="C901">
        <v>16</v>
      </c>
    </row>
    <row r="902" spans="1:3" x14ac:dyDescent="0.3">
      <c r="A902">
        <v>78204</v>
      </c>
      <c r="B902">
        <v>1</v>
      </c>
      <c r="C902">
        <v>8</v>
      </c>
    </row>
    <row r="903" spans="1:3" x14ac:dyDescent="0.3">
      <c r="A903">
        <v>12796</v>
      </c>
      <c r="B903">
        <v>1</v>
      </c>
      <c r="C903">
        <v>8</v>
      </c>
    </row>
    <row r="904" spans="1:3" x14ac:dyDescent="0.3">
      <c r="A904">
        <v>73784</v>
      </c>
      <c r="B904">
        <v>1</v>
      </c>
      <c r="C904">
        <v>8</v>
      </c>
    </row>
    <row r="905" spans="1:3" x14ac:dyDescent="0.3">
      <c r="A905">
        <v>71698</v>
      </c>
      <c r="B905">
        <v>1</v>
      </c>
      <c r="C905">
        <v>8</v>
      </c>
    </row>
    <row r="906" spans="1:3" x14ac:dyDescent="0.3">
      <c r="A906">
        <v>67786</v>
      </c>
      <c r="B906">
        <v>1</v>
      </c>
      <c r="C906">
        <v>16</v>
      </c>
    </row>
    <row r="907" spans="1:3" x14ac:dyDescent="0.3">
      <c r="A907">
        <v>65044</v>
      </c>
      <c r="B907">
        <v>1</v>
      </c>
      <c r="C907">
        <v>8</v>
      </c>
    </row>
    <row r="908" spans="1:3" x14ac:dyDescent="0.3">
      <c r="A908">
        <v>60158</v>
      </c>
      <c r="B908">
        <v>1</v>
      </c>
      <c r="C908">
        <v>16</v>
      </c>
    </row>
    <row r="909" spans="1:3" x14ac:dyDescent="0.3">
      <c r="A909">
        <v>51154</v>
      </c>
      <c r="B909">
        <v>1</v>
      </c>
      <c r="C909">
        <v>8</v>
      </c>
    </row>
    <row r="910" spans="1:3" x14ac:dyDescent="0.3">
      <c r="A910">
        <v>49745</v>
      </c>
      <c r="B910">
        <v>1</v>
      </c>
      <c r="C910">
        <v>8</v>
      </c>
    </row>
    <row r="911" spans="1:3" x14ac:dyDescent="0.3">
      <c r="A911">
        <v>34269</v>
      </c>
      <c r="B911">
        <v>1</v>
      </c>
      <c r="C911">
        <v>8</v>
      </c>
    </row>
    <row r="912" spans="1:3" x14ac:dyDescent="0.3">
      <c r="A912">
        <v>74630</v>
      </c>
      <c r="B912">
        <v>1</v>
      </c>
      <c r="C912">
        <v>16</v>
      </c>
    </row>
    <row r="913" spans="1:3" x14ac:dyDescent="0.3">
      <c r="A913">
        <v>73538</v>
      </c>
      <c r="B913">
        <v>1</v>
      </c>
      <c r="C913">
        <v>8</v>
      </c>
    </row>
    <row r="914" spans="1:3" x14ac:dyDescent="0.3">
      <c r="A914">
        <v>68659</v>
      </c>
      <c r="B914">
        <v>1</v>
      </c>
      <c r="C914">
        <v>8</v>
      </c>
    </row>
    <row r="915" spans="1:3" x14ac:dyDescent="0.3">
      <c r="A915">
        <v>66864</v>
      </c>
      <c r="B915">
        <v>1</v>
      </c>
      <c r="C915">
        <v>16</v>
      </c>
    </row>
    <row r="916" spans="1:3" x14ac:dyDescent="0.3">
      <c r="A916">
        <v>45587</v>
      </c>
      <c r="B916">
        <v>1</v>
      </c>
      <c r="C916">
        <v>16</v>
      </c>
    </row>
    <row r="917" spans="1:3" x14ac:dyDescent="0.3">
      <c r="A917">
        <v>78598</v>
      </c>
      <c r="B917">
        <v>1</v>
      </c>
      <c r="C917">
        <v>8</v>
      </c>
    </row>
    <row r="918" spans="1:3" x14ac:dyDescent="0.3">
      <c r="A918">
        <v>76786</v>
      </c>
      <c r="B918">
        <v>1</v>
      </c>
      <c r="C918">
        <v>16</v>
      </c>
    </row>
    <row r="919" spans="1:3" x14ac:dyDescent="0.3">
      <c r="A919">
        <v>74886</v>
      </c>
      <c r="B919">
        <v>1</v>
      </c>
      <c r="C919">
        <v>8</v>
      </c>
    </row>
    <row r="920" spans="1:3" x14ac:dyDescent="0.3">
      <c r="A920">
        <v>55795</v>
      </c>
      <c r="B920">
        <v>1</v>
      </c>
      <c r="C920">
        <v>16</v>
      </c>
    </row>
    <row r="921" spans="1:3" x14ac:dyDescent="0.3">
      <c r="A921">
        <v>31823</v>
      </c>
      <c r="B921">
        <v>1</v>
      </c>
      <c r="C921">
        <v>16</v>
      </c>
    </row>
    <row r="922" spans="1:3" x14ac:dyDescent="0.3">
      <c r="A922">
        <v>51216</v>
      </c>
      <c r="B922">
        <v>1</v>
      </c>
      <c r="C922">
        <v>8</v>
      </c>
    </row>
    <row r="923" spans="1:3" x14ac:dyDescent="0.3">
      <c r="A923">
        <v>51208</v>
      </c>
      <c r="B923">
        <v>1</v>
      </c>
      <c r="C923">
        <v>8</v>
      </c>
    </row>
    <row r="924" spans="1:3" x14ac:dyDescent="0.3">
      <c r="A924">
        <v>49904</v>
      </c>
      <c r="B924">
        <v>1</v>
      </c>
      <c r="C924">
        <v>16</v>
      </c>
    </row>
    <row r="925" spans="1:3" x14ac:dyDescent="0.3">
      <c r="A925">
        <v>24107</v>
      </c>
      <c r="B925">
        <v>1</v>
      </c>
      <c r="C925">
        <v>8</v>
      </c>
    </row>
    <row r="926" spans="1:3" x14ac:dyDescent="0.3">
      <c r="A926">
        <v>31444</v>
      </c>
      <c r="B926">
        <v>1</v>
      </c>
      <c r="C926">
        <v>8</v>
      </c>
    </row>
    <row r="927" spans="1:3" x14ac:dyDescent="0.3">
      <c r="A927">
        <v>74904</v>
      </c>
      <c r="B927">
        <v>1</v>
      </c>
      <c r="C927">
        <v>8</v>
      </c>
    </row>
    <row r="928" spans="1:3" x14ac:dyDescent="0.3">
      <c r="A928">
        <v>67257</v>
      </c>
      <c r="B928">
        <v>1</v>
      </c>
      <c r="C928">
        <v>8</v>
      </c>
    </row>
    <row r="929" spans="1:3" x14ac:dyDescent="0.3">
      <c r="A929">
        <v>66000</v>
      </c>
      <c r="B929">
        <v>1</v>
      </c>
      <c r="C929">
        <v>8</v>
      </c>
    </row>
    <row r="930" spans="1:3" x14ac:dyDescent="0.3">
      <c r="A930">
        <v>73553</v>
      </c>
      <c r="B930">
        <v>1</v>
      </c>
      <c r="C930">
        <v>8</v>
      </c>
    </row>
    <row r="931" spans="1:3" x14ac:dyDescent="0.3">
      <c r="A931">
        <v>73028</v>
      </c>
      <c r="B931">
        <v>1</v>
      </c>
      <c r="C931">
        <v>8</v>
      </c>
    </row>
    <row r="932" spans="1:3" x14ac:dyDescent="0.3">
      <c r="A932">
        <v>72665</v>
      </c>
      <c r="B932">
        <v>1</v>
      </c>
      <c r="C932">
        <v>8</v>
      </c>
    </row>
    <row r="933" spans="1:3" x14ac:dyDescent="0.3">
      <c r="A933">
        <v>16543</v>
      </c>
      <c r="B933">
        <v>1</v>
      </c>
      <c r="C933">
        <v>8</v>
      </c>
    </row>
    <row r="934" spans="1:3" x14ac:dyDescent="0.3">
      <c r="A934">
        <v>62513</v>
      </c>
      <c r="B934">
        <v>1</v>
      </c>
      <c r="C934">
        <v>8</v>
      </c>
    </row>
    <row r="935" spans="1:3" x14ac:dyDescent="0.3">
      <c r="A935">
        <v>42357</v>
      </c>
      <c r="B935">
        <v>1</v>
      </c>
      <c r="C935">
        <v>8</v>
      </c>
    </row>
    <row r="936" spans="1:3" x14ac:dyDescent="0.3">
      <c r="A936">
        <v>42113</v>
      </c>
      <c r="B936">
        <v>1</v>
      </c>
      <c r="C936">
        <v>8</v>
      </c>
    </row>
    <row r="937" spans="1:3" x14ac:dyDescent="0.3">
      <c r="A937">
        <v>41272</v>
      </c>
      <c r="B937">
        <v>1</v>
      </c>
      <c r="C937">
        <v>8</v>
      </c>
    </row>
    <row r="938" spans="1:3" x14ac:dyDescent="0.3">
      <c r="A938">
        <v>36349</v>
      </c>
      <c r="B938">
        <v>1</v>
      </c>
      <c r="C938">
        <v>8</v>
      </c>
    </row>
    <row r="939" spans="1:3" x14ac:dyDescent="0.3">
      <c r="A939">
        <v>29127</v>
      </c>
      <c r="B939">
        <v>1</v>
      </c>
      <c r="C939">
        <v>8</v>
      </c>
    </row>
    <row r="940" spans="1:3" x14ac:dyDescent="0.3">
      <c r="A940">
        <v>26855</v>
      </c>
      <c r="B940">
        <v>1</v>
      </c>
      <c r="C940">
        <v>8</v>
      </c>
    </row>
    <row r="941" spans="1:3" x14ac:dyDescent="0.3">
      <c r="A941">
        <v>78160</v>
      </c>
      <c r="B941">
        <v>1</v>
      </c>
      <c r="C941">
        <v>8</v>
      </c>
    </row>
    <row r="942" spans="1:3" x14ac:dyDescent="0.3">
      <c r="A942">
        <v>68708</v>
      </c>
      <c r="B942">
        <v>1</v>
      </c>
      <c r="C942">
        <v>8</v>
      </c>
    </row>
    <row r="943" spans="1:3" x14ac:dyDescent="0.3">
      <c r="A943">
        <v>21261</v>
      </c>
      <c r="B943">
        <v>1</v>
      </c>
      <c r="C943">
        <v>8</v>
      </c>
    </row>
    <row r="944" spans="1:3" x14ac:dyDescent="0.3">
      <c r="A944">
        <v>21262</v>
      </c>
      <c r="B944">
        <v>1</v>
      </c>
      <c r="C944">
        <v>16</v>
      </c>
    </row>
    <row r="945" spans="1:3" x14ac:dyDescent="0.3">
      <c r="A945">
        <v>75493</v>
      </c>
      <c r="B945">
        <v>1</v>
      </c>
      <c r="C945">
        <v>8</v>
      </c>
    </row>
    <row r="946" spans="1:3" x14ac:dyDescent="0.3">
      <c r="A946">
        <v>73531</v>
      </c>
      <c r="B946">
        <v>1</v>
      </c>
      <c r="C946">
        <v>8</v>
      </c>
    </row>
    <row r="947" spans="1:3" x14ac:dyDescent="0.3">
      <c r="A947">
        <v>71422</v>
      </c>
      <c r="B947">
        <v>1</v>
      </c>
      <c r="C947">
        <v>8</v>
      </c>
    </row>
    <row r="948" spans="1:3" x14ac:dyDescent="0.3">
      <c r="A948">
        <v>66115</v>
      </c>
      <c r="B948">
        <v>1</v>
      </c>
      <c r="C948">
        <v>8</v>
      </c>
    </row>
    <row r="949" spans="1:3" x14ac:dyDescent="0.3">
      <c r="A949">
        <v>56784</v>
      </c>
      <c r="B949">
        <v>1</v>
      </c>
      <c r="C949">
        <v>8</v>
      </c>
    </row>
    <row r="950" spans="1:3" x14ac:dyDescent="0.3">
      <c r="A950">
        <v>51641</v>
      </c>
      <c r="B950">
        <v>1</v>
      </c>
      <c r="C950">
        <v>8</v>
      </c>
    </row>
    <row r="951" spans="1:3" x14ac:dyDescent="0.3">
      <c r="A951">
        <v>46879</v>
      </c>
      <c r="B951">
        <v>1</v>
      </c>
      <c r="C951">
        <v>8</v>
      </c>
    </row>
    <row r="952" spans="1:3" x14ac:dyDescent="0.3">
      <c r="A952">
        <v>46193</v>
      </c>
      <c r="B952">
        <v>1</v>
      </c>
      <c r="C952">
        <v>8</v>
      </c>
    </row>
    <row r="953" spans="1:3" x14ac:dyDescent="0.3">
      <c r="A953">
        <v>39970</v>
      </c>
      <c r="B953">
        <v>1</v>
      </c>
      <c r="C953">
        <v>8</v>
      </c>
    </row>
    <row r="954" spans="1:3" x14ac:dyDescent="0.3">
      <c r="A954">
        <v>24772</v>
      </c>
      <c r="B954">
        <v>1</v>
      </c>
      <c r="C954">
        <v>8</v>
      </c>
    </row>
    <row r="955" spans="1:3" x14ac:dyDescent="0.3">
      <c r="A955">
        <v>25431</v>
      </c>
      <c r="B955">
        <v>1</v>
      </c>
      <c r="C955">
        <v>8</v>
      </c>
    </row>
    <row r="956" spans="1:3" x14ac:dyDescent="0.3">
      <c r="A956">
        <v>75310</v>
      </c>
      <c r="B956">
        <v>1</v>
      </c>
      <c r="C956">
        <v>8</v>
      </c>
    </row>
    <row r="957" spans="1:3" x14ac:dyDescent="0.3">
      <c r="A957">
        <v>70973</v>
      </c>
      <c r="B957">
        <v>1</v>
      </c>
      <c r="C957">
        <v>8</v>
      </c>
    </row>
    <row r="958" spans="1:3" x14ac:dyDescent="0.3">
      <c r="A958">
        <v>70362</v>
      </c>
      <c r="B958">
        <v>1</v>
      </c>
      <c r="C958">
        <v>8</v>
      </c>
    </row>
    <row r="959" spans="1:3" x14ac:dyDescent="0.3">
      <c r="A959">
        <v>69253</v>
      </c>
      <c r="B959">
        <v>1</v>
      </c>
      <c r="C959">
        <v>8</v>
      </c>
    </row>
    <row r="960" spans="1:3" x14ac:dyDescent="0.3">
      <c r="A960">
        <v>66546</v>
      </c>
      <c r="B960">
        <v>1</v>
      </c>
      <c r="C960">
        <v>8</v>
      </c>
    </row>
    <row r="961" spans="1:3" x14ac:dyDescent="0.3">
      <c r="A961">
        <v>51409</v>
      </c>
      <c r="B961">
        <v>1</v>
      </c>
      <c r="C961">
        <v>16</v>
      </c>
    </row>
    <row r="962" spans="1:3" x14ac:dyDescent="0.3">
      <c r="A962">
        <v>49924</v>
      </c>
      <c r="B962">
        <v>1</v>
      </c>
      <c r="C962">
        <v>16</v>
      </c>
    </row>
    <row r="963" spans="1:3" x14ac:dyDescent="0.3">
      <c r="A963">
        <v>45582</v>
      </c>
      <c r="B963">
        <v>1</v>
      </c>
      <c r="C963">
        <v>8</v>
      </c>
    </row>
    <row r="964" spans="1:3" x14ac:dyDescent="0.3">
      <c r="A964">
        <v>40135</v>
      </c>
      <c r="B964">
        <v>1</v>
      </c>
      <c r="C964">
        <v>8</v>
      </c>
    </row>
    <row r="965" spans="1:3" x14ac:dyDescent="0.3">
      <c r="A965">
        <v>76567</v>
      </c>
      <c r="B965">
        <v>1</v>
      </c>
      <c r="C965">
        <v>8</v>
      </c>
    </row>
    <row r="966" spans="1:3" x14ac:dyDescent="0.3">
      <c r="A966">
        <v>56909</v>
      </c>
      <c r="B966">
        <v>1</v>
      </c>
      <c r="C966">
        <v>16</v>
      </c>
    </row>
    <row r="967" spans="1:3" x14ac:dyDescent="0.3">
      <c r="A967">
        <v>39695</v>
      </c>
      <c r="B967">
        <v>1</v>
      </c>
      <c r="C967">
        <v>8</v>
      </c>
    </row>
    <row r="968" spans="1:3" x14ac:dyDescent="0.3">
      <c r="A968">
        <v>30300</v>
      </c>
      <c r="B968">
        <v>1</v>
      </c>
      <c r="C968">
        <v>16</v>
      </c>
    </row>
    <row r="969" spans="1:3" x14ac:dyDescent="0.3">
      <c r="A969">
        <v>30299</v>
      </c>
      <c r="B969">
        <v>1</v>
      </c>
      <c r="C969">
        <v>8</v>
      </c>
    </row>
    <row r="970" spans="1:3" x14ac:dyDescent="0.3">
      <c r="A970">
        <v>26799</v>
      </c>
      <c r="B970">
        <v>1</v>
      </c>
      <c r="C970">
        <v>8</v>
      </c>
    </row>
    <row r="971" spans="1:3" x14ac:dyDescent="0.3">
      <c r="A971">
        <v>72658</v>
      </c>
      <c r="B971">
        <v>1</v>
      </c>
      <c r="C971">
        <v>8</v>
      </c>
    </row>
    <row r="972" spans="1:3" x14ac:dyDescent="0.3">
      <c r="A972">
        <v>68754</v>
      </c>
      <c r="B972">
        <v>1</v>
      </c>
      <c r="C972">
        <v>8</v>
      </c>
    </row>
    <row r="973" spans="1:3" x14ac:dyDescent="0.3">
      <c r="A973">
        <v>16320</v>
      </c>
      <c r="B973">
        <v>1</v>
      </c>
      <c r="C973">
        <v>8</v>
      </c>
    </row>
    <row r="974" spans="1:3" x14ac:dyDescent="0.3">
      <c r="A974">
        <v>66615</v>
      </c>
      <c r="B974">
        <v>1</v>
      </c>
      <c r="C974">
        <v>8</v>
      </c>
    </row>
    <row r="975" spans="1:3" x14ac:dyDescent="0.3">
      <c r="A975">
        <v>64122</v>
      </c>
      <c r="B975">
        <v>1</v>
      </c>
      <c r="C975">
        <v>8</v>
      </c>
    </row>
    <row r="976" spans="1:3" x14ac:dyDescent="0.3">
      <c r="A976">
        <v>61285</v>
      </c>
      <c r="B976">
        <v>1</v>
      </c>
      <c r="C976">
        <v>8</v>
      </c>
    </row>
    <row r="977" spans="1:3" x14ac:dyDescent="0.3">
      <c r="A977">
        <v>61248</v>
      </c>
      <c r="B977">
        <v>1</v>
      </c>
      <c r="C977">
        <v>8</v>
      </c>
    </row>
    <row r="978" spans="1:3" x14ac:dyDescent="0.3">
      <c r="A978">
        <v>56214</v>
      </c>
      <c r="B978">
        <v>1</v>
      </c>
      <c r="C978">
        <v>8</v>
      </c>
    </row>
    <row r="979" spans="1:3" x14ac:dyDescent="0.3">
      <c r="A979">
        <v>55129</v>
      </c>
      <c r="B979">
        <v>1</v>
      </c>
      <c r="C979">
        <v>8</v>
      </c>
    </row>
    <row r="980" spans="1:3" x14ac:dyDescent="0.3">
      <c r="A980">
        <v>49240</v>
      </c>
      <c r="B980">
        <v>1</v>
      </c>
      <c r="C980">
        <v>8</v>
      </c>
    </row>
    <row r="981" spans="1:3" x14ac:dyDescent="0.3">
      <c r="A981">
        <v>46884</v>
      </c>
      <c r="B981">
        <v>1</v>
      </c>
      <c r="C981">
        <v>8</v>
      </c>
    </row>
    <row r="982" spans="1:3" x14ac:dyDescent="0.3">
      <c r="A982">
        <v>38175</v>
      </c>
      <c r="B982">
        <v>1</v>
      </c>
      <c r="C982">
        <v>8</v>
      </c>
    </row>
    <row r="983" spans="1:3" x14ac:dyDescent="0.3">
      <c r="A983">
        <v>35340</v>
      </c>
      <c r="B983">
        <v>1</v>
      </c>
      <c r="C983">
        <v>8</v>
      </c>
    </row>
    <row r="984" spans="1:3" x14ac:dyDescent="0.3">
      <c r="A984">
        <v>34684</v>
      </c>
      <c r="B984">
        <v>1</v>
      </c>
      <c r="C984">
        <v>8</v>
      </c>
    </row>
    <row r="985" spans="1:3" x14ac:dyDescent="0.3">
      <c r="A985">
        <v>71375</v>
      </c>
      <c r="B985">
        <v>1</v>
      </c>
      <c r="C985">
        <v>8</v>
      </c>
    </row>
    <row r="986" spans="1:3" x14ac:dyDescent="0.3">
      <c r="A986">
        <v>16099</v>
      </c>
      <c r="B986">
        <v>1</v>
      </c>
      <c r="C986">
        <v>8</v>
      </c>
    </row>
    <row r="987" spans="1:3" x14ac:dyDescent="0.3">
      <c r="A987">
        <v>64253</v>
      </c>
      <c r="B987">
        <v>1</v>
      </c>
      <c r="C987">
        <v>8</v>
      </c>
    </row>
    <row r="988" spans="1:3" x14ac:dyDescent="0.3">
      <c r="A988">
        <v>59810</v>
      </c>
      <c r="B988">
        <v>1</v>
      </c>
      <c r="C988">
        <v>16</v>
      </c>
    </row>
    <row r="989" spans="1:3" x14ac:dyDescent="0.3">
      <c r="A989">
        <v>38043</v>
      </c>
      <c r="B989">
        <v>1</v>
      </c>
      <c r="C989">
        <v>8</v>
      </c>
    </row>
    <row r="990" spans="1:3" x14ac:dyDescent="0.3">
      <c r="A990">
        <v>71574</v>
      </c>
      <c r="B990">
        <v>1</v>
      </c>
      <c r="C990">
        <v>8</v>
      </c>
    </row>
    <row r="991" spans="1:3" x14ac:dyDescent="0.3">
      <c r="A991">
        <v>70435</v>
      </c>
      <c r="B991">
        <v>1</v>
      </c>
      <c r="C991">
        <v>8</v>
      </c>
    </row>
    <row r="992" spans="1:3" x14ac:dyDescent="0.3">
      <c r="A992">
        <v>70375</v>
      </c>
      <c r="B992">
        <v>1</v>
      </c>
      <c r="C992">
        <v>16</v>
      </c>
    </row>
    <row r="993" spans="1:3" x14ac:dyDescent="0.3">
      <c r="A993">
        <v>69522</v>
      </c>
      <c r="B993">
        <v>1</v>
      </c>
      <c r="C993">
        <v>8</v>
      </c>
    </row>
    <row r="994" spans="1:3" x14ac:dyDescent="0.3">
      <c r="A994">
        <v>69251</v>
      </c>
      <c r="B994">
        <v>1</v>
      </c>
      <c r="C994">
        <v>8</v>
      </c>
    </row>
    <row r="995" spans="1:3" x14ac:dyDescent="0.3">
      <c r="A995">
        <v>68507</v>
      </c>
      <c r="B995">
        <v>1</v>
      </c>
      <c r="C995">
        <v>8</v>
      </c>
    </row>
    <row r="996" spans="1:3" x14ac:dyDescent="0.3">
      <c r="A996">
        <v>56088</v>
      </c>
      <c r="B996">
        <v>1</v>
      </c>
      <c r="C996">
        <v>8</v>
      </c>
    </row>
    <row r="997" spans="1:3" x14ac:dyDescent="0.3">
      <c r="A997">
        <v>49756</v>
      </c>
      <c r="B997">
        <v>1</v>
      </c>
      <c r="C997">
        <v>8</v>
      </c>
    </row>
    <row r="998" spans="1:3" x14ac:dyDescent="0.3">
      <c r="A998">
        <v>37567</v>
      </c>
      <c r="B998">
        <v>1</v>
      </c>
      <c r="C998">
        <v>8</v>
      </c>
    </row>
    <row r="999" spans="1:3" x14ac:dyDescent="0.3">
      <c r="A999">
        <v>34787</v>
      </c>
      <c r="B999">
        <v>1</v>
      </c>
      <c r="C999">
        <v>8</v>
      </c>
    </row>
    <row r="1000" spans="1:3" x14ac:dyDescent="0.3">
      <c r="A1000">
        <v>33778</v>
      </c>
      <c r="B1000">
        <v>1</v>
      </c>
      <c r="C1000">
        <v>8</v>
      </c>
    </row>
    <row r="1001" spans="1:3" x14ac:dyDescent="0.3">
      <c r="A1001">
        <v>77439</v>
      </c>
      <c r="B1001">
        <v>1</v>
      </c>
      <c r="C1001">
        <v>8</v>
      </c>
    </row>
    <row r="1002" spans="1:3" x14ac:dyDescent="0.3">
      <c r="A1002">
        <v>74970</v>
      </c>
      <c r="B1002">
        <v>1</v>
      </c>
      <c r="C1002">
        <v>8</v>
      </c>
    </row>
    <row r="1003" spans="1:3" x14ac:dyDescent="0.3">
      <c r="A1003">
        <v>71998</v>
      </c>
      <c r="B1003">
        <v>1</v>
      </c>
      <c r="C1003">
        <v>8</v>
      </c>
    </row>
    <row r="1004" spans="1:3" x14ac:dyDescent="0.3">
      <c r="A1004">
        <v>68751</v>
      </c>
      <c r="B1004">
        <v>1</v>
      </c>
      <c r="C1004">
        <v>8</v>
      </c>
    </row>
    <row r="1005" spans="1:3" x14ac:dyDescent="0.3">
      <c r="A1005">
        <v>52589</v>
      </c>
      <c r="B1005">
        <v>1</v>
      </c>
      <c r="C1005">
        <v>8</v>
      </c>
    </row>
    <row r="1006" spans="1:3" x14ac:dyDescent="0.3">
      <c r="A1006">
        <v>49982</v>
      </c>
      <c r="B1006">
        <v>1</v>
      </c>
      <c r="C1006">
        <v>8</v>
      </c>
    </row>
    <row r="1007" spans="1:3" x14ac:dyDescent="0.3">
      <c r="A1007">
        <v>45699</v>
      </c>
      <c r="B1007">
        <v>1</v>
      </c>
      <c r="C1007">
        <v>8</v>
      </c>
    </row>
    <row r="1008" spans="1:3" x14ac:dyDescent="0.3">
      <c r="A1008">
        <v>34685</v>
      </c>
      <c r="B1008">
        <v>1</v>
      </c>
      <c r="C1008">
        <v>8</v>
      </c>
    </row>
    <row r="1009" spans="1:3" x14ac:dyDescent="0.3">
      <c r="A1009">
        <v>77654</v>
      </c>
      <c r="B1009">
        <v>1</v>
      </c>
      <c r="C1009">
        <v>8</v>
      </c>
    </row>
    <row r="1010" spans="1:3" x14ac:dyDescent="0.3">
      <c r="A1010">
        <v>12480</v>
      </c>
      <c r="B1010">
        <v>1</v>
      </c>
      <c r="C1010">
        <v>8</v>
      </c>
    </row>
    <row r="1011" spans="1:3" x14ac:dyDescent="0.3">
      <c r="A1011">
        <v>71507</v>
      </c>
      <c r="B1011">
        <v>1</v>
      </c>
      <c r="C1011">
        <v>8</v>
      </c>
    </row>
    <row r="1012" spans="1:3" x14ac:dyDescent="0.3">
      <c r="A1012">
        <v>10283</v>
      </c>
      <c r="B1012">
        <v>1</v>
      </c>
      <c r="C1012">
        <v>8</v>
      </c>
    </row>
    <row r="1013" spans="1:3" x14ac:dyDescent="0.3">
      <c r="A1013">
        <v>78468</v>
      </c>
      <c r="B1013">
        <v>1</v>
      </c>
      <c r="C1013">
        <v>8</v>
      </c>
    </row>
    <row r="1014" spans="1:3" x14ac:dyDescent="0.3">
      <c r="A1014">
        <v>75029</v>
      </c>
      <c r="B1014">
        <v>1</v>
      </c>
      <c r="C1014">
        <v>8</v>
      </c>
    </row>
    <row r="1015" spans="1:3" x14ac:dyDescent="0.3">
      <c r="A1015">
        <v>13899</v>
      </c>
      <c r="B1015">
        <v>1</v>
      </c>
      <c r="C1015">
        <v>8</v>
      </c>
    </row>
    <row r="1016" spans="1:3" x14ac:dyDescent="0.3">
      <c r="A1016">
        <v>71503</v>
      </c>
      <c r="B1016">
        <v>1</v>
      </c>
      <c r="C1016">
        <v>8</v>
      </c>
    </row>
    <row r="1017" spans="1:3" x14ac:dyDescent="0.3">
      <c r="A1017">
        <v>16242</v>
      </c>
      <c r="B1017">
        <v>1</v>
      </c>
      <c r="C1017">
        <v>8</v>
      </c>
    </row>
    <row r="1018" spans="1:3" x14ac:dyDescent="0.3">
      <c r="A1018">
        <v>62938</v>
      </c>
      <c r="B1018">
        <v>1</v>
      </c>
      <c r="C1018">
        <v>8</v>
      </c>
    </row>
    <row r="1019" spans="1:3" x14ac:dyDescent="0.3">
      <c r="A1019">
        <v>50005</v>
      </c>
      <c r="B1019">
        <v>1</v>
      </c>
      <c r="C1019">
        <v>8</v>
      </c>
    </row>
    <row r="1020" spans="1:3" x14ac:dyDescent="0.3">
      <c r="A1020">
        <v>49303</v>
      </c>
      <c r="B1020">
        <v>1</v>
      </c>
      <c r="C1020">
        <v>16</v>
      </c>
    </row>
    <row r="1021" spans="1:3" x14ac:dyDescent="0.3">
      <c r="A1021">
        <v>21415</v>
      </c>
      <c r="B1021">
        <v>1</v>
      </c>
      <c r="C1021">
        <v>8</v>
      </c>
    </row>
    <row r="1022" spans="1:3" x14ac:dyDescent="0.3">
      <c r="A1022">
        <v>22592</v>
      </c>
      <c r="B1022">
        <v>1</v>
      </c>
      <c r="C1022">
        <v>8</v>
      </c>
    </row>
    <row r="1023" spans="1:3" x14ac:dyDescent="0.3">
      <c r="A1023">
        <v>43648</v>
      </c>
      <c r="B1023">
        <v>1</v>
      </c>
      <c r="C1023">
        <v>8</v>
      </c>
    </row>
    <row r="1024" spans="1:3" x14ac:dyDescent="0.3">
      <c r="A1024">
        <v>41220</v>
      </c>
      <c r="B1024">
        <v>1</v>
      </c>
      <c r="C1024">
        <v>8</v>
      </c>
    </row>
    <row r="1025" spans="1:3" x14ac:dyDescent="0.3">
      <c r="A1025">
        <v>70364</v>
      </c>
      <c r="B1025">
        <v>1</v>
      </c>
      <c r="C1025">
        <v>8</v>
      </c>
    </row>
    <row r="1026" spans="1:3" x14ac:dyDescent="0.3">
      <c r="A1026">
        <v>62941</v>
      </c>
      <c r="B1026">
        <v>1</v>
      </c>
      <c r="C1026">
        <v>8</v>
      </c>
    </row>
    <row r="1027" spans="1:3" x14ac:dyDescent="0.3">
      <c r="A1027">
        <v>48749</v>
      </c>
      <c r="B1027">
        <v>1</v>
      </c>
      <c r="C1027">
        <v>16</v>
      </c>
    </row>
    <row r="1028" spans="1:3" x14ac:dyDescent="0.3">
      <c r="A1028">
        <v>74825</v>
      </c>
      <c r="B1028">
        <v>1</v>
      </c>
      <c r="C1028">
        <v>8</v>
      </c>
    </row>
    <row r="1029" spans="1:3" x14ac:dyDescent="0.3">
      <c r="A1029">
        <v>72343</v>
      </c>
      <c r="B1029">
        <v>1</v>
      </c>
      <c r="C1029">
        <v>8</v>
      </c>
    </row>
    <row r="1030" spans="1:3" x14ac:dyDescent="0.3">
      <c r="A1030">
        <v>71171</v>
      </c>
      <c r="B1030">
        <v>1</v>
      </c>
      <c r="C1030">
        <v>8</v>
      </c>
    </row>
    <row r="1031" spans="1:3" x14ac:dyDescent="0.3">
      <c r="A1031">
        <v>71056</v>
      </c>
      <c r="B1031">
        <v>1</v>
      </c>
      <c r="C1031">
        <v>8</v>
      </c>
    </row>
    <row r="1032" spans="1:3" x14ac:dyDescent="0.3">
      <c r="A1032">
        <v>70343</v>
      </c>
      <c r="B1032">
        <v>1</v>
      </c>
      <c r="C1032">
        <v>8</v>
      </c>
    </row>
    <row r="1033" spans="1:3" x14ac:dyDescent="0.3">
      <c r="A1033">
        <v>63053</v>
      </c>
      <c r="B1033">
        <v>1</v>
      </c>
      <c r="C1033">
        <v>8</v>
      </c>
    </row>
    <row r="1034" spans="1:3" x14ac:dyDescent="0.3">
      <c r="A1034">
        <v>50850</v>
      </c>
      <c r="B1034">
        <v>1</v>
      </c>
      <c r="C1034">
        <v>8</v>
      </c>
    </row>
    <row r="1035" spans="1:3" x14ac:dyDescent="0.3">
      <c r="A1035">
        <v>47068</v>
      </c>
      <c r="B1035">
        <v>1</v>
      </c>
      <c r="C1035">
        <v>8</v>
      </c>
    </row>
    <row r="1036" spans="1:3" x14ac:dyDescent="0.3">
      <c r="A1036">
        <v>25655</v>
      </c>
      <c r="B1036">
        <v>1</v>
      </c>
      <c r="C1036">
        <v>8</v>
      </c>
    </row>
    <row r="1037" spans="1:3" x14ac:dyDescent="0.3">
      <c r="A1037">
        <v>70982</v>
      </c>
      <c r="B1037">
        <v>1</v>
      </c>
      <c r="C1037">
        <v>8</v>
      </c>
    </row>
    <row r="1038" spans="1:3" x14ac:dyDescent="0.3">
      <c r="A1038">
        <v>15960</v>
      </c>
      <c r="B1038">
        <v>1</v>
      </c>
      <c r="C1038">
        <v>8</v>
      </c>
    </row>
    <row r="1039" spans="1:3" x14ac:dyDescent="0.3">
      <c r="A1039">
        <v>28846</v>
      </c>
      <c r="B1039">
        <v>1</v>
      </c>
      <c r="C1039">
        <v>8</v>
      </c>
    </row>
    <row r="1040" spans="1:3" x14ac:dyDescent="0.3">
      <c r="A1040">
        <v>76868</v>
      </c>
      <c r="B1040">
        <v>1</v>
      </c>
      <c r="C1040">
        <v>8</v>
      </c>
    </row>
    <row r="1041" spans="1:3" x14ac:dyDescent="0.3">
      <c r="A1041">
        <v>12867</v>
      </c>
      <c r="B1041">
        <v>1</v>
      </c>
      <c r="C1041">
        <v>16</v>
      </c>
    </row>
    <row r="1042" spans="1:3" x14ac:dyDescent="0.3">
      <c r="A1042">
        <v>73449</v>
      </c>
      <c r="B1042">
        <v>1</v>
      </c>
      <c r="C1042">
        <v>8</v>
      </c>
    </row>
    <row r="1043" spans="1:3" x14ac:dyDescent="0.3">
      <c r="A1043">
        <v>66699</v>
      </c>
      <c r="B1043">
        <v>1</v>
      </c>
      <c r="C1043">
        <v>8</v>
      </c>
    </row>
    <row r="1044" spans="1:3" x14ac:dyDescent="0.3">
      <c r="A1044">
        <v>65354</v>
      </c>
      <c r="B1044">
        <v>1</v>
      </c>
      <c r="C1044">
        <v>8</v>
      </c>
    </row>
    <row r="1045" spans="1:3" x14ac:dyDescent="0.3">
      <c r="A1045">
        <v>62136</v>
      </c>
      <c r="B1045">
        <v>1</v>
      </c>
      <c r="C1045">
        <v>8</v>
      </c>
    </row>
    <row r="1046" spans="1:3" x14ac:dyDescent="0.3">
      <c r="A1046">
        <v>18926</v>
      </c>
      <c r="B1046">
        <v>1</v>
      </c>
      <c r="C1046">
        <v>8</v>
      </c>
    </row>
    <row r="1047" spans="1:3" x14ac:dyDescent="0.3">
      <c r="A1047">
        <v>54666</v>
      </c>
      <c r="B1047">
        <v>1</v>
      </c>
      <c r="C1047">
        <v>8</v>
      </c>
    </row>
    <row r="1048" spans="1:3" x14ac:dyDescent="0.3">
      <c r="A1048">
        <v>50277</v>
      </c>
      <c r="B1048">
        <v>1</v>
      </c>
      <c r="C1048">
        <v>8</v>
      </c>
    </row>
    <row r="1049" spans="1:3" x14ac:dyDescent="0.3">
      <c r="A1049">
        <v>49187</v>
      </c>
      <c r="B1049">
        <v>1</v>
      </c>
      <c r="C1049">
        <v>8</v>
      </c>
    </row>
    <row r="1050" spans="1:3" x14ac:dyDescent="0.3">
      <c r="A1050">
        <v>44998</v>
      </c>
      <c r="B1050">
        <v>1</v>
      </c>
      <c r="C1050">
        <v>8</v>
      </c>
    </row>
    <row r="1051" spans="1:3" x14ac:dyDescent="0.3">
      <c r="A1051">
        <v>41277</v>
      </c>
      <c r="B1051">
        <v>1</v>
      </c>
      <c r="C1051">
        <v>8</v>
      </c>
    </row>
    <row r="1052" spans="1:3" x14ac:dyDescent="0.3">
      <c r="A1052">
        <v>23896</v>
      </c>
      <c r="B1052">
        <v>1</v>
      </c>
      <c r="C1052">
        <v>16</v>
      </c>
    </row>
    <row r="1053" spans="1:3" x14ac:dyDescent="0.3">
      <c r="A1053">
        <v>24517</v>
      </c>
      <c r="B1053">
        <v>1</v>
      </c>
      <c r="C1053">
        <v>16</v>
      </c>
    </row>
    <row r="1054" spans="1:3" x14ac:dyDescent="0.3">
      <c r="A1054">
        <v>27706</v>
      </c>
      <c r="B1054">
        <v>1</v>
      </c>
      <c r="C1054">
        <v>8</v>
      </c>
    </row>
    <row r="1055" spans="1:3" x14ac:dyDescent="0.3">
      <c r="A1055">
        <v>78414</v>
      </c>
      <c r="B1055">
        <v>1</v>
      </c>
      <c r="C1055">
        <v>8</v>
      </c>
    </row>
    <row r="1056" spans="1:3" x14ac:dyDescent="0.3">
      <c r="A1056">
        <v>76710</v>
      </c>
      <c r="B1056">
        <v>1</v>
      </c>
      <c r="C1056">
        <v>8</v>
      </c>
    </row>
    <row r="1057" spans="1:3" x14ac:dyDescent="0.3">
      <c r="A1057">
        <v>74519</v>
      </c>
      <c r="B1057">
        <v>1</v>
      </c>
      <c r="C1057">
        <v>8</v>
      </c>
    </row>
    <row r="1058" spans="1:3" x14ac:dyDescent="0.3">
      <c r="A1058">
        <v>73751</v>
      </c>
      <c r="B1058">
        <v>1</v>
      </c>
      <c r="C1058">
        <v>8</v>
      </c>
    </row>
    <row r="1059" spans="1:3" x14ac:dyDescent="0.3">
      <c r="A1059">
        <v>70871</v>
      </c>
      <c r="B1059">
        <v>1</v>
      </c>
      <c r="C1059">
        <v>16</v>
      </c>
    </row>
    <row r="1060" spans="1:3" x14ac:dyDescent="0.3">
      <c r="A1060">
        <v>70338</v>
      </c>
      <c r="B1060">
        <v>1</v>
      </c>
      <c r="C1060">
        <v>8</v>
      </c>
    </row>
    <row r="1061" spans="1:3" x14ac:dyDescent="0.3">
      <c r="A1061">
        <v>70333</v>
      </c>
      <c r="B1061">
        <v>1</v>
      </c>
      <c r="C1061">
        <v>8</v>
      </c>
    </row>
    <row r="1062" spans="1:3" x14ac:dyDescent="0.3">
      <c r="A1062">
        <v>64120</v>
      </c>
      <c r="B1062">
        <v>1</v>
      </c>
      <c r="C1062">
        <v>8</v>
      </c>
    </row>
    <row r="1063" spans="1:3" x14ac:dyDescent="0.3">
      <c r="A1063">
        <v>18632</v>
      </c>
      <c r="B1063">
        <v>1</v>
      </c>
      <c r="C1063">
        <v>16</v>
      </c>
    </row>
    <row r="1064" spans="1:3" x14ac:dyDescent="0.3">
      <c r="A1064">
        <v>50538</v>
      </c>
      <c r="B1064">
        <v>1</v>
      </c>
      <c r="C1064">
        <v>8</v>
      </c>
    </row>
    <row r="1065" spans="1:3" x14ac:dyDescent="0.3">
      <c r="A1065">
        <v>21801</v>
      </c>
      <c r="B1065">
        <v>1</v>
      </c>
      <c r="C1065">
        <v>8</v>
      </c>
    </row>
    <row r="1066" spans="1:3" x14ac:dyDescent="0.3">
      <c r="A1066">
        <v>40096</v>
      </c>
      <c r="B1066">
        <v>1</v>
      </c>
      <c r="C1066">
        <v>8</v>
      </c>
    </row>
    <row r="1067" spans="1:3" x14ac:dyDescent="0.3">
      <c r="A1067">
        <v>37353</v>
      </c>
      <c r="B1067">
        <v>1</v>
      </c>
      <c r="C1067">
        <v>8</v>
      </c>
    </row>
    <row r="1068" spans="1:3" x14ac:dyDescent="0.3">
      <c r="A1068">
        <v>12370</v>
      </c>
      <c r="B1068">
        <v>1</v>
      </c>
      <c r="C1068">
        <v>8</v>
      </c>
    </row>
    <row r="1069" spans="1:3" x14ac:dyDescent="0.3">
      <c r="A1069">
        <v>54082</v>
      </c>
      <c r="B1069">
        <v>1</v>
      </c>
      <c r="C1069">
        <v>8</v>
      </c>
    </row>
    <row r="1070" spans="1:3" x14ac:dyDescent="0.3">
      <c r="A1070">
        <v>76064</v>
      </c>
      <c r="B1070">
        <v>1</v>
      </c>
      <c r="C1070">
        <v>8</v>
      </c>
    </row>
    <row r="1071" spans="1:3" x14ac:dyDescent="0.3">
      <c r="A1071">
        <v>75434</v>
      </c>
      <c r="B1071">
        <v>1</v>
      </c>
      <c r="C1071">
        <v>8</v>
      </c>
    </row>
    <row r="1072" spans="1:3" x14ac:dyDescent="0.3">
      <c r="A1072">
        <v>73033</v>
      </c>
      <c r="B1072">
        <v>1</v>
      </c>
      <c r="C1072">
        <v>8</v>
      </c>
    </row>
    <row r="1073" spans="1:3" x14ac:dyDescent="0.3">
      <c r="A1073">
        <v>34535</v>
      </c>
      <c r="B1073">
        <v>1</v>
      </c>
      <c r="C1073">
        <v>16</v>
      </c>
    </row>
    <row r="1074" spans="1:3" x14ac:dyDescent="0.3">
      <c r="A1074">
        <v>78169</v>
      </c>
      <c r="B1074">
        <v>1</v>
      </c>
      <c r="C1074">
        <v>16</v>
      </c>
    </row>
    <row r="1075" spans="1:3" x14ac:dyDescent="0.3">
      <c r="A1075">
        <v>76990</v>
      </c>
      <c r="B1075">
        <v>1</v>
      </c>
      <c r="C1075">
        <v>16</v>
      </c>
    </row>
    <row r="1076" spans="1:3" x14ac:dyDescent="0.3">
      <c r="A1076">
        <v>13155</v>
      </c>
      <c r="B1076">
        <v>1</v>
      </c>
      <c r="C1076">
        <v>16</v>
      </c>
    </row>
    <row r="1077" spans="1:3" x14ac:dyDescent="0.3">
      <c r="A1077">
        <v>13167</v>
      </c>
      <c r="B1077">
        <v>1</v>
      </c>
      <c r="C1077">
        <v>8</v>
      </c>
    </row>
    <row r="1078" spans="1:3" x14ac:dyDescent="0.3">
      <c r="A1078">
        <v>70806</v>
      </c>
      <c r="B1078">
        <v>1</v>
      </c>
      <c r="C1078">
        <v>8</v>
      </c>
    </row>
    <row r="1079" spans="1:3" x14ac:dyDescent="0.3">
      <c r="A1079">
        <v>45149</v>
      </c>
      <c r="B1079">
        <v>1</v>
      </c>
      <c r="C1079">
        <v>16</v>
      </c>
    </row>
    <row r="1080" spans="1:3" x14ac:dyDescent="0.3">
      <c r="A1080">
        <v>68655</v>
      </c>
      <c r="B1080">
        <v>1</v>
      </c>
      <c r="C1080">
        <v>8</v>
      </c>
    </row>
    <row r="1081" spans="1:3" x14ac:dyDescent="0.3">
      <c r="A1081">
        <v>56906</v>
      </c>
      <c r="B1081">
        <v>1</v>
      </c>
      <c r="C1081">
        <v>16</v>
      </c>
    </row>
    <row r="1082" spans="1:3" x14ac:dyDescent="0.3">
      <c r="A1082">
        <v>46207</v>
      </c>
      <c r="B1082">
        <v>1</v>
      </c>
      <c r="C1082">
        <v>16</v>
      </c>
    </row>
    <row r="1083" spans="1:3" x14ac:dyDescent="0.3">
      <c r="A1083">
        <v>39892</v>
      </c>
      <c r="B1083">
        <v>1</v>
      </c>
      <c r="C1083">
        <v>16</v>
      </c>
    </row>
    <row r="1084" spans="1:3" x14ac:dyDescent="0.3">
      <c r="A1084">
        <v>27988</v>
      </c>
      <c r="B1084">
        <v>1</v>
      </c>
      <c r="C1084">
        <v>8</v>
      </c>
    </row>
    <row r="1085" spans="1:3" x14ac:dyDescent="0.3">
      <c r="A1085">
        <v>68658</v>
      </c>
      <c r="B1085">
        <v>1</v>
      </c>
      <c r="C1085">
        <v>8</v>
      </c>
    </row>
    <row r="1086" spans="1:3" x14ac:dyDescent="0.3">
      <c r="A1086">
        <v>21427</v>
      </c>
      <c r="B1086">
        <v>1</v>
      </c>
      <c r="C1086">
        <v>8</v>
      </c>
    </row>
    <row r="1087" spans="1:3" x14ac:dyDescent="0.3">
      <c r="A1087">
        <v>41753</v>
      </c>
      <c r="B1087">
        <v>1</v>
      </c>
      <c r="C1087">
        <v>16</v>
      </c>
    </row>
    <row r="1088" spans="1:3" x14ac:dyDescent="0.3">
      <c r="A1088">
        <v>29383</v>
      </c>
      <c r="B1088">
        <v>1</v>
      </c>
      <c r="C1088">
        <v>8</v>
      </c>
    </row>
    <row r="1089" spans="1:3" x14ac:dyDescent="0.3">
      <c r="A1089">
        <v>75485</v>
      </c>
      <c r="B1089">
        <v>1</v>
      </c>
      <c r="C1089">
        <v>8</v>
      </c>
    </row>
    <row r="1090" spans="1:3" x14ac:dyDescent="0.3">
      <c r="A1090">
        <v>17058</v>
      </c>
      <c r="B1090">
        <v>1</v>
      </c>
      <c r="C1090">
        <v>8</v>
      </c>
    </row>
    <row r="1091" spans="1:3" x14ac:dyDescent="0.3">
      <c r="A1091">
        <v>60678</v>
      </c>
      <c r="B1091">
        <v>1</v>
      </c>
      <c r="C1091">
        <v>8</v>
      </c>
    </row>
    <row r="1092" spans="1:3" x14ac:dyDescent="0.3">
      <c r="A1092">
        <v>51335</v>
      </c>
      <c r="B1092">
        <v>1</v>
      </c>
      <c r="C1092">
        <v>8</v>
      </c>
    </row>
    <row r="1093" spans="1:3" x14ac:dyDescent="0.3">
      <c r="A1093">
        <v>36414</v>
      </c>
      <c r="B1093">
        <v>1</v>
      </c>
      <c r="C1093">
        <v>8</v>
      </c>
    </row>
    <row r="1094" spans="1:3" x14ac:dyDescent="0.3">
      <c r="A1094">
        <v>31757</v>
      </c>
      <c r="B1094">
        <v>1</v>
      </c>
      <c r="C1094">
        <v>8</v>
      </c>
    </row>
    <row r="1095" spans="1:3" x14ac:dyDescent="0.3">
      <c r="A1095">
        <v>30553</v>
      </c>
      <c r="B1095">
        <v>1</v>
      </c>
      <c r="C1095">
        <v>8</v>
      </c>
    </row>
    <row r="1096" spans="1:3" x14ac:dyDescent="0.3">
      <c r="A1096">
        <v>29108</v>
      </c>
      <c r="B1096">
        <v>1</v>
      </c>
      <c r="C1096">
        <v>8</v>
      </c>
    </row>
    <row r="1097" spans="1:3" x14ac:dyDescent="0.3">
      <c r="A1097">
        <v>48252</v>
      </c>
      <c r="B1097">
        <v>1</v>
      </c>
      <c r="C1097">
        <v>16</v>
      </c>
    </row>
    <row r="1098" spans="1:3" x14ac:dyDescent="0.3">
      <c r="A1098">
        <v>30567</v>
      </c>
      <c r="B1098">
        <v>1</v>
      </c>
      <c r="C1098">
        <v>8</v>
      </c>
    </row>
    <row r="1099" spans="1:3" x14ac:dyDescent="0.3">
      <c r="A1099">
        <v>36353</v>
      </c>
      <c r="B1099">
        <v>1</v>
      </c>
      <c r="C1099">
        <v>16</v>
      </c>
    </row>
    <row r="1100" spans="1:3" x14ac:dyDescent="0.3">
      <c r="A1100">
        <v>78170</v>
      </c>
      <c r="B1100">
        <v>1</v>
      </c>
      <c r="C1100">
        <v>8</v>
      </c>
    </row>
    <row r="1101" spans="1:3" x14ac:dyDescent="0.3">
      <c r="A1101">
        <v>69276</v>
      </c>
      <c r="B1101">
        <v>1</v>
      </c>
      <c r="C1101">
        <v>16</v>
      </c>
    </row>
    <row r="1102" spans="1:3" x14ac:dyDescent="0.3">
      <c r="A1102">
        <v>68654</v>
      </c>
      <c r="B1102">
        <v>1</v>
      </c>
      <c r="C1102">
        <v>8</v>
      </c>
    </row>
    <row r="1103" spans="1:3" x14ac:dyDescent="0.3">
      <c r="A1103">
        <v>19122</v>
      </c>
      <c r="B1103">
        <v>1</v>
      </c>
      <c r="C1103">
        <v>16</v>
      </c>
    </row>
    <row r="1104" spans="1:3" x14ac:dyDescent="0.3">
      <c r="A1104">
        <v>21665</v>
      </c>
      <c r="B1104">
        <v>1</v>
      </c>
      <c r="C1104">
        <v>8</v>
      </c>
    </row>
    <row r="1105" spans="1:3" x14ac:dyDescent="0.3">
      <c r="A1105">
        <v>44999</v>
      </c>
      <c r="B1105">
        <v>1</v>
      </c>
      <c r="C1105">
        <v>8</v>
      </c>
    </row>
    <row r="1106" spans="1:3" x14ac:dyDescent="0.3">
      <c r="A1106">
        <v>43422</v>
      </c>
      <c r="B1106">
        <v>1</v>
      </c>
      <c r="C1106">
        <v>8</v>
      </c>
    </row>
    <row r="1107" spans="1:3" x14ac:dyDescent="0.3">
      <c r="A1107">
        <v>23336</v>
      </c>
      <c r="B1107">
        <v>1</v>
      </c>
      <c r="C1107">
        <v>16</v>
      </c>
    </row>
    <row r="1108" spans="1:3" x14ac:dyDescent="0.3">
      <c r="A1108">
        <v>29481</v>
      </c>
      <c r="B1108">
        <v>1</v>
      </c>
      <c r="C1108">
        <v>8</v>
      </c>
    </row>
    <row r="1109" spans="1:3" x14ac:dyDescent="0.3">
      <c r="A1109">
        <v>77330</v>
      </c>
      <c r="B1109">
        <v>1</v>
      </c>
      <c r="C1109">
        <v>8</v>
      </c>
    </row>
    <row r="1110" spans="1:3" x14ac:dyDescent="0.3">
      <c r="A1110">
        <v>50007</v>
      </c>
      <c r="B1110">
        <v>1</v>
      </c>
      <c r="C1110">
        <v>8</v>
      </c>
    </row>
    <row r="1111" spans="1:3" x14ac:dyDescent="0.3">
      <c r="A1111">
        <v>76938</v>
      </c>
      <c r="B1111">
        <v>1</v>
      </c>
      <c r="C1111">
        <v>8</v>
      </c>
    </row>
    <row r="1112" spans="1:3" x14ac:dyDescent="0.3">
      <c r="A1112">
        <v>72333</v>
      </c>
      <c r="B1112">
        <v>1</v>
      </c>
      <c r="C1112">
        <v>8</v>
      </c>
    </row>
    <row r="1113" spans="1:3" x14ac:dyDescent="0.3">
      <c r="A1113">
        <v>66043</v>
      </c>
      <c r="B1113">
        <v>1</v>
      </c>
      <c r="C1113">
        <v>8</v>
      </c>
    </row>
    <row r="1114" spans="1:3" x14ac:dyDescent="0.3">
      <c r="A1114">
        <v>63311</v>
      </c>
      <c r="B1114">
        <v>1</v>
      </c>
      <c r="C1114">
        <v>8</v>
      </c>
    </row>
    <row r="1115" spans="1:3" x14ac:dyDescent="0.3">
      <c r="A1115">
        <v>51555</v>
      </c>
      <c r="B1115">
        <v>1</v>
      </c>
      <c r="C1115">
        <v>8</v>
      </c>
    </row>
    <row r="1116" spans="1:3" x14ac:dyDescent="0.3">
      <c r="A1116">
        <v>43351</v>
      </c>
      <c r="B1116">
        <v>1</v>
      </c>
      <c r="C1116">
        <v>8</v>
      </c>
    </row>
    <row r="1117" spans="1:3" x14ac:dyDescent="0.3">
      <c r="A1117">
        <v>38783</v>
      </c>
      <c r="B1117">
        <v>1</v>
      </c>
      <c r="C1117">
        <v>8</v>
      </c>
    </row>
    <row r="1118" spans="1:3" x14ac:dyDescent="0.3">
      <c r="A1118">
        <v>37032</v>
      </c>
      <c r="B1118">
        <v>1</v>
      </c>
      <c r="C1118">
        <v>8</v>
      </c>
    </row>
    <row r="1119" spans="1:3" x14ac:dyDescent="0.3">
      <c r="A1119">
        <v>32880</v>
      </c>
      <c r="B1119">
        <v>1</v>
      </c>
      <c r="C1119">
        <v>8</v>
      </c>
    </row>
    <row r="1120" spans="1:3" x14ac:dyDescent="0.3">
      <c r="A1120">
        <v>27864</v>
      </c>
      <c r="B1120">
        <v>1</v>
      </c>
      <c r="C1120">
        <v>8</v>
      </c>
    </row>
    <row r="1121" spans="1:3" x14ac:dyDescent="0.3">
      <c r="A1121">
        <v>77447</v>
      </c>
      <c r="B1121">
        <v>1</v>
      </c>
      <c r="C1121">
        <v>8</v>
      </c>
    </row>
    <row r="1122" spans="1:3" x14ac:dyDescent="0.3">
      <c r="A1122">
        <v>77826</v>
      </c>
      <c r="B1122">
        <v>1</v>
      </c>
      <c r="C1122">
        <v>8</v>
      </c>
    </row>
    <row r="1123" spans="1:3" x14ac:dyDescent="0.3">
      <c r="A1123">
        <v>77798</v>
      </c>
      <c r="B1123">
        <v>1</v>
      </c>
      <c r="C1123">
        <v>8</v>
      </c>
    </row>
    <row r="1124" spans="1:3" x14ac:dyDescent="0.3">
      <c r="A1124">
        <v>77268</v>
      </c>
      <c r="B1124">
        <v>1</v>
      </c>
      <c r="C1124">
        <v>16</v>
      </c>
    </row>
    <row r="1125" spans="1:3" x14ac:dyDescent="0.3">
      <c r="A1125">
        <v>77048</v>
      </c>
      <c r="B1125">
        <v>1</v>
      </c>
      <c r="C1125">
        <v>8</v>
      </c>
    </row>
    <row r="1126" spans="1:3" x14ac:dyDescent="0.3">
      <c r="A1126">
        <v>76076</v>
      </c>
      <c r="B1126">
        <v>1</v>
      </c>
      <c r="C1126">
        <v>8</v>
      </c>
    </row>
    <row r="1127" spans="1:3" x14ac:dyDescent="0.3">
      <c r="A1127">
        <v>71697</v>
      </c>
      <c r="B1127">
        <v>1</v>
      </c>
      <c r="C1127">
        <v>8</v>
      </c>
    </row>
    <row r="1128" spans="1:3" x14ac:dyDescent="0.3">
      <c r="A1128">
        <v>15858</v>
      </c>
      <c r="B1128">
        <v>1</v>
      </c>
      <c r="C1128">
        <v>8</v>
      </c>
    </row>
    <row r="1129" spans="1:3" x14ac:dyDescent="0.3">
      <c r="A1129">
        <v>67254</v>
      </c>
      <c r="B1129">
        <v>1</v>
      </c>
      <c r="C1129">
        <v>8</v>
      </c>
    </row>
    <row r="1130" spans="1:3" x14ac:dyDescent="0.3">
      <c r="A1130">
        <v>66272</v>
      </c>
      <c r="B1130">
        <v>1</v>
      </c>
      <c r="C1130">
        <v>8</v>
      </c>
    </row>
    <row r="1131" spans="1:3" x14ac:dyDescent="0.3">
      <c r="A1131">
        <v>60157</v>
      </c>
      <c r="B1131">
        <v>1</v>
      </c>
      <c r="C1131">
        <v>16</v>
      </c>
    </row>
    <row r="1132" spans="1:3" x14ac:dyDescent="0.3">
      <c r="A1132">
        <v>38427</v>
      </c>
      <c r="B1132">
        <v>1</v>
      </c>
      <c r="C1132">
        <v>16</v>
      </c>
    </row>
    <row r="1133" spans="1:3" x14ac:dyDescent="0.3">
      <c r="A1133">
        <v>16567</v>
      </c>
      <c r="B1133">
        <v>1</v>
      </c>
      <c r="C1133">
        <v>8</v>
      </c>
    </row>
    <row r="1134" spans="1:3" x14ac:dyDescent="0.3">
      <c r="A1134">
        <v>40285</v>
      </c>
      <c r="B1134">
        <v>1</v>
      </c>
      <c r="C1134">
        <v>8</v>
      </c>
    </row>
    <row r="1135" spans="1:3" x14ac:dyDescent="0.3">
      <c r="A1135">
        <v>29132</v>
      </c>
      <c r="B1135">
        <v>1</v>
      </c>
      <c r="C1135">
        <v>16</v>
      </c>
    </row>
    <row r="1136" spans="1:3" x14ac:dyDescent="0.3">
      <c r="A1136">
        <v>28952</v>
      </c>
      <c r="B1136">
        <v>1</v>
      </c>
      <c r="C1136">
        <v>16</v>
      </c>
    </row>
    <row r="1137" spans="1:3" x14ac:dyDescent="0.3">
      <c r="A1137">
        <v>28843</v>
      </c>
      <c r="B1137">
        <v>1</v>
      </c>
      <c r="C1137">
        <v>8</v>
      </c>
    </row>
    <row r="1138" spans="1:3" x14ac:dyDescent="0.3">
      <c r="A1138">
        <v>76944</v>
      </c>
      <c r="B1138">
        <v>1</v>
      </c>
      <c r="C1138">
        <v>8</v>
      </c>
    </row>
    <row r="1139" spans="1:3" x14ac:dyDescent="0.3">
      <c r="A1139">
        <v>74396</v>
      </c>
      <c r="B1139">
        <v>1</v>
      </c>
      <c r="C1139">
        <v>8</v>
      </c>
    </row>
    <row r="1140" spans="1:3" x14ac:dyDescent="0.3">
      <c r="A1140">
        <v>72742</v>
      </c>
      <c r="B1140">
        <v>1</v>
      </c>
      <c r="C1140">
        <v>8</v>
      </c>
    </row>
    <row r="1141" spans="1:3" x14ac:dyDescent="0.3">
      <c r="A1141">
        <v>13805</v>
      </c>
      <c r="B1141">
        <v>1</v>
      </c>
      <c r="C1141">
        <v>8</v>
      </c>
    </row>
    <row r="1142" spans="1:3" x14ac:dyDescent="0.3">
      <c r="A1142">
        <v>71054</v>
      </c>
      <c r="B1142">
        <v>1</v>
      </c>
      <c r="C1142">
        <v>8</v>
      </c>
    </row>
    <row r="1143" spans="1:3" x14ac:dyDescent="0.3">
      <c r="A1143">
        <v>67689</v>
      </c>
      <c r="B1143">
        <v>1</v>
      </c>
      <c r="C1143">
        <v>8</v>
      </c>
    </row>
    <row r="1144" spans="1:3" x14ac:dyDescent="0.3">
      <c r="A1144">
        <v>66348</v>
      </c>
      <c r="B1144">
        <v>1</v>
      </c>
      <c r="C1144">
        <v>8</v>
      </c>
    </row>
    <row r="1145" spans="1:3" x14ac:dyDescent="0.3">
      <c r="A1145">
        <v>65775</v>
      </c>
      <c r="B1145">
        <v>1</v>
      </c>
      <c r="C1145">
        <v>8</v>
      </c>
    </row>
    <row r="1146" spans="1:3" x14ac:dyDescent="0.3">
      <c r="A1146">
        <v>59258</v>
      </c>
      <c r="B1146">
        <v>1</v>
      </c>
      <c r="C1146">
        <v>8</v>
      </c>
    </row>
    <row r="1147" spans="1:3" x14ac:dyDescent="0.3">
      <c r="A1147">
        <v>53459</v>
      </c>
      <c r="B1147">
        <v>1</v>
      </c>
      <c r="C1147">
        <v>8</v>
      </c>
    </row>
    <row r="1148" spans="1:3" x14ac:dyDescent="0.3">
      <c r="A1148">
        <v>49450</v>
      </c>
      <c r="B1148">
        <v>1</v>
      </c>
      <c r="C1148">
        <v>8</v>
      </c>
    </row>
    <row r="1149" spans="1:3" x14ac:dyDescent="0.3">
      <c r="A1149">
        <v>46608</v>
      </c>
      <c r="B1149">
        <v>1</v>
      </c>
      <c r="C1149">
        <v>8</v>
      </c>
    </row>
    <row r="1150" spans="1:3" x14ac:dyDescent="0.3">
      <c r="A1150">
        <v>38476</v>
      </c>
      <c r="B1150">
        <v>1</v>
      </c>
      <c r="C1150">
        <v>8</v>
      </c>
    </row>
    <row r="1151" spans="1:3" x14ac:dyDescent="0.3">
      <c r="A1151">
        <v>26504</v>
      </c>
      <c r="B1151">
        <v>1</v>
      </c>
      <c r="C1151">
        <v>8</v>
      </c>
    </row>
    <row r="1152" spans="1:3" x14ac:dyDescent="0.3">
      <c r="A1152">
        <v>12305</v>
      </c>
      <c r="B1152">
        <v>1</v>
      </c>
      <c r="C1152">
        <v>8</v>
      </c>
    </row>
    <row r="1153" spans="1:3" x14ac:dyDescent="0.3">
      <c r="A1153">
        <v>72229</v>
      </c>
      <c r="B1153">
        <v>1</v>
      </c>
      <c r="C1153">
        <v>8</v>
      </c>
    </row>
    <row r="1154" spans="1:3" x14ac:dyDescent="0.3">
      <c r="A1154">
        <v>39217</v>
      </c>
      <c r="B1154">
        <v>1</v>
      </c>
      <c r="C1154">
        <v>8</v>
      </c>
    </row>
    <row r="1155" spans="1:3" x14ac:dyDescent="0.3">
      <c r="A1155">
        <v>10290</v>
      </c>
      <c r="B1155">
        <v>1</v>
      </c>
      <c r="C1155">
        <v>8</v>
      </c>
    </row>
    <row r="1156" spans="1:3" x14ac:dyDescent="0.3">
      <c r="A1156">
        <v>71463</v>
      </c>
      <c r="B1156">
        <v>1</v>
      </c>
      <c r="C1156">
        <v>8</v>
      </c>
    </row>
    <row r="1157" spans="1:3" x14ac:dyDescent="0.3">
      <c r="A1157">
        <v>69513</v>
      </c>
      <c r="B1157">
        <v>1</v>
      </c>
      <c r="C1157">
        <v>8</v>
      </c>
    </row>
    <row r="1158" spans="1:3" x14ac:dyDescent="0.3">
      <c r="A1158">
        <v>17638</v>
      </c>
      <c r="B1158">
        <v>1</v>
      </c>
      <c r="C1158">
        <v>8</v>
      </c>
    </row>
    <row r="1159" spans="1:3" x14ac:dyDescent="0.3">
      <c r="A1159">
        <v>43005</v>
      </c>
      <c r="B1159">
        <v>1</v>
      </c>
      <c r="C1159">
        <v>16</v>
      </c>
    </row>
    <row r="1160" spans="1:3" x14ac:dyDescent="0.3">
      <c r="A1160">
        <v>39213</v>
      </c>
      <c r="B1160">
        <v>1</v>
      </c>
      <c r="C1160">
        <v>8</v>
      </c>
    </row>
    <row r="1161" spans="1:3" x14ac:dyDescent="0.3">
      <c r="A1161">
        <v>37780</v>
      </c>
      <c r="B1161">
        <v>1</v>
      </c>
      <c r="C1161">
        <v>8</v>
      </c>
    </row>
    <row r="1162" spans="1:3" x14ac:dyDescent="0.3">
      <c r="A1162">
        <v>36211</v>
      </c>
      <c r="B1162">
        <v>1</v>
      </c>
      <c r="C1162">
        <v>8</v>
      </c>
    </row>
    <row r="1163" spans="1:3" x14ac:dyDescent="0.3">
      <c r="A1163">
        <v>63876</v>
      </c>
      <c r="B1163">
        <v>1</v>
      </c>
      <c r="C1163">
        <v>8</v>
      </c>
    </row>
    <row r="1164" spans="1:3" x14ac:dyDescent="0.3">
      <c r="A1164">
        <v>63251</v>
      </c>
      <c r="B1164">
        <v>1</v>
      </c>
      <c r="C1164">
        <v>8</v>
      </c>
    </row>
    <row r="1165" spans="1:3" x14ac:dyDescent="0.3">
      <c r="A1165">
        <v>27605</v>
      </c>
      <c r="B1165">
        <v>1</v>
      </c>
      <c r="C1165">
        <v>16</v>
      </c>
    </row>
    <row r="1166" spans="1:3" x14ac:dyDescent="0.3">
      <c r="A1166">
        <v>27604</v>
      </c>
      <c r="B1166">
        <v>1</v>
      </c>
      <c r="C1166">
        <v>16</v>
      </c>
    </row>
    <row r="1167" spans="1:3" x14ac:dyDescent="0.3">
      <c r="A1167">
        <v>10752</v>
      </c>
      <c r="B1167">
        <v>1</v>
      </c>
      <c r="C1167">
        <v>16</v>
      </c>
    </row>
    <row r="1168" spans="1:3" x14ac:dyDescent="0.3">
      <c r="A1168">
        <v>69763</v>
      </c>
      <c r="B1168">
        <v>1</v>
      </c>
      <c r="C1168">
        <v>8</v>
      </c>
    </row>
    <row r="1169" spans="1:3" x14ac:dyDescent="0.3">
      <c r="A1169">
        <v>68577</v>
      </c>
      <c r="B1169">
        <v>1</v>
      </c>
      <c r="C1169">
        <v>8</v>
      </c>
    </row>
    <row r="1170" spans="1:3" x14ac:dyDescent="0.3">
      <c r="A1170">
        <v>66675</v>
      </c>
      <c r="B1170">
        <v>1</v>
      </c>
      <c r="C1170">
        <v>8</v>
      </c>
    </row>
    <row r="1171" spans="1:3" x14ac:dyDescent="0.3">
      <c r="A1171">
        <v>66112</v>
      </c>
      <c r="B1171">
        <v>1</v>
      </c>
      <c r="C1171">
        <v>8</v>
      </c>
    </row>
    <row r="1172" spans="1:3" x14ac:dyDescent="0.3">
      <c r="A1172">
        <v>64115</v>
      </c>
      <c r="B1172">
        <v>1</v>
      </c>
      <c r="C1172">
        <v>8</v>
      </c>
    </row>
    <row r="1173" spans="1:3" x14ac:dyDescent="0.3">
      <c r="A1173">
        <v>56783</v>
      </c>
      <c r="B1173">
        <v>1</v>
      </c>
      <c r="C1173">
        <v>8</v>
      </c>
    </row>
    <row r="1174" spans="1:3" x14ac:dyDescent="0.3">
      <c r="A1174">
        <v>51541</v>
      </c>
      <c r="B1174">
        <v>1</v>
      </c>
      <c r="C1174">
        <v>8</v>
      </c>
    </row>
    <row r="1175" spans="1:3" x14ac:dyDescent="0.3">
      <c r="A1175">
        <v>38447</v>
      </c>
      <c r="B1175">
        <v>1</v>
      </c>
      <c r="C1175">
        <v>8</v>
      </c>
    </row>
    <row r="1176" spans="1:3" x14ac:dyDescent="0.3">
      <c r="A1176">
        <v>35450</v>
      </c>
      <c r="B1176">
        <v>1</v>
      </c>
      <c r="C1176">
        <v>8</v>
      </c>
    </row>
    <row r="1177" spans="1:3" x14ac:dyDescent="0.3">
      <c r="A1177">
        <v>31014</v>
      </c>
      <c r="B1177">
        <v>1</v>
      </c>
      <c r="C1177">
        <v>8</v>
      </c>
    </row>
    <row r="1178" spans="1:3" x14ac:dyDescent="0.3">
      <c r="A1178">
        <v>78581</v>
      </c>
      <c r="B1178">
        <v>1</v>
      </c>
      <c r="C1178">
        <v>8</v>
      </c>
    </row>
    <row r="1179" spans="1:3" x14ac:dyDescent="0.3">
      <c r="A1179">
        <v>78580</v>
      </c>
      <c r="B1179">
        <v>1</v>
      </c>
      <c r="C1179">
        <v>8</v>
      </c>
    </row>
    <row r="1180" spans="1:3" x14ac:dyDescent="0.3">
      <c r="A1180">
        <v>78164</v>
      </c>
      <c r="B1180">
        <v>1</v>
      </c>
      <c r="C1180">
        <v>8</v>
      </c>
    </row>
    <row r="1181" spans="1:3" x14ac:dyDescent="0.3">
      <c r="A1181">
        <v>74712</v>
      </c>
      <c r="B1181">
        <v>1</v>
      </c>
      <c r="C1181">
        <v>8</v>
      </c>
    </row>
    <row r="1182" spans="1:3" x14ac:dyDescent="0.3">
      <c r="A1182">
        <v>71504</v>
      </c>
      <c r="B1182">
        <v>1</v>
      </c>
      <c r="C1182">
        <v>8</v>
      </c>
    </row>
    <row r="1183" spans="1:3" x14ac:dyDescent="0.3">
      <c r="A1183">
        <v>68331</v>
      </c>
      <c r="B1183">
        <v>1</v>
      </c>
      <c r="C1183">
        <v>8</v>
      </c>
    </row>
    <row r="1184" spans="1:3" x14ac:dyDescent="0.3">
      <c r="A1184">
        <v>54496</v>
      </c>
      <c r="B1184">
        <v>1</v>
      </c>
      <c r="C1184">
        <v>8</v>
      </c>
    </row>
    <row r="1185" spans="1:3" x14ac:dyDescent="0.3">
      <c r="A1185">
        <v>46940</v>
      </c>
      <c r="B1185">
        <v>1</v>
      </c>
      <c r="C1185">
        <v>8</v>
      </c>
    </row>
    <row r="1186" spans="1:3" x14ac:dyDescent="0.3">
      <c r="A1186">
        <v>42634</v>
      </c>
      <c r="B1186">
        <v>1</v>
      </c>
      <c r="C1186">
        <v>8</v>
      </c>
    </row>
    <row r="1187" spans="1:3" x14ac:dyDescent="0.3">
      <c r="A1187">
        <v>42031</v>
      </c>
      <c r="B1187">
        <v>1</v>
      </c>
      <c r="C1187">
        <v>8</v>
      </c>
    </row>
    <row r="1188" spans="1:3" x14ac:dyDescent="0.3">
      <c r="A1188">
        <v>76497</v>
      </c>
      <c r="B1188">
        <v>1</v>
      </c>
      <c r="C1188">
        <v>8</v>
      </c>
    </row>
    <row r="1189" spans="1:3" x14ac:dyDescent="0.3">
      <c r="A1189">
        <v>73647</v>
      </c>
      <c r="B1189">
        <v>1</v>
      </c>
      <c r="C1189">
        <v>8</v>
      </c>
    </row>
    <row r="1190" spans="1:3" x14ac:dyDescent="0.3">
      <c r="A1190">
        <v>15908</v>
      </c>
      <c r="B1190">
        <v>1</v>
      </c>
      <c r="C1190">
        <v>16</v>
      </c>
    </row>
    <row r="1191" spans="1:3" x14ac:dyDescent="0.3">
      <c r="A1191">
        <v>64322</v>
      </c>
      <c r="B1191">
        <v>1</v>
      </c>
      <c r="C1191">
        <v>8</v>
      </c>
    </row>
    <row r="1192" spans="1:3" x14ac:dyDescent="0.3">
      <c r="A1192">
        <v>64124</v>
      </c>
      <c r="B1192">
        <v>1</v>
      </c>
      <c r="C1192">
        <v>8</v>
      </c>
    </row>
    <row r="1193" spans="1:3" x14ac:dyDescent="0.3">
      <c r="A1193">
        <v>59291</v>
      </c>
      <c r="B1193">
        <v>1</v>
      </c>
      <c r="C1193">
        <v>8</v>
      </c>
    </row>
    <row r="1194" spans="1:3" x14ac:dyDescent="0.3">
      <c r="A1194">
        <v>47524</v>
      </c>
      <c r="B1194">
        <v>1</v>
      </c>
      <c r="C1194">
        <v>8</v>
      </c>
    </row>
    <row r="1195" spans="1:3" x14ac:dyDescent="0.3">
      <c r="A1195">
        <v>45377</v>
      </c>
      <c r="B1195">
        <v>1</v>
      </c>
      <c r="C1195">
        <v>8</v>
      </c>
    </row>
    <row r="1196" spans="1:3" x14ac:dyDescent="0.3">
      <c r="A1196">
        <v>45375</v>
      </c>
      <c r="B1196">
        <v>1</v>
      </c>
      <c r="C1196">
        <v>8</v>
      </c>
    </row>
    <row r="1197" spans="1:3" x14ac:dyDescent="0.3">
      <c r="A1197">
        <v>38523</v>
      </c>
      <c r="B1197">
        <v>1</v>
      </c>
      <c r="C1197">
        <v>8</v>
      </c>
    </row>
    <row r="1198" spans="1:3" x14ac:dyDescent="0.3">
      <c r="A1198">
        <v>75876</v>
      </c>
      <c r="B1198">
        <v>1</v>
      </c>
      <c r="C1198">
        <v>16</v>
      </c>
    </row>
    <row r="1199" spans="1:3" x14ac:dyDescent="0.3">
      <c r="A1199">
        <v>44593</v>
      </c>
      <c r="B1199">
        <v>1</v>
      </c>
      <c r="C1199">
        <v>16</v>
      </c>
    </row>
    <row r="1200" spans="1:3" x14ac:dyDescent="0.3">
      <c r="A1200">
        <v>37385</v>
      </c>
      <c r="B1200">
        <v>1</v>
      </c>
      <c r="C1200">
        <v>8</v>
      </c>
    </row>
    <row r="1201" spans="1:3" x14ac:dyDescent="0.3">
      <c r="A1201">
        <v>77047</v>
      </c>
      <c r="B1201">
        <v>1</v>
      </c>
      <c r="C1201">
        <v>8</v>
      </c>
    </row>
    <row r="1202" spans="1:3" x14ac:dyDescent="0.3">
      <c r="A1202" s="26">
        <v>74181</v>
      </c>
      <c r="B1202" s="26">
        <v>1</v>
      </c>
      <c r="C1202" s="26">
        <v>16</v>
      </c>
    </row>
    <row r="1203" spans="1:3" x14ac:dyDescent="0.3">
      <c r="A1203">
        <v>66776</v>
      </c>
      <c r="B1203">
        <v>1</v>
      </c>
      <c r="C1203">
        <v>8</v>
      </c>
    </row>
    <row r="1204" spans="1:3" x14ac:dyDescent="0.3">
      <c r="A1204">
        <v>54665</v>
      </c>
      <c r="B1204">
        <v>1</v>
      </c>
      <c r="C1204">
        <v>8</v>
      </c>
    </row>
    <row r="1205" spans="1:3" x14ac:dyDescent="0.3">
      <c r="A1205">
        <v>52353</v>
      </c>
      <c r="B1205">
        <v>1</v>
      </c>
      <c r="C1205">
        <v>8</v>
      </c>
    </row>
    <row r="1206" spans="1:3" x14ac:dyDescent="0.3">
      <c r="A1206">
        <v>63346</v>
      </c>
      <c r="B1206">
        <v>1</v>
      </c>
      <c r="C1206">
        <v>8</v>
      </c>
    </row>
    <row r="1207" spans="1:3" x14ac:dyDescent="0.3">
      <c r="A1207">
        <v>52215</v>
      </c>
      <c r="B1207">
        <v>1</v>
      </c>
      <c r="C1207">
        <v>8</v>
      </c>
    </row>
    <row r="1208" spans="1:3" x14ac:dyDescent="0.3">
      <c r="A1208">
        <v>35206</v>
      </c>
      <c r="B1208">
        <v>1</v>
      </c>
      <c r="C1208">
        <v>16</v>
      </c>
    </row>
    <row r="1209" spans="1:3" x14ac:dyDescent="0.3">
      <c r="A1209">
        <v>29891</v>
      </c>
      <c r="B1209">
        <v>1</v>
      </c>
      <c r="C1209">
        <v>8</v>
      </c>
    </row>
    <row r="1210" spans="1:3" x14ac:dyDescent="0.3">
      <c r="A1210">
        <v>76496</v>
      </c>
      <c r="B1210">
        <v>1</v>
      </c>
      <c r="C1210">
        <v>8</v>
      </c>
    </row>
    <row r="1211" spans="1:3" x14ac:dyDescent="0.3">
      <c r="A1211">
        <v>73026</v>
      </c>
      <c r="B1211">
        <v>1</v>
      </c>
      <c r="C1211">
        <v>16</v>
      </c>
    </row>
    <row r="1212" spans="1:3" x14ac:dyDescent="0.3">
      <c r="A1212">
        <v>72983</v>
      </c>
      <c r="B1212">
        <v>1</v>
      </c>
      <c r="C1212">
        <v>8</v>
      </c>
    </row>
    <row r="1213" spans="1:3" x14ac:dyDescent="0.3">
      <c r="A1213">
        <v>69644</v>
      </c>
      <c r="B1213">
        <v>1</v>
      </c>
      <c r="C1213">
        <v>8</v>
      </c>
    </row>
    <row r="1214" spans="1:3" x14ac:dyDescent="0.3">
      <c r="A1214">
        <v>69070</v>
      </c>
      <c r="B1214">
        <v>1</v>
      </c>
      <c r="C1214">
        <v>8</v>
      </c>
    </row>
    <row r="1215" spans="1:3" x14ac:dyDescent="0.3">
      <c r="A1215">
        <v>68750</v>
      </c>
      <c r="B1215">
        <v>1</v>
      </c>
      <c r="C1215">
        <v>8</v>
      </c>
    </row>
    <row r="1216" spans="1:3" x14ac:dyDescent="0.3">
      <c r="A1216">
        <v>64912</v>
      </c>
      <c r="B1216">
        <v>1</v>
      </c>
      <c r="C1216">
        <v>8</v>
      </c>
    </row>
    <row r="1217" spans="1:3" x14ac:dyDescent="0.3">
      <c r="A1217">
        <v>64823</v>
      </c>
      <c r="B1217">
        <v>1</v>
      </c>
      <c r="C1217">
        <v>8</v>
      </c>
    </row>
    <row r="1218" spans="1:3" x14ac:dyDescent="0.3">
      <c r="A1218">
        <v>59758</v>
      </c>
      <c r="B1218">
        <v>1</v>
      </c>
      <c r="C1218">
        <v>8</v>
      </c>
    </row>
    <row r="1219" spans="1:3" x14ac:dyDescent="0.3">
      <c r="A1219">
        <v>56932</v>
      </c>
      <c r="B1219">
        <v>1</v>
      </c>
      <c r="C1219">
        <v>8</v>
      </c>
    </row>
    <row r="1220" spans="1:3" x14ac:dyDescent="0.3">
      <c r="A1220">
        <v>52996</v>
      </c>
      <c r="B1220">
        <v>1</v>
      </c>
      <c r="C1220">
        <v>8</v>
      </c>
    </row>
    <row r="1221" spans="1:3" x14ac:dyDescent="0.3">
      <c r="A1221">
        <v>52256</v>
      </c>
      <c r="B1221">
        <v>1</v>
      </c>
      <c r="C1221">
        <v>8</v>
      </c>
    </row>
    <row r="1222" spans="1:3" x14ac:dyDescent="0.3">
      <c r="A1222">
        <v>46883</v>
      </c>
      <c r="B1222">
        <v>1</v>
      </c>
      <c r="C1222">
        <v>8</v>
      </c>
    </row>
    <row r="1223" spans="1:3" x14ac:dyDescent="0.3">
      <c r="A1223">
        <v>39431</v>
      </c>
      <c r="B1223">
        <v>1</v>
      </c>
      <c r="C1223">
        <v>8</v>
      </c>
    </row>
    <row r="1224" spans="1:3" x14ac:dyDescent="0.3">
      <c r="A1224">
        <v>29718</v>
      </c>
      <c r="B1224">
        <v>1</v>
      </c>
      <c r="C1224">
        <v>8</v>
      </c>
    </row>
    <row r="1225" spans="1:3" x14ac:dyDescent="0.3">
      <c r="A1225">
        <v>29612</v>
      </c>
      <c r="B1225">
        <v>1</v>
      </c>
      <c r="C1225">
        <v>8</v>
      </c>
    </row>
    <row r="1226" spans="1:3" x14ac:dyDescent="0.3">
      <c r="A1226">
        <v>14835</v>
      </c>
      <c r="B1226">
        <v>1</v>
      </c>
      <c r="C1226">
        <v>8</v>
      </c>
    </row>
    <row r="1227" spans="1:3" x14ac:dyDescent="0.3">
      <c r="A1227">
        <v>58298</v>
      </c>
      <c r="B1227">
        <v>1</v>
      </c>
      <c r="C1227">
        <v>16</v>
      </c>
    </row>
    <row r="1228" spans="1:3" x14ac:dyDescent="0.3">
      <c r="A1228">
        <v>77267</v>
      </c>
      <c r="B1228">
        <v>1</v>
      </c>
      <c r="C1228">
        <v>8</v>
      </c>
    </row>
    <row r="1229" spans="1:3" x14ac:dyDescent="0.3">
      <c r="A1229">
        <v>74558</v>
      </c>
      <c r="B1229">
        <v>1</v>
      </c>
      <c r="C1229">
        <v>8</v>
      </c>
    </row>
    <row r="1230" spans="1:3" x14ac:dyDescent="0.3">
      <c r="A1230">
        <v>70970</v>
      </c>
      <c r="B1230">
        <v>1</v>
      </c>
      <c r="C1230">
        <v>16</v>
      </c>
    </row>
    <row r="1231" spans="1:3" x14ac:dyDescent="0.3">
      <c r="A1231">
        <v>67352</v>
      </c>
      <c r="B1231">
        <v>1</v>
      </c>
      <c r="C1231">
        <v>16</v>
      </c>
    </row>
    <row r="1232" spans="1:3" x14ac:dyDescent="0.3">
      <c r="A1232">
        <v>53501</v>
      </c>
      <c r="B1232">
        <v>1</v>
      </c>
      <c r="C1232">
        <v>8</v>
      </c>
    </row>
    <row r="1233" spans="1:3" x14ac:dyDescent="0.3">
      <c r="A1233">
        <v>29381</v>
      </c>
      <c r="B1233">
        <v>1</v>
      </c>
      <c r="C1233">
        <v>8</v>
      </c>
    </row>
    <row r="1234" spans="1:3" x14ac:dyDescent="0.3">
      <c r="A1234">
        <v>14471</v>
      </c>
      <c r="B1234">
        <v>1</v>
      </c>
      <c r="C1234">
        <v>8</v>
      </c>
    </row>
    <row r="1235" spans="1:3" x14ac:dyDescent="0.3">
      <c r="A1235">
        <v>21965</v>
      </c>
      <c r="B1235">
        <v>1</v>
      </c>
      <c r="C1235">
        <v>16</v>
      </c>
    </row>
    <row r="1236" spans="1:3" x14ac:dyDescent="0.3">
      <c r="A1236">
        <v>78503</v>
      </c>
      <c r="B1236">
        <v>1</v>
      </c>
      <c r="C1236">
        <v>8</v>
      </c>
    </row>
    <row r="1237" spans="1:3" x14ac:dyDescent="0.3">
      <c r="A1237">
        <v>77336</v>
      </c>
      <c r="B1237">
        <v>1</v>
      </c>
      <c r="C1237">
        <v>8</v>
      </c>
    </row>
    <row r="1238" spans="1:3" x14ac:dyDescent="0.3">
      <c r="A1238">
        <v>69487</v>
      </c>
      <c r="B1238">
        <v>1</v>
      </c>
      <c r="C1238">
        <v>8</v>
      </c>
    </row>
    <row r="1239" spans="1:3" x14ac:dyDescent="0.3">
      <c r="A1239">
        <v>68468</v>
      </c>
      <c r="B1239">
        <v>1</v>
      </c>
      <c r="C1239">
        <v>8</v>
      </c>
    </row>
    <row r="1240" spans="1:3" x14ac:dyDescent="0.3">
      <c r="A1240">
        <v>66460</v>
      </c>
      <c r="B1240">
        <v>1</v>
      </c>
      <c r="C1240">
        <v>8</v>
      </c>
    </row>
    <row r="1241" spans="1:3" x14ac:dyDescent="0.3">
      <c r="A1241">
        <v>22756</v>
      </c>
      <c r="B1241">
        <v>1</v>
      </c>
      <c r="C1241">
        <v>8</v>
      </c>
    </row>
    <row r="1242" spans="1:3" x14ac:dyDescent="0.3">
      <c r="A1242">
        <v>43118</v>
      </c>
      <c r="B1242">
        <v>1</v>
      </c>
      <c r="C1242">
        <v>8</v>
      </c>
    </row>
    <row r="1243" spans="1:3" x14ac:dyDescent="0.3">
      <c r="A1243">
        <v>36532</v>
      </c>
      <c r="B1243">
        <v>1</v>
      </c>
      <c r="C1243">
        <v>8</v>
      </c>
    </row>
    <row r="1244" spans="1:3" x14ac:dyDescent="0.3">
      <c r="A1244">
        <v>31950</v>
      </c>
      <c r="B1244">
        <v>1</v>
      </c>
      <c r="C1244">
        <v>8</v>
      </c>
    </row>
    <row r="1245" spans="1:3" x14ac:dyDescent="0.3">
      <c r="A1245">
        <v>44132</v>
      </c>
      <c r="B1245">
        <v>1</v>
      </c>
      <c r="C1245">
        <v>8</v>
      </c>
    </row>
    <row r="1246" spans="1:3" x14ac:dyDescent="0.3">
      <c r="A1246">
        <v>74178</v>
      </c>
      <c r="B1246">
        <v>1</v>
      </c>
      <c r="C1246">
        <v>16</v>
      </c>
    </row>
    <row r="1247" spans="1:3" x14ac:dyDescent="0.3">
      <c r="A1247">
        <v>68253</v>
      </c>
      <c r="B1247">
        <v>1</v>
      </c>
      <c r="C1247">
        <v>16</v>
      </c>
    </row>
    <row r="1248" spans="1:3" x14ac:dyDescent="0.3">
      <c r="A1248">
        <v>60786</v>
      </c>
      <c r="B1248">
        <v>1</v>
      </c>
      <c r="C1248">
        <v>8</v>
      </c>
    </row>
    <row r="1249" spans="1:3" x14ac:dyDescent="0.3">
      <c r="A1249">
        <v>58476</v>
      </c>
      <c r="B1249">
        <v>1</v>
      </c>
      <c r="C1249">
        <v>8</v>
      </c>
    </row>
    <row r="1250" spans="1:3" x14ac:dyDescent="0.3">
      <c r="A1250">
        <v>56385</v>
      </c>
      <c r="B1250">
        <v>1</v>
      </c>
      <c r="C1250">
        <v>8</v>
      </c>
    </row>
    <row r="1251" spans="1:3" x14ac:dyDescent="0.3">
      <c r="A1251">
        <v>55759</v>
      </c>
      <c r="B1251">
        <v>1</v>
      </c>
      <c r="C1251">
        <v>8</v>
      </c>
    </row>
    <row r="1252" spans="1:3" x14ac:dyDescent="0.3">
      <c r="A1252">
        <v>28593</v>
      </c>
      <c r="B1252">
        <v>1</v>
      </c>
      <c r="C1252">
        <v>8</v>
      </c>
    </row>
    <row r="1253" spans="1:3" x14ac:dyDescent="0.3">
      <c r="A1253">
        <v>77216</v>
      </c>
      <c r="B1253">
        <v>1</v>
      </c>
      <c r="C1253">
        <v>8</v>
      </c>
    </row>
    <row r="1254" spans="1:3" x14ac:dyDescent="0.3">
      <c r="A1254">
        <v>76492</v>
      </c>
      <c r="B1254">
        <v>1</v>
      </c>
      <c r="C1254">
        <v>8</v>
      </c>
    </row>
    <row r="1255" spans="1:3" x14ac:dyDescent="0.3">
      <c r="A1255">
        <v>75985</v>
      </c>
      <c r="B1255">
        <v>1</v>
      </c>
      <c r="C1255">
        <v>8</v>
      </c>
    </row>
    <row r="1256" spans="1:3" x14ac:dyDescent="0.3">
      <c r="A1256">
        <v>73743</v>
      </c>
      <c r="B1256">
        <v>1</v>
      </c>
      <c r="C1256">
        <v>8</v>
      </c>
    </row>
    <row r="1257" spans="1:3" x14ac:dyDescent="0.3">
      <c r="A1257">
        <v>67453</v>
      </c>
      <c r="B1257">
        <v>1</v>
      </c>
      <c r="C1257">
        <v>8</v>
      </c>
    </row>
    <row r="1258" spans="1:3" x14ac:dyDescent="0.3">
      <c r="A1258">
        <v>64116</v>
      </c>
      <c r="B1258">
        <v>1</v>
      </c>
      <c r="C1258">
        <v>16</v>
      </c>
    </row>
    <row r="1259" spans="1:3" x14ac:dyDescent="0.3">
      <c r="A1259">
        <v>57571</v>
      </c>
      <c r="B1259">
        <v>1</v>
      </c>
      <c r="C1259">
        <v>8</v>
      </c>
    </row>
    <row r="1260" spans="1:3" x14ac:dyDescent="0.3">
      <c r="A1260">
        <v>22120</v>
      </c>
      <c r="B1260">
        <v>1</v>
      </c>
      <c r="C1260">
        <v>8</v>
      </c>
    </row>
    <row r="1261" spans="1:3" x14ac:dyDescent="0.3">
      <c r="A1261">
        <v>45992</v>
      </c>
      <c r="B1261">
        <v>1</v>
      </c>
      <c r="C1261">
        <v>8</v>
      </c>
    </row>
    <row r="1262" spans="1:3" x14ac:dyDescent="0.3">
      <c r="A1262">
        <v>45689</v>
      </c>
      <c r="B1262">
        <v>1</v>
      </c>
      <c r="C1262">
        <v>8</v>
      </c>
    </row>
    <row r="1263" spans="1:3" x14ac:dyDescent="0.3">
      <c r="A1263">
        <v>33549</v>
      </c>
      <c r="B1263">
        <v>1</v>
      </c>
      <c r="C1263">
        <v>8</v>
      </c>
    </row>
    <row r="1264" spans="1:3" x14ac:dyDescent="0.3">
      <c r="A1264">
        <v>28060</v>
      </c>
      <c r="B1264">
        <v>1</v>
      </c>
      <c r="C1264">
        <v>8</v>
      </c>
    </row>
    <row r="1265" spans="1:3" x14ac:dyDescent="0.3">
      <c r="A1265">
        <v>26955</v>
      </c>
      <c r="B1265">
        <v>1</v>
      </c>
      <c r="C1265">
        <v>16</v>
      </c>
    </row>
    <row r="1266" spans="1:3" x14ac:dyDescent="0.3">
      <c r="A1266">
        <v>71802</v>
      </c>
      <c r="B1266">
        <v>1</v>
      </c>
      <c r="C1266">
        <v>16</v>
      </c>
    </row>
    <row r="1267" spans="1:3" x14ac:dyDescent="0.3">
      <c r="A1267">
        <v>19844</v>
      </c>
      <c r="B1267">
        <v>1</v>
      </c>
      <c r="C1267">
        <v>8</v>
      </c>
    </row>
    <row r="1268" spans="1:3" x14ac:dyDescent="0.3">
      <c r="A1268">
        <v>76765</v>
      </c>
      <c r="B1268">
        <v>1</v>
      </c>
      <c r="C1268">
        <v>8</v>
      </c>
    </row>
    <row r="1269" spans="1:3" x14ac:dyDescent="0.3">
      <c r="A1269">
        <v>10319</v>
      </c>
      <c r="B1269">
        <v>1</v>
      </c>
      <c r="C1269">
        <v>8</v>
      </c>
    </row>
    <row r="1270" spans="1:3" x14ac:dyDescent="0.3">
      <c r="A1270">
        <v>75951</v>
      </c>
      <c r="B1270">
        <v>1</v>
      </c>
      <c r="C1270">
        <v>16</v>
      </c>
    </row>
    <row r="1271" spans="1:3" x14ac:dyDescent="0.3">
      <c r="A1271">
        <v>68706</v>
      </c>
      <c r="B1271">
        <v>1</v>
      </c>
      <c r="C1271">
        <v>8</v>
      </c>
    </row>
    <row r="1272" spans="1:3" x14ac:dyDescent="0.3">
      <c r="A1272">
        <v>62819</v>
      </c>
      <c r="B1272">
        <v>1</v>
      </c>
      <c r="C1272">
        <v>16</v>
      </c>
    </row>
    <row r="1273" spans="1:3" x14ac:dyDescent="0.3">
      <c r="A1273">
        <v>54668</v>
      </c>
      <c r="B1273">
        <v>1</v>
      </c>
      <c r="C1273">
        <v>8</v>
      </c>
    </row>
    <row r="1274" spans="1:3" x14ac:dyDescent="0.3">
      <c r="A1274">
        <v>53009</v>
      </c>
      <c r="B1274">
        <v>1</v>
      </c>
      <c r="C1274">
        <v>8</v>
      </c>
    </row>
    <row r="1275" spans="1:3" x14ac:dyDescent="0.3">
      <c r="A1275">
        <v>26558</v>
      </c>
      <c r="B1275">
        <v>1</v>
      </c>
      <c r="C1275">
        <v>8</v>
      </c>
    </row>
    <row r="1276" spans="1:3" x14ac:dyDescent="0.3">
      <c r="A1276">
        <v>70367</v>
      </c>
      <c r="B1276">
        <v>1</v>
      </c>
      <c r="C1276">
        <v>8</v>
      </c>
    </row>
    <row r="1277" spans="1:3" x14ac:dyDescent="0.3">
      <c r="A1277">
        <v>58294</v>
      </c>
      <c r="B1277">
        <v>1</v>
      </c>
      <c r="C1277">
        <v>8</v>
      </c>
    </row>
    <row r="1278" spans="1:3" x14ac:dyDescent="0.3">
      <c r="A1278">
        <v>75695</v>
      </c>
      <c r="B1278">
        <v>1</v>
      </c>
      <c r="C1278">
        <v>8</v>
      </c>
    </row>
    <row r="1279" spans="1:3" x14ac:dyDescent="0.3">
      <c r="A1279">
        <v>74968</v>
      </c>
      <c r="B1279">
        <v>1</v>
      </c>
      <c r="C1279">
        <v>8</v>
      </c>
    </row>
    <row r="1280" spans="1:3" x14ac:dyDescent="0.3">
      <c r="A1280">
        <v>72002</v>
      </c>
      <c r="B1280">
        <v>1</v>
      </c>
      <c r="C1280">
        <v>8</v>
      </c>
    </row>
    <row r="1281" spans="1:3" x14ac:dyDescent="0.3">
      <c r="A1281">
        <v>15841</v>
      </c>
      <c r="B1281">
        <v>1</v>
      </c>
      <c r="C1281">
        <v>8</v>
      </c>
    </row>
    <row r="1282" spans="1:3" x14ac:dyDescent="0.3">
      <c r="A1282">
        <v>68542</v>
      </c>
      <c r="B1282">
        <v>1</v>
      </c>
      <c r="C1282">
        <v>8</v>
      </c>
    </row>
    <row r="1283" spans="1:3" x14ac:dyDescent="0.3">
      <c r="A1283">
        <v>66171</v>
      </c>
      <c r="B1283">
        <v>1</v>
      </c>
      <c r="C1283">
        <v>8</v>
      </c>
    </row>
    <row r="1284" spans="1:3" x14ac:dyDescent="0.3">
      <c r="A1284">
        <v>63848</v>
      </c>
      <c r="B1284">
        <v>1</v>
      </c>
      <c r="C1284">
        <v>8</v>
      </c>
    </row>
    <row r="1285" spans="1:3" x14ac:dyDescent="0.3">
      <c r="A1285">
        <v>57886</v>
      </c>
      <c r="B1285">
        <v>1</v>
      </c>
      <c r="C1285">
        <v>8</v>
      </c>
    </row>
    <row r="1286" spans="1:3" x14ac:dyDescent="0.3">
      <c r="A1286">
        <v>55164</v>
      </c>
      <c r="B1286">
        <v>1</v>
      </c>
      <c r="C1286">
        <v>8</v>
      </c>
    </row>
    <row r="1287" spans="1:3" x14ac:dyDescent="0.3">
      <c r="A1287">
        <v>46602</v>
      </c>
      <c r="B1287">
        <v>1</v>
      </c>
      <c r="C1287">
        <v>8</v>
      </c>
    </row>
    <row r="1288" spans="1:3" x14ac:dyDescent="0.3">
      <c r="A1288">
        <v>22537</v>
      </c>
      <c r="B1288">
        <v>1</v>
      </c>
      <c r="C1288">
        <v>8</v>
      </c>
    </row>
    <row r="1289" spans="1:3" x14ac:dyDescent="0.3">
      <c r="A1289">
        <v>34822</v>
      </c>
      <c r="B1289">
        <v>1</v>
      </c>
      <c r="C1289">
        <v>8</v>
      </c>
    </row>
    <row r="1290" spans="1:3" x14ac:dyDescent="0.3">
      <c r="A1290">
        <v>30449</v>
      </c>
      <c r="B1290">
        <v>1</v>
      </c>
      <c r="C1290">
        <v>8</v>
      </c>
    </row>
    <row r="1291" spans="1:3" x14ac:dyDescent="0.3">
      <c r="A1291">
        <v>14762</v>
      </c>
      <c r="B1291">
        <v>1</v>
      </c>
      <c r="C1291">
        <v>16</v>
      </c>
    </row>
    <row r="1292" spans="1:3" x14ac:dyDescent="0.3">
      <c r="A1292">
        <v>73500</v>
      </c>
      <c r="B1292">
        <v>1</v>
      </c>
      <c r="C1292">
        <v>8</v>
      </c>
    </row>
    <row r="1293" spans="1:3" x14ac:dyDescent="0.3">
      <c r="A1293">
        <v>67885</v>
      </c>
      <c r="B1293">
        <v>1</v>
      </c>
      <c r="C1293">
        <v>8</v>
      </c>
    </row>
    <row r="1294" spans="1:3" x14ac:dyDescent="0.3">
      <c r="A1294">
        <v>67191</v>
      </c>
      <c r="B1294">
        <v>1</v>
      </c>
      <c r="C1294">
        <v>16</v>
      </c>
    </row>
    <row r="1295" spans="1:3" x14ac:dyDescent="0.3">
      <c r="A1295">
        <v>77498</v>
      </c>
      <c r="B1295">
        <v>1</v>
      </c>
      <c r="C1295">
        <v>8</v>
      </c>
    </row>
    <row r="1296" spans="1:3" x14ac:dyDescent="0.3">
      <c r="A1296">
        <v>47092</v>
      </c>
      <c r="B1296">
        <v>1</v>
      </c>
      <c r="C1296">
        <v>8</v>
      </c>
    </row>
    <row r="1297" spans="1:3" x14ac:dyDescent="0.3">
      <c r="A1297">
        <v>76082</v>
      </c>
      <c r="B1297">
        <v>1</v>
      </c>
      <c r="C1297">
        <v>8</v>
      </c>
    </row>
    <row r="1298" spans="1:3" x14ac:dyDescent="0.3">
      <c r="A1298">
        <v>74245</v>
      </c>
      <c r="B1298">
        <v>1</v>
      </c>
      <c r="C1298">
        <v>8</v>
      </c>
    </row>
    <row r="1299" spans="1:3" x14ac:dyDescent="0.3">
      <c r="A1299">
        <v>73512</v>
      </c>
      <c r="B1299">
        <v>1</v>
      </c>
      <c r="C1299">
        <v>8</v>
      </c>
    </row>
    <row r="1300" spans="1:3" x14ac:dyDescent="0.3">
      <c r="A1300">
        <v>72531</v>
      </c>
      <c r="B1300">
        <v>1</v>
      </c>
      <c r="C1300">
        <v>8</v>
      </c>
    </row>
    <row r="1301" spans="1:3" x14ac:dyDescent="0.3">
      <c r="A1301">
        <v>71653</v>
      </c>
      <c r="B1301">
        <v>1</v>
      </c>
      <c r="C1301">
        <v>8</v>
      </c>
    </row>
    <row r="1302" spans="1:3" x14ac:dyDescent="0.3">
      <c r="A1302">
        <v>64976</v>
      </c>
      <c r="B1302">
        <v>1</v>
      </c>
      <c r="C1302">
        <v>8</v>
      </c>
    </row>
    <row r="1303" spans="1:3" x14ac:dyDescent="0.3">
      <c r="A1303">
        <v>51333</v>
      </c>
      <c r="B1303">
        <v>1</v>
      </c>
      <c r="C1303">
        <v>8</v>
      </c>
    </row>
    <row r="1304" spans="1:3" x14ac:dyDescent="0.3">
      <c r="A1304">
        <v>20853</v>
      </c>
      <c r="B1304">
        <v>1</v>
      </c>
      <c r="C1304">
        <v>8</v>
      </c>
    </row>
    <row r="1305" spans="1:3" x14ac:dyDescent="0.3">
      <c r="A1305">
        <v>49903</v>
      </c>
      <c r="B1305">
        <v>1</v>
      </c>
      <c r="C1305">
        <v>8</v>
      </c>
    </row>
    <row r="1306" spans="1:3" x14ac:dyDescent="0.3">
      <c r="A1306">
        <v>48876</v>
      </c>
      <c r="B1306">
        <v>1</v>
      </c>
      <c r="C1306">
        <v>8</v>
      </c>
    </row>
    <row r="1307" spans="1:3" x14ac:dyDescent="0.3">
      <c r="A1307">
        <v>48791</v>
      </c>
      <c r="B1307">
        <v>1</v>
      </c>
      <c r="C1307">
        <v>8</v>
      </c>
    </row>
    <row r="1308" spans="1:3" x14ac:dyDescent="0.3">
      <c r="A1308">
        <v>47775</v>
      </c>
      <c r="B1308">
        <v>1</v>
      </c>
      <c r="C1308">
        <v>8</v>
      </c>
    </row>
    <row r="1309" spans="1:3" x14ac:dyDescent="0.3">
      <c r="A1309">
        <v>22763</v>
      </c>
      <c r="B1309">
        <v>1</v>
      </c>
      <c r="C1309">
        <v>8</v>
      </c>
    </row>
    <row r="1310" spans="1:3" x14ac:dyDescent="0.3">
      <c r="A1310">
        <v>40679</v>
      </c>
      <c r="B1310">
        <v>1</v>
      </c>
      <c r="C1310">
        <v>8</v>
      </c>
    </row>
    <row r="1311" spans="1:3" x14ac:dyDescent="0.3">
      <c r="A1311">
        <v>75942</v>
      </c>
      <c r="B1311">
        <v>1</v>
      </c>
      <c r="C1311">
        <v>8</v>
      </c>
    </row>
    <row r="1312" spans="1:3" x14ac:dyDescent="0.3">
      <c r="A1312">
        <v>75665</v>
      </c>
      <c r="B1312">
        <v>1</v>
      </c>
      <c r="C1312">
        <v>8</v>
      </c>
    </row>
    <row r="1313" spans="1:3" x14ac:dyDescent="0.3">
      <c r="A1313">
        <v>49761</v>
      </c>
      <c r="B1313">
        <v>1</v>
      </c>
      <c r="C1313">
        <v>16</v>
      </c>
    </row>
    <row r="1314" spans="1:3" x14ac:dyDescent="0.3">
      <c r="A1314">
        <v>42596</v>
      </c>
      <c r="B1314">
        <v>1</v>
      </c>
      <c r="C1314">
        <v>8</v>
      </c>
    </row>
    <row r="1315" spans="1:3" x14ac:dyDescent="0.3">
      <c r="A1315">
        <v>70979</v>
      </c>
      <c r="B1315">
        <v>1</v>
      </c>
      <c r="C1315">
        <v>8</v>
      </c>
    </row>
    <row r="1316" spans="1:3" x14ac:dyDescent="0.3">
      <c r="A1316">
        <v>52282</v>
      </c>
      <c r="B1316">
        <v>1</v>
      </c>
      <c r="C1316">
        <v>8</v>
      </c>
    </row>
    <row r="1317" spans="1:3" x14ac:dyDescent="0.3">
      <c r="A1317">
        <v>40398</v>
      </c>
      <c r="B1317">
        <v>1</v>
      </c>
      <c r="C1317">
        <v>8</v>
      </c>
    </row>
    <row r="1318" spans="1:3" x14ac:dyDescent="0.3">
      <c r="A1318">
        <v>76081</v>
      </c>
      <c r="B1318">
        <v>1</v>
      </c>
      <c r="C1318">
        <v>8</v>
      </c>
    </row>
    <row r="1319" spans="1:3" x14ac:dyDescent="0.3">
      <c r="A1319">
        <v>75911</v>
      </c>
      <c r="B1319">
        <v>1</v>
      </c>
      <c r="C1319">
        <v>8</v>
      </c>
    </row>
    <row r="1320" spans="1:3" x14ac:dyDescent="0.3">
      <c r="A1320">
        <v>75355</v>
      </c>
      <c r="B1320">
        <v>1</v>
      </c>
      <c r="C1320">
        <v>8</v>
      </c>
    </row>
    <row r="1321" spans="1:3" x14ac:dyDescent="0.3">
      <c r="A1321">
        <v>64629</v>
      </c>
      <c r="B1321">
        <v>1</v>
      </c>
      <c r="C1321">
        <v>8</v>
      </c>
    </row>
    <row r="1322" spans="1:3" x14ac:dyDescent="0.3">
      <c r="A1322">
        <v>59069</v>
      </c>
      <c r="B1322">
        <v>1</v>
      </c>
      <c r="C1322">
        <v>8</v>
      </c>
    </row>
    <row r="1323" spans="1:3" x14ac:dyDescent="0.3">
      <c r="A1323">
        <v>47807</v>
      </c>
      <c r="B1323">
        <v>1</v>
      </c>
      <c r="C1323">
        <v>8</v>
      </c>
    </row>
    <row r="1324" spans="1:3" x14ac:dyDescent="0.3">
      <c r="A1324">
        <v>22540</v>
      </c>
      <c r="B1324">
        <v>1</v>
      </c>
      <c r="C1324">
        <v>8</v>
      </c>
    </row>
    <row r="1325" spans="1:3" x14ac:dyDescent="0.3">
      <c r="A1325">
        <v>41864</v>
      </c>
      <c r="B1325">
        <v>1</v>
      </c>
      <c r="C1325">
        <v>8</v>
      </c>
    </row>
    <row r="1326" spans="1:3" x14ac:dyDescent="0.3">
      <c r="A1326">
        <v>34258</v>
      </c>
      <c r="B1326">
        <v>1</v>
      </c>
      <c r="C1326">
        <v>8</v>
      </c>
    </row>
    <row r="1327" spans="1:3" x14ac:dyDescent="0.3">
      <c r="A1327">
        <v>30997</v>
      </c>
      <c r="B1327">
        <v>1</v>
      </c>
      <c r="C1327">
        <v>8</v>
      </c>
    </row>
    <row r="1328" spans="1:3" x14ac:dyDescent="0.3">
      <c r="A1328">
        <v>78151</v>
      </c>
      <c r="B1328">
        <v>1</v>
      </c>
      <c r="C1328">
        <v>8</v>
      </c>
    </row>
    <row r="1329" spans="1:3" x14ac:dyDescent="0.3">
      <c r="A1329">
        <v>75613</v>
      </c>
      <c r="B1329">
        <v>1</v>
      </c>
      <c r="C1329">
        <v>8</v>
      </c>
    </row>
    <row r="1330" spans="1:3" x14ac:dyDescent="0.3">
      <c r="A1330">
        <v>69532</v>
      </c>
      <c r="B1330">
        <v>1</v>
      </c>
      <c r="C1330">
        <v>8</v>
      </c>
    </row>
    <row r="1331" spans="1:3" x14ac:dyDescent="0.3">
      <c r="A1331">
        <v>31681</v>
      </c>
      <c r="B1331">
        <v>1</v>
      </c>
      <c r="C1331">
        <v>16</v>
      </c>
    </row>
    <row r="1332" spans="1:3" x14ac:dyDescent="0.3">
      <c r="A1332">
        <v>75244</v>
      </c>
      <c r="B1332">
        <v>1</v>
      </c>
      <c r="C1332">
        <v>8</v>
      </c>
    </row>
    <row r="1333" spans="1:3" x14ac:dyDescent="0.3">
      <c r="A1333">
        <v>69013</v>
      </c>
      <c r="B1333">
        <v>1</v>
      </c>
      <c r="C1333">
        <v>8</v>
      </c>
    </row>
    <row r="1334" spans="1:3" x14ac:dyDescent="0.3">
      <c r="A1334">
        <v>60456</v>
      </c>
      <c r="B1334">
        <v>1</v>
      </c>
      <c r="C1334">
        <v>8</v>
      </c>
    </row>
    <row r="1335" spans="1:3" x14ac:dyDescent="0.3">
      <c r="A1335">
        <v>21690</v>
      </c>
      <c r="B1335">
        <v>1</v>
      </c>
      <c r="C1335">
        <v>8</v>
      </c>
    </row>
    <row r="1336" spans="1:3" x14ac:dyDescent="0.3">
      <c r="A1336">
        <v>35408</v>
      </c>
      <c r="B1336">
        <v>1</v>
      </c>
      <c r="C1336">
        <v>8</v>
      </c>
    </row>
    <row r="1337" spans="1:3" x14ac:dyDescent="0.3">
      <c r="A1337">
        <v>73786</v>
      </c>
      <c r="B1337">
        <v>1</v>
      </c>
      <c r="C1337">
        <v>8</v>
      </c>
    </row>
    <row r="1338" spans="1:3" x14ac:dyDescent="0.3">
      <c r="A1338">
        <v>75984</v>
      </c>
      <c r="B1338">
        <v>1</v>
      </c>
      <c r="C1338">
        <v>8</v>
      </c>
    </row>
    <row r="1339" spans="1:3" x14ac:dyDescent="0.3">
      <c r="A1339">
        <v>74969</v>
      </c>
      <c r="B1339">
        <v>1</v>
      </c>
      <c r="C1339">
        <v>8</v>
      </c>
    </row>
    <row r="1340" spans="1:3" x14ac:dyDescent="0.3">
      <c r="A1340">
        <v>72739</v>
      </c>
      <c r="B1340">
        <v>1</v>
      </c>
      <c r="C1340">
        <v>8</v>
      </c>
    </row>
    <row r="1341" spans="1:3" x14ac:dyDescent="0.3">
      <c r="A1341">
        <v>71780</v>
      </c>
      <c r="B1341">
        <v>1</v>
      </c>
      <c r="C1341">
        <v>8</v>
      </c>
    </row>
    <row r="1342" spans="1:3" x14ac:dyDescent="0.3">
      <c r="A1342">
        <v>68755</v>
      </c>
      <c r="B1342">
        <v>1</v>
      </c>
      <c r="C1342">
        <v>8</v>
      </c>
    </row>
    <row r="1343" spans="1:3" x14ac:dyDescent="0.3">
      <c r="A1343">
        <v>62209</v>
      </c>
      <c r="B1343">
        <v>1</v>
      </c>
      <c r="C1343">
        <v>8</v>
      </c>
    </row>
    <row r="1344" spans="1:3" x14ac:dyDescent="0.3">
      <c r="A1344">
        <v>60880</v>
      </c>
      <c r="B1344">
        <v>1</v>
      </c>
      <c r="C1344">
        <v>8</v>
      </c>
    </row>
    <row r="1345" spans="1:3" x14ac:dyDescent="0.3">
      <c r="A1345">
        <v>53507</v>
      </c>
      <c r="B1345">
        <v>1</v>
      </c>
      <c r="C1345">
        <v>8</v>
      </c>
    </row>
    <row r="1346" spans="1:3" x14ac:dyDescent="0.3">
      <c r="A1346">
        <v>19719</v>
      </c>
      <c r="B1346">
        <v>1</v>
      </c>
      <c r="C1346">
        <v>16</v>
      </c>
    </row>
    <row r="1347" spans="1:3" x14ac:dyDescent="0.3">
      <c r="A1347">
        <v>52325</v>
      </c>
      <c r="B1347">
        <v>1</v>
      </c>
      <c r="C1347">
        <v>16</v>
      </c>
    </row>
    <row r="1348" spans="1:3" x14ac:dyDescent="0.3">
      <c r="A1348">
        <v>20753</v>
      </c>
      <c r="B1348">
        <v>1</v>
      </c>
      <c r="C1348">
        <v>8</v>
      </c>
    </row>
    <row r="1349" spans="1:3" x14ac:dyDescent="0.3">
      <c r="A1349">
        <v>44031</v>
      </c>
      <c r="B1349">
        <v>1</v>
      </c>
      <c r="C1349">
        <v>8</v>
      </c>
    </row>
    <row r="1350" spans="1:3" x14ac:dyDescent="0.3">
      <c r="A1350">
        <v>30434</v>
      </c>
      <c r="B1350">
        <v>1</v>
      </c>
      <c r="C1350">
        <v>8</v>
      </c>
    </row>
    <row r="1351" spans="1:3" x14ac:dyDescent="0.3">
      <c r="A1351">
        <v>24922</v>
      </c>
      <c r="B1351">
        <v>1</v>
      </c>
      <c r="C1351">
        <v>8</v>
      </c>
    </row>
    <row r="1352" spans="1:3" x14ac:dyDescent="0.3">
      <c r="A1352">
        <v>27464</v>
      </c>
      <c r="B1352">
        <v>1</v>
      </c>
      <c r="C1352">
        <v>8</v>
      </c>
    </row>
    <row r="1353" spans="1:3" x14ac:dyDescent="0.3">
      <c r="A1353">
        <v>27295</v>
      </c>
      <c r="B1353">
        <v>1</v>
      </c>
      <c r="C1353">
        <v>8</v>
      </c>
    </row>
    <row r="1354" spans="1:3" x14ac:dyDescent="0.3">
      <c r="A1354">
        <v>14267</v>
      </c>
      <c r="B1354">
        <v>1</v>
      </c>
      <c r="C1354">
        <v>16</v>
      </c>
    </row>
    <row r="1355" spans="1:3" x14ac:dyDescent="0.3">
      <c r="A1355">
        <v>20650</v>
      </c>
      <c r="B1355">
        <v>1</v>
      </c>
      <c r="C1355">
        <v>8</v>
      </c>
    </row>
    <row r="1356" spans="1:3" x14ac:dyDescent="0.3">
      <c r="A1356">
        <v>21267</v>
      </c>
      <c r="B1356">
        <v>1</v>
      </c>
      <c r="C1356">
        <v>8</v>
      </c>
    </row>
    <row r="1357" spans="1:3" x14ac:dyDescent="0.3">
      <c r="A1357">
        <v>41625</v>
      </c>
      <c r="B1357">
        <v>1</v>
      </c>
      <c r="C1357">
        <v>16</v>
      </c>
    </row>
    <row r="1358" spans="1:3" x14ac:dyDescent="0.3">
      <c r="A1358">
        <v>55322</v>
      </c>
      <c r="B1358">
        <v>1</v>
      </c>
      <c r="C1358">
        <v>8</v>
      </c>
    </row>
    <row r="1359" spans="1:3" x14ac:dyDescent="0.3">
      <c r="A1359">
        <v>53500</v>
      </c>
      <c r="B1359">
        <v>1</v>
      </c>
      <c r="C1359">
        <v>8</v>
      </c>
    </row>
    <row r="1360" spans="1:3" x14ac:dyDescent="0.3">
      <c r="A1360">
        <v>50606</v>
      </c>
      <c r="B1360">
        <v>1</v>
      </c>
      <c r="C1360">
        <v>8</v>
      </c>
    </row>
    <row r="1361" spans="1:3" x14ac:dyDescent="0.3">
      <c r="A1361">
        <v>15188</v>
      </c>
      <c r="B1361">
        <v>1</v>
      </c>
      <c r="C1361">
        <v>16</v>
      </c>
    </row>
    <row r="1362" spans="1:3" x14ac:dyDescent="0.3">
      <c r="A1362">
        <v>23506</v>
      </c>
      <c r="B1362">
        <v>1</v>
      </c>
      <c r="C1362">
        <v>16</v>
      </c>
    </row>
    <row r="1363" spans="1:3" x14ac:dyDescent="0.3">
      <c r="A1363">
        <v>74068</v>
      </c>
      <c r="B1363">
        <v>1</v>
      </c>
      <c r="C1363">
        <v>8</v>
      </c>
    </row>
    <row r="1364" spans="1:3" x14ac:dyDescent="0.3">
      <c r="A1364">
        <v>73849</v>
      </c>
      <c r="B1364">
        <v>1</v>
      </c>
      <c r="C1364">
        <v>8</v>
      </c>
    </row>
    <row r="1365" spans="1:3" x14ac:dyDescent="0.3">
      <c r="A1365">
        <v>72330</v>
      </c>
      <c r="B1365">
        <v>1</v>
      </c>
      <c r="C1365">
        <v>8</v>
      </c>
    </row>
    <row r="1366" spans="1:3" x14ac:dyDescent="0.3">
      <c r="A1366">
        <v>71857</v>
      </c>
      <c r="B1366">
        <v>1</v>
      </c>
      <c r="C1366">
        <v>8</v>
      </c>
    </row>
    <row r="1367" spans="1:3" x14ac:dyDescent="0.3">
      <c r="A1367">
        <v>70960</v>
      </c>
      <c r="B1367">
        <v>1</v>
      </c>
      <c r="C1367">
        <v>8</v>
      </c>
    </row>
    <row r="1368" spans="1:3" x14ac:dyDescent="0.3">
      <c r="A1368">
        <v>68677</v>
      </c>
      <c r="B1368">
        <v>1</v>
      </c>
      <c r="C1368">
        <v>8</v>
      </c>
    </row>
    <row r="1369" spans="1:3" x14ac:dyDescent="0.3">
      <c r="A1369">
        <v>63727</v>
      </c>
      <c r="B1369">
        <v>1</v>
      </c>
      <c r="C1369">
        <v>8</v>
      </c>
    </row>
    <row r="1370" spans="1:3" x14ac:dyDescent="0.3">
      <c r="A1370">
        <v>59897</v>
      </c>
      <c r="B1370">
        <v>1</v>
      </c>
      <c r="C1370">
        <v>8</v>
      </c>
    </row>
    <row r="1371" spans="1:3" x14ac:dyDescent="0.3">
      <c r="A1371">
        <v>52588</v>
      </c>
      <c r="B1371">
        <v>1</v>
      </c>
      <c r="C1371">
        <v>8</v>
      </c>
    </row>
    <row r="1372" spans="1:3" x14ac:dyDescent="0.3">
      <c r="A1372">
        <v>50645</v>
      </c>
      <c r="B1372">
        <v>1</v>
      </c>
      <c r="C1372">
        <v>8</v>
      </c>
    </row>
    <row r="1373" spans="1:3" x14ac:dyDescent="0.3">
      <c r="A1373">
        <v>43442</v>
      </c>
      <c r="B1373">
        <v>1</v>
      </c>
      <c r="C1373">
        <v>8</v>
      </c>
    </row>
    <row r="1374" spans="1:3" x14ac:dyDescent="0.3">
      <c r="A1374">
        <v>43114</v>
      </c>
      <c r="B1374">
        <v>1</v>
      </c>
      <c r="C1374">
        <v>8</v>
      </c>
    </row>
    <row r="1375" spans="1:3" x14ac:dyDescent="0.3">
      <c r="A1375">
        <v>73495</v>
      </c>
      <c r="B1375">
        <v>1</v>
      </c>
      <c r="C1375">
        <v>8</v>
      </c>
    </row>
    <row r="1376" spans="1:3" x14ac:dyDescent="0.3">
      <c r="A1376">
        <v>67472</v>
      </c>
      <c r="B1376">
        <v>1</v>
      </c>
      <c r="C1376">
        <v>8</v>
      </c>
    </row>
    <row r="1377" spans="1:3" x14ac:dyDescent="0.3">
      <c r="A1377">
        <v>62138</v>
      </c>
      <c r="B1377">
        <v>1</v>
      </c>
      <c r="C1377">
        <v>16</v>
      </c>
    </row>
    <row r="1378" spans="1:3" x14ac:dyDescent="0.3">
      <c r="A1378">
        <v>68718</v>
      </c>
      <c r="B1378">
        <v>1</v>
      </c>
      <c r="C1378">
        <v>8</v>
      </c>
    </row>
    <row r="1379" spans="1:3" x14ac:dyDescent="0.3">
      <c r="A1379">
        <v>68504</v>
      </c>
      <c r="B1379">
        <v>1</v>
      </c>
      <c r="C1379">
        <v>8</v>
      </c>
    </row>
    <row r="1380" spans="1:3" x14ac:dyDescent="0.3">
      <c r="A1380">
        <v>14885</v>
      </c>
      <c r="B1380">
        <v>1</v>
      </c>
      <c r="C1380">
        <v>8</v>
      </c>
    </row>
    <row r="1381" spans="1:3" x14ac:dyDescent="0.3">
      <c r="A1381">
        <v>68183</v>
      </c>
      <c r="B1381">
        <v>1</v>
      </c>
      <c r="C1381">
        <v>8</v>
      </c>
    </row>
    <row r="1382" spans="1:3" x14ac:dyDescent="0.3">
      <c r="A1382">
        <v>66943</v>
      </c>
      <c r="B1382">
        <v>1</v>
      </c>
      <c r="C1382">
        <v>8</v>
      </c>
    </row>
    <row r="1383" spans="1:3" x14ac:dyDescent="0.3">
      <c r="A1383">
        <v>63846</v>
      </c>
      <c r="B1383">
        <v>2</v>
      </c>
      <c r="C1383">
        <v>8</v>
      </c>
    </row>
    <row r="1384" spans="1:3" x14ac:dyDescent="0.3">
      <c r="A1384">
        <v>61484</v>
      </c>
      <c r="B1384">
        <v>1</v>
      </c>
      <c r="C1384">
        <v>8</v>
      </c>
    </row>
    <row r="1385" spans="1:3" x14ac:dyDescent="0.3">
      <c r="A1385">
        <v>57326</v>
      </c>
      <c r="B1385">
        <v>1</v>
      </c>
      <c r="C1385">
        <v>8</v>
      </c>
    </row>
    <row r="1386" spans="1:3" x14ac:dyDescent="0.3">
      <c r="A1386">
        <v>56936</v>
      </c>
      <c r="B1386">
        <v>1</v>
      </c>
      <c r="C1386">
        <v>8</v>
      </c>
    </row>
    <row r="1387" spans="1:3" x14ac:dyDescent="0.3">
      <c r="A1387">
        <v>51552</v>
      </c>
      <c r="B1387">
        <v>1</v>
      </c>
      <c r="C1387">
        <v>8</v>
      </c>
    </row>
    <row r="1388" spans="1:3" x14ac:dyDescent="0.3">
      <c r="A1388">
        <v>51328</v>
      </c>
      <c r="B1388">
        <v>1</v>
      </c>
      <c r="C1388">
        <v>8</v>
      </c>
    </row>
    <row r="1389" spans="1:3" x14ac:dyDescent="0.3">
      <c r="A1389">
        <v>49814</v>
      </c>
      <c r="B1389">
        <v>1</v>
      </c>
      <c r="C1389">
        <v>8</v>
      </c>
    </row>
    <row r="1390" spans="1:3" x14ac:dyDescent="0.3">
      <c r="A1390">
        <v>48878</v>
      </c>
      <c r="B1390">
        <v>1</v>
      </c>
      <c r="C1390">
        <v>8</v>
      </c>
    </row>
    <row r="1391" spans="1:3" x14ac:dyDescent="0.3">
      <c r="A1391">
        <v>21802</v>
      </c>
      <c r="B1391">
        <v>1</v>
      </c>
      <c r="C1391">
        <v>8</v>
      </c>
    </row>
    <row r="1392" spans="1:3" x14ac:dyDescent="0.3">
      <c r="A1392">
        <v>46599</v>
      </c>
      <c r="B1392">
        <v>1</v>
      </c>
      <c r="C1392">
        <v>8</v>
      </c>
    </row>
    <row r="1393" spans="1:3" x14ac:dyDescent="0.3">
      <c r="A1393">
        <v>46104</v>
      </c>
      <c r="B1393">
        <v>1</v>
      </c>
      <c r="C1393">
        <v>16</v>
      </c>
    </row>
    <row r="1394" spans="1:3" x14ac:dyDescent="0.3">
      <c r="A1394">
        <v>27533</v>
      </c>
      <c r="B1394">
        <v>1</v>
      </c>
      <c r="C1394">
        <v>8</v>
      </c>
    </row>
    <row r="1395" spans="1:3" x14ac:dyDescent="0.3">
      <c r="A1395">
        <v>25839</v>
      </c>
      <c r="B1395">
        <v>1</v>
      </c>
      <c r="C1395">
        <v>16</v>
      </c>
    </row>
    <row r="1396" spans="1:3" x14ac:dyDescent="0.3">
      <c r="A1396">
        <v>68148</v>
      </c>
      <c r="B1396">
        <v>1</v>
      </c>
      <c r="C1396">
        <v>8</v>
      </c>
    </row>
    <row r="1397" spans="1:3" x14ac:dyDescent="0.3">
      <c r="A1397">
        <v>66867</v>
      </c>
      <c r="B1397">
        <v>1</v>
      </c>
      <c r="C1397">
        <v>8</v>
      </c>
    </row>
    <row r="1398" spans="1:3" x14ac:dyDescent="0.3">
      <c r="A1398">
        <v>50821</v>
      </c>
      <c r="B1398">
        <v>1</v>
      </c>
      <c r="C1398">
        <v>8</v>
      </c>
    </row>
    <row r="1399" spans="1:3" x14ac:dyDescent="0.3">
      <c r="A1399">
        <v>42883</v>
      </c>
      <c r="B1399">
        <v>1</v>
      </c>
      <c r="C1399">
        <v>8</v>
      </c>
    </row>
    <row r="1400" spans="1:3" x14ac:dyDescent="0.3">
      <c r="A1400">
        <v>23626</v>
      </c>
      <c r="B1400">
        <v>1</v>
      </c>
      <c r="C1400">
        <v>8</v>
      </c>
    </row>
    <row r="1401" spans="1:3" x14ac:dyDescent="0.3">
      <c r="A1401">
        <v>30304</v>
      </c>
      <c r="B1401">
        <v>1</v>
      </c>
      <c r="C1401">
        <v>8</v>
      </c>
    </row>
    <row r="1402" spans="1:3" x14ac:dyDescent="0.3">
      <c r="A1402">
        <v>65732</v>
      </c>
      <c r="B1402">
        <v>1</v>
      </c>
      <c r="C1402">
        <v>8</v>
      </c>
    </row>
    <row r="1403" spans="1:3" x14ac:dyDescent="0.3">
      <c r="A1403">
        <v>20752</v>
      </c>
      <c r="B1403">
        <v>1</v>
      </c>
      <c r="C1403">
        <v>8</v>
      </c>
    </row>
    <row r="1404" spans="1:3" x14ac:dyDescent="0.3">
      <c r="A1404">
        <v>38422</v>
      </c>
      <c r="B1404">
        <v>1</v>
      </c>
      <c r="C1404">
        <v>8</v>
      </c>
    </row>
    <row r="1405" spans="1:3" x14ac:dyDescent="0.3">
      <c r="A1405">
        <v>33406</v>
      </c>
      <c r="B1405">
        <v>1</v>
      </c>
      <c r="C1405">
        <v>8</v>
      </c>
    </row>
    <row r="1406" spans="1:3" x14ac:dyDescent="0.3">
      <c r="A1406">
        <v>76493</v>
      </c>
      <c r="B1406">
        <v>1</v>
      </c>
      <c r="C1406">
        <v>8</v>
      </c>
    </row>
    <row r="1407" spans="1:3" x14ac:dyDescent="0.3">
      <c r="A1407">
        <v>76296</v>
      </c>
      <c r="B1407">
        <v>1</v>
      </c>
      <c r="C1407">
        <v>16</v>
      </c>
    </row>
    <row r="1408" spans="1:3" x14ac:dyDescent="0.3">
      <c r="A1408">
        <v>73645</v>
      </c>
      <c r="B1408">
        <v>1</v>
      </c>
      <c r="C1408">
        <v>8</v>
      </c>
    </row>
    <row r="1409" spans="1:3" x14ac:dyDescent="0.3">
      <c r="A1409">
        <v>72191</v>
      </c>
      <c r="B1409">
        <v>1</v>
      </c>
      <c r="C1409">
        <v>16</v>
      </c>
    </row>
    <row r="1410" spans="1:3" x14ac:dyDescent="0.3">
      <c r="A1410">
        <v>68674</v>
      </c>
      <c r="B1410">
        <v>1</v>
      </c>
      <c r="C1410">
        <v>8</v>
      </c>
    </row>
    <row r="1411" spans="1:3" x14ac:dyDescent="0.3">
      <c r="A1411">
        <v>68415</v>
      </c>
      <c r="B1411">
        <v>1</v>
      </c>
      <c r="C1411">
        <v>8</v>
      </c>
    </row>
    <row r="1412" spans="1:3" x14ac:dyDescent="0.3">
      <c r="A1412">
        <v>59738</v>
      </c>
      <c r="B1412">
        <v>1</v>
      </c>
      <c r="C1412">
        <v>8</v>
      </c>
    </row>
    <row r="1413" spans="1:3" x14ac:dyDescent="0.3">
      <c r="A1413">
        <v>58978</v>
      </c>
      <c r="B1413">
        <v>1</v>
      </c>
      <c r="C1413">
        <v>8</v>
      </c>
    </row>
    <row r="1414" spans="1:3" x14ac:dyDescent="0.3">
      <c r="A1414">
        <v>57625</v>
      </c>
      <c r="B1414">
        <v>1</v>
      </c>
      <c r="C1414">
        <v>8</v>
      </c>
    </row>
    <row r="1415" spans="1:3" x14ac:dyDescent="0.3">
      <c r="A1415">
        <v>53441</v>
      </c>
      <c r="B1415">
        <v>1</v>
      </c>
      <c r="C1415">
        <v>8</v>
      </c>
    </row>
    <row r="1416" spans="1:3" x14ac:dyDescent="0.3">
      <c r="A1416">
        <v>49977</v>
      </c>
      <c r="B1416">
        <v>1</v>
      </c>
      <c r="C1416">
        <v>8</v>
      </c>
    </row>
    <row r="1417" spans="1:3" x14ac:dyDescent="0.3">
      <c r="A1417">
        <v>49242</v>
      </c>
      <c r="B1417">
        <v>1</v>
      </c>
      <c r="C1417">
        <v>8</v>
      </c>
    </row>
    <row r="1418" spans="1:3" x14ac:dyDescent="0.3">
      <c r="A1418">
        <v>71804</v>
      </c>
      <c r="B1418">
        <v>1</v>
      </c>
      <c r="C1418">
        <v>8</v>
      </c>
    </row>
    <row r="1419" spans="1:3" x14ac:dyDescent="0.3">
      <c r="A1419">
        <v>65736</v>
      </c>
      <c r="B1419">
        <v>1</v>
      </c>
      <c r="C1419">
        <v>16</v>
      </c>
    </row>
    <row r="1420" spans="1:3" x14ac:dyDescent="0.3">
      <c r="A1420">
        <v>60044</v>
      </c>
      <c r="B1420">
        <v>1</v>
      </c>
      <c r="C1420">
        <v>8</v>
      </c>
    </row>
    <row r="1421" spans="1:3" x14ac:dyDescent="0.3">
      <c r="A1421">
        <v>17210</v>
      </c>
      <c r="B1421">
        <v>1</v>
      </c>
      <c r="C1421">
        <v>16</v>
      </c>
    </row>
    <row r="1422" spans="1:3" x14ac:dyDescent="0.3">
      <c r="A1422">
        <v>76074</v>
      </c>
      <c r="B1422">
        <v>1</v>
      </c>
      <c r="C1422">
        <v>8</v>
      </c>
    </row>
    <row r="1423" spans="1:3" x14ac:dyDescent="0.3">
      <c r="A1423">
        <v>77121</v>
      </c>
      <c r="B1423">
        <v>1</v>
      </c>
      <c r="C1423">
        <v>8</v>
      </c>
    </row>
    <row r="1424" spans="1:3" x14ac:dyDescent="0.3">
      <c r="A1424">
        <v>73464</v>
      </c>
      <c r="B1424">
        <v>1</v>
      </c>
      <c r="C1424">
        <v>8</v>
      </c>
    </row>
    <row r="1425" spans="1:3" x14ac:dyDescent="0.3">
      <c r="A1425">
        <v>71652</v>
      </c>
      <c r="B1425">
        <v>1</v>
      </c>
      <c r="C1425">
        <v>8</v>
      </c>
    </row>
    <row r="1426" spans="1:3" x14ac:dyDescent="0.3">
      <c r="A1426">
        <v>69741</v>
      </c>
      <c r="B1426">
        <v>1</v>
      </c>
      <c r="C1426">
        <v>8</v>
      </c>
    </row>
    <row r="1427" spans="1:3" x14ac:dyDescent="0.3">
      <c r="A1427">
        <v>68978</v>
      </c>
      <c r="B1427">
        <v>1</v>
      </c>
      <c r="C1427">
        <v>8</v>
      </c>
    </row>
    <row r="1428" spans="1:3" x14ac:dyDescent="0.3">
      <c r="A1428">
        <v>68541</v>
      </c>
      <c r="B1428">
        <v>1</v>
      </c>
      <c r="C1428">
        <v>16</v>
      </c>
    </row>
    <row r="1429" spans="1:3" x14ac:dyDescent="0.3">
      <c r="A1429">
        <v>68326</v>
      </c>
      <c r="B1429">
        <v>1</v>
      </c>
      <c r="C1429">
        <v>8</v>
      </c>
    </row>
    <row r="1430" spans="1:3" x14ac:dyDescent="0.3">
      <c r="A1430">
        <v>68182</v>
      </c>
      <c r="B1430">
        <v>1</v>
      </c>
      <c r="C1430">
        <v>8</v>
      </c>
    </row>
    <row r="1431" spans="1:3" x14ac:dyDescent="0.3">
      <c r="A1431">
        <v>62218</v>
      </c>
      <c r="B1431">
        <v>1</v>
      </c>
      <c r="C1431">
        <v>8</v>
      </c>
    </row>
    <row r="1432" spans="1:3" x14ac:dyDescent="0.3">
      <c r="A1432">
        <v>60268</v>
      </c>
      <c r="B1432">
        <v>1</v>
      </c>
      <c r="C1432">
        <v>8</v>
      </c>
    </row>
    <row r="1433" spans="1:3" x14ac:dyDescent="0.3">
      <c r="A1433">
        <v>59742</v>
      </c>
      <c r="B1433">
        <v>1</v>
      </c>
      <c r="C1433">
        <v>8</v>
      </c>
    </row>
    <row r="1434" spans="1:3" x14ac:dyDescent="0.3">
      <c r="A1434">
        <v>57820</v>
      </c>
      <c r="B1434">
        <v>1</v>
      </c>
      <c r="C1434">
        <v>8</v>
      </c>
    </row>
    <row r="1435" spans="1:3" x14ac:dyDescent="0.3">
      <c r="A1435">
        <v>51212</v>
      </c>
      <c r="B1435">
        <v>1</v>
      </c>
      <c r="C1435">
        <v>16</v>
      </c>
    </row>
    <row r="1436" spans="1:3" x14ac:dyDescent="0.3">
      <c r="A1436">
        <v>47769</v>
      </c>
      <c r="B1436">
        <v>1</v>
      </c>
      <c r="C1436">
        <v>8</v>
      </c>
    </row>
    <row r="1437" spans="1:3" x14ac:dyDescent="0.3">
      <c r="A1437">
        <v>45991</v>
      </c>
      <c r="B1437">
        <v>1</v>
      </c>
      <c r="C1437">
        <v>16</v>
      </c>
    </row>
    <row r="1438" spans="1:3" x14ac:dyDescent="0.3">
      <c r="A1438">
        <v>45412</v>
      </c>
      <c r="B1438">
        <v>1</v>
      </c>
      <c r="C1438">
        <v>8</v>
      </c>
    </row>
    <row r="1439" spans="1:3" x14ac:dyDescent="0.3">
      <c r="A1439">
        <v>33958</v>
      </c>
      <c r="B1439">
        <v>1</v>
      </c>
      <c r="C1439">
        <v>8</v>
      </c>
    </row>
    <row r="1440" spans="1:3" x14ac:dyDescent="0.3">
      <c r="A1440">
        <v>73920</v>
      </c>
      <c r="B1440">
        <v>1</v>
      </c>
      <c r="C1440">
        <v>8</v>
      </c>
    </row>
    <row r="1441" spans="1:3" x14ac:dyDescent="0.3">
      <c r="A1441">
        <v>73418</v>
      </c>
      <c r="B1441">
        <v>1</v>
      </c>
      <c r="C1441">
        <v>8</v>
      </c>
    </row>
    <row r="1442" spans="1:3" x14ac:dyDescent="0.3">
      <c r="A1442">
        <v>52600</v>
      </c>
      <c r="B1442">
        <v>1</v>
      </c>
      <c r="C1442">
        <v>8</v>
      </c>
    </row>
    <row r="1443" spans="1:3" x14ac:dyDescent="0.3">
      <c r="A1443">
        <v>48643</v>
      </c>
      <c r="B1443">
        <v>1</v>
      </c>
      <c r="C1443">
        <v>8</v>
      </c>
    </row>
    <row r="1444" spans="1:3" x14ac:dyDescent="0.3">
      <c r="A1444">
        <v>30570</v>
      </c>
      <c r="B1444">
        <v>1</v>
      </c>
      <c r="C1444">
        <v>16</v>
      </c>
    </row>
    <row r="1445" spans="1:3" x14ac:dyDescent="0.3">
      <c r="A1445">
        <v>74717</v>
      </c>
      <c r="B1445">
        <v>1</v>
      </c>
      <c r="C1445">
        <v>8</v>
      </c>
    </row>
    <row r="1446" spans="1:3" x14ac:dyDescent="0.3">
      <c r="A1446">
        <v>47529</v>
      </c>
      <c r="B1446">
        <v>1</v>
      </c>
      <c r="C1446">
        <v>8</v>
      </c>
    </row>
    <row r="1447" spans="1:3" x14ac:dyDescent="0.3">
      <c r="A1447">
        <v>78469</v>
      </c>
      <c r="B1447">
        <v>1</v>
      </c>
      <c r="C1447">
        <v>8</v>
      </c>
    </row>
    <row r="1448" spans="1:3" x14ac:dyDescent="0.3">
      <c r="A1448">
        <v>78307</v>
      </c>
      <c r="B1448">
        <v>1</v>
      </c>
      <c r="C1448">
        <v>8</v>
      </c>
    </row>
    <row r="1449" spans="1:3" x14ac:dyDescent="0.3">
      <c r="A1449">
        <v>78373</v>
      </c>
      <c r="B1449">
        <v>1</v>
      </c>
      <c r="C1449">
        <v>8</v>
      </c>
    </row>
    <row r="1450" spans="1:3" x14ac:dyDescent="0.3">
      <c r="A1450">
        <v>75525</v>
      </c>
      <c r="B1450">
        <v>1</v>
      </c>
      <c r="C1450">
        <v>8</v>
      </c>
    </row>
    <row r="1451" spans="1:3" x14ac:dyDescent="0.3">
      <c r="A1451">
        <v>73759</v>
      </c>
      <c r="B1451">
        <v>1</v>
      </c>
      <c r="C1451">
        <v>8</v>
      </c>
    </row>
    <row r="1452" spans="1:3" x14ac:dyDescent="0.3">
      <c r="A1452">
        <v>52997</v>
      </c>
      <c r="B1452">
        <v>1</v>
      </c>
      <c r="C1452">
        <v>8</v>
      </c>
    </row>
    <row r="1453" spans="1:3" x14ac:dyDescent="0.3">
      <c r="A1453">
        <v>68572</v>
      </c>
      <c r="B1453">
        <v>1</v>
      </c>
      <c r="C1453">
        <v>8</v>
      </c>
    </row>
    <row r="1454" spans="1:3" x14ac:dyDescent="0.3">
      <c r="A1454">
        <v>62713</v>
      </c>
      <c r="B1454">
        <v>1</v>
      </c>
      <c r="C1454">
        <v>8</v>
      </c>
    </row>
    <row r="1455" spans="1:3" x14ac:dyDescent="0.3">
      <c r="A1455">
        <v>60506</v>
      </c>
      <c r="B1455">
        <v>1</v>
      </c>
      <c r="C1455">
        <v>8</v>
      </c>
    </row>
    <row r="1456" spans="1:3" x14ac:dyDescent="0.3">
      <c r="A1456">
        <v>55313</v>
      </c>
      <c r="B1456">
        <v>1</v>
      </c>
      <c r="C1456">
        <v>8</v>
      </c>
    </row>
    <row r="1457" spans="1:3" x14ac:dyDescent="0.3">
      <c r="A1457">
        <v>52248</v>
      </c>
      <c r="B1457">
        <v>1</v>
      </c>
      <c r="C1457">
        <v>16</v>
      </c>
    </row>
    <row r="1458" spans="1:3" x14ac:dyDescent="0.3">
      <c r="A1458">
        <v>49237</v>
      </c>
      <c r="B1458">
        <v>1</v>
      </c>
      <c r="C1458">
        <v>8</v>
      </c>
    </row>
    <row r="1459" spans="1:3" x14ac:dyDescent="0.3">
      <c r="A1459">
        <v>47420</v>
      </c>
      <c r="B1459">
        <v>1</v>
      </c>
      <c r="C1459">
        <v>8</v>
      </c>
    </row>
    <row r="1460" spans="1:3" x14ac:dyDescent="0.3">
      <c r="A1460">
        <v>77925</v>
      </c>
      <c r="B1460">
        <v>1</v>
      </c>
      <c r="C1460">
        <v>16</v>
      </c>
    </row>
    <row r="1461" spans="1:3" x14ac:dyDescent="0.3">
      <c r="A1461">
        <v>69293</v>
      </c>
      <c r="B1461">
        <v>1</v>
      </c>
      <c r="C1461">
        <v>8</v>
      </c>
    </row>
    <row r="1462" spans="1:3" x14ac:dyDescent="0.3">
      <c r="A1462">
        <v>61261</v>
      </c>
      <c r="B1462">
        <v>1</v>
      </c>
      <c r="C1462">
        <v>8</v>
      </c>
    </row>
    <row r="1463" spans="1:3" x14ac:dyDescent="0.3">
      <c r="A1463">
        <v>58296</v>
      </c>
      <c r="B1463">
        <v>1</v>
      </c>
      <c r="C1463">
        <v>16</v>
      </c>
    </row>
    <row r="1464" spans="1:3" x14ac:dyDescent="0.3">
      <c r="A1464">
        <v>45975</v>
      </c>
      <c r="B1464">
        <v>1</v>
      </c>
      <c r="C1464">
        <v>8</v>
      </c>
    </row>
    <row r="1465" spans="1:3" x14ac:dyDescent="0.3">
      <c r="A1465">
        <v>76792</v>
      </c>
      <c r="B1465">
        <v>1</v>
      </c>
      <c r="C1465">
        <v>8</v>
      </c>
    </row>
    <row r="1466" spans="1:3" x14ac:dyDescent="0.3">
      <c r="A1466">
        <v>72746</v>
      </c>
      <c r="B1466">
        <v>1</v>
      </c>
      <c r="C1466">
        <v>8</v>
      </c>
    </row>
    <row r="1467" spans="1:3" x14ac:dyDescent="0.3">
      <c r="A1467">
        <v>72659</v>
      </c>
      <c r="B1467">
        <v>1</v>
      </c>
      <c r="C1467">
        <v>8</v>
      </c>
    </row>
    <row r="1468" spans="1:3" x14ac:dyDescent="0.3">
      <c r="A1468">
        <v>71168</v>
      </c>
      <c r="B1468">
        <v>1</v>
      </c>
      <c r="C1468">
        <v>8</v>
      </c>
    </row>
    <row r="1469" spans="1:3" x14ac:dyDescent="0.3">
      <c r="A1469">
        <v>53495</v>
      </c>
      <c r="B1469">
        <v>1</v>
      </c>
      <c r="C1469">
        <v>16</v>
      </c>
    </row>
    <row r="1470" spans="1:3" x14ac:dyDescent="0.3">
      <c r="A1470">
        <v>68673</v>
      </c>
      <c r="B1470">
        <v>1</v>
      </c>
      <c r="C1470">
        <v>8</v>
      </c>
    </row>
    <row r="1471" spans="1:3" x14ac:dyDescent="0.3">
      <c r="A1471">
        <v>17236</v>
      </c>
      <c r="B1471">
        <v>1</v>
      </c>
      <c r="C1471">
        <v>16</v>
      </c>
    </row>
    <row r="1472" spans="1:3" x14ac:dyDescent="0.3">
      <c r="A1472">
        <v>59908</v>
      </c>
      <c r="B1472">
        <v>1</v>
      </c>
      <c r="C1472">
        <v>8</v>
      </c>
    </row>
    <row r="1473" spans="1:3" x14ac:dyDescent="0.3">
      <c r="A1473">
        <v>50845</v>
      </c>
      <c r="B1473">
        <v>1</v>
      </c>
      <c r="C1473">
        <v>8</v>
      </c>
    </row>
    <row r="1474" spans="1:3" x14ac:dyDescent="0.3">
      <c r="A1474">
        <v>49236</v>
      </c>
      <c r="B1474">
        <v>1</v>
      </c>
      <c r="C1474">
        <v>16</v>
      </c>
    </row>
    <row r="1475" spans="1:3" x14ac:dyDescent="0.3">
      <c r="A1475">
        <v>32053</v>
      </c>
      <c r="B1475">
        <v>1</v>
      </c>
      <c r="C1475">
        <v>8</v>
      </c>
    </row>
    <row r="1476" spans="1:3" x14ac:dyDescent="0.3">
      <c r="A1476">
        <v>31830</v>
      </c>
      <c r="B1476">
        <v>1</v>
      </c>
      <c r="C1476">
        <v>8</v>
      </c>
    </row>
    <row r="1477" spans="1:3" x14ac:dyDescent="0.3">
      <c r="A1477">
        <v>10130</v>
      </c>
      <c r="B1477">
        <v>1</v>
      </c>
      <c r="C1477">
        <v>8</v>
      </c>
    </row>
    <row r="1478" spans="1:3" x14ac:dyDescent="0.3">
      <c r="A1478">
        <v>62142</v>
      </c>
      <c r="B1478">
        <v>1</v>
      </c>
      <c r="C1478">
        <v>8</v>
      </c>
    </row>
    <row r="1479" spans="1:3" x14ac:dyDescent="0.3">
      <c r="A1479">
        <v>50711</v>
      </c>
      <c r="B1479">
        <v>1</v>
      </c>
      <c r="C1479">
        <v>8</v>
      </c>
    </row>
    <row r="1480" spans="1:3" x14ac:dyDescent="0.3">
      <c r="A1480">
        <v>33797</v>
      </c>
      <c r="B1480">
        <v>1</v>
      </c>
      <c r="C1480">
        <v>8</v>
      </c>
    </row>
    <row r="1481" spans="1:3" x14ac:dyDescent="0.3">
      <c r="A1481">
        <v>33796</v>
      </c>
      <c r="B1481">
        <v>1</v>
      </c>
      <c r="C1481">
        <v>8</v>
      </c>
    </row>
    <row r="1482" spans="1:3" x14ac:dyDescent="0.3">
      <c r="A1482">
        <v>75697</v>
      </c>
      <c r="B1482">
        <v>1</v>
      </c>
      <c r="C1482">
        <v>8</v>
      </c>
    </row>
    <row r="1483" spans="1:3" x14ac:dyDescent="0.3">
      <c r="A1483">
        <v>75602</v>
      </c>
      <c r="B1483">
        <v>1</v>
      </c>
      <c r="C1483">
        <v>8</v>
      </c>
    </row>
    <row r="1484" spans="1:3" x14ac:dyDescent="0.3">
      <c r="A1484">
        <v>69345</v>
      </c>
      <c r="B1484">
        <v>1</v>
      </c>
      <c r="C1484">
        <v>8</v>
      </c>
    </row>
    <row r="1485" spans="1:3" x14ac:dyDescent="0.3">
      <c r="A1485">
        <v>56878</v>
      </c>
      <c r="B1485">
        <v>1</v>
      </c>
      <c r="C1485">
        <v>8</v>
      </c>
    </row>
    <row r="1486" spans="1:3" x14ac:dyDescent="0.3">
      <c r="A1486">
        <v>62419</v>
      </c>
      <c r="B1486">
        <v>1</v>
      </c>
      <c r="C1486">
        <v>8</v>
      </c>
    </row>
    <row r="1487" spans="1:3" x14ac:dyDescent="0.3">
      <c r="A1487">
        <v>60147</v>
      </c>
      <c r="B1487">
        <v>1</v>
      </c>
      <c r="C1487">
        <v>8</v>
      </c>
    </row>
    <row r="1488" spans="1:3" x14ac:dyDescent="0.3">
      <c r="A1488">
        <v>48568</v>
      </c>
      <c r="B1488">
        <v>1</v>
      </c>
      <c r="C1488">
        <v>8</v>
      </c>
    </row>
    <row r="1489" spans="1:3" x14ac:dyDescent="0.3">
      <c r="A1489">
        <v>47770</v>
      </c>
      <c r="B1489">
        <v>1</v>
      </c>
      <c r="C1489">
        <v>8</v>
      </c>
    </row>
    <row r="1490" spans="1:3" x14ac:dyDescent="0.3">
      <c r="A1490">
        <v>47171</v>
      </c>
      <c r="B1490">
        <v>1</v>
      </c>
      <c r="C1490">
        <v>8</v>
      </c>
    </row>
    <row r="1491" spans="1:3" x14ac:dyDescent="0.3">
      <c r="A1491">
        <v>46609</v>
      </c>
      <c r="B1491">
        <v>1</v>
      </c>
      <c r="C1491">
        <v>16</v>
      </c>
    </row>
    <row r="1492" spans="1:3" x14ac:dyDescent="0.3">
      <c r="A1492">
        <v>41457</v>
      </c>
      <c r="B1492">
        <v>1</v>
      </c>
      <c r="C1492">
        <v>8</v>
      </c>
    </row>
    <row r="1493" spans="1:3" x14ac:dyDescent="0.3">
      <c r="A1493">
        <v>41456</v>
      </c>
      <c r="B1493">
        <v>1</v>
      </c>
      <c r="C1493">
        <v>16</v>
      </c>
    </row>
    <row r="1494" spans="1:3" x14ac:dyDescent="0.3">
      <c r="A1494">
        <v>39260</v>
      </c>
      <c r="B1494">
        <v>1</v>
      </c>
      <c r="C1494">
        <v>8</v>
      </c>
    </row>
    <row r="1495" spans="1:3" x14ac:dyDescent="0.3">
      <c r="A1495">
        <v>36847</v>
      </c>
      <c r="B1495">
        <v>1</v>
      </c>
      <c r="C1495">
        <v>8</v>
      </c>
    </row>
    <row r="1496" spans="1:3" x14ac:dyDescent="0.3">
      <c r="A1496">
        <v>66124</v>
      </c>
      <c r="B1496">
        <v>1</v>
      </c>
      <c r="C1496">
        <v>8</v>
      </c>
    </row>
    <row r="1497" spans="1:3" x14ac:dyDescent="0.3">
      <c r="A1497">
        <v>19081</v>
      </c>
      <c r="B1497">
        <v>1</v>
      </c>
      <c r="C1497">
        <v>8</v>
      </c>
    </row>
    <row r="1498" spans="1:3" x14ac:dyDescent="0.3">
      <c r="A1498">
        <v>23511</v>
      </c>
      <c r="B1498">
        <v>1</v>
      </c>
      <c r="C1498">
        <v>8</v>
      </c>
    </row>
    <row r="1499" spans="1:3" x14ac:dyDescent="0.3">
      <c r="A1499">
        <v>23624</v>
      </c>
      <c r="B1499">
        <v>1</v>
      </c>
      <c r="C1499">
        <v>8</v>
      </c>
    </row>
    <row r="1500" spans="1:3" x14ac:dyDescent="0.3">
      <c r="A1500">
        <v>75314</v>
      </c>
      <c r="B1500">
        <v>1</v>
      </c>
      <c r="C1500">
        <v>16</v>
      </c>
    </row>
    <row r="1501" spans="1:3" x14ac:dyDescent="0.3">
      <c r="A1501">
        <v>72556</v>
      </c>
      <c r="B1501">
        <v>1</v>
      </c>
      <c r="C1501">
        <v>8</v>
      </c>
    </row>
    <row r="1502" spans="1:3" x14ac:dyDescent="0.3">
      <c r="A1502">
        <v>26972</v>
      </c>
      <c r="B1502">
        <v>1</v>
      </c>
      <c r="C1502">
        <v>8</v>
      </c>
    </row>
    <row r="1503" spans="1:3" x14ac:dyDescent="0.3">
      <c r="A1503">
        <v>72541</v>
      </c>
      <c r="B1503">
        <v>1</v>
      </c>
      <c r="C1503">
        <v>8</v>
      </c>
    </row>
    <row r="1504" spans="1:3" x14ac:dyDescent="0.3">
      <c r="A1504">
        <v>67300</v>
      </c>
      <c r="B1504">
        <v>1</v>
      </c>
      <c r="C1504">
        <v>8</v>
      </c>
    </row>
    <row r="1505" spans="1:3" x14ac:dyDescent="0.3">
      <c r="A1505">
        <v>67159</v>
      </c>
      <c r="B1505">
        <v>1</v>
      </c>
      <c r="C1505">
        <v>8</v>
      </c>
    </row>
    <row r="1506" spans="1:3" x14ac:dyDescent="0.3">
      <c r="A1506">
        <v>66602</v>
      </c>
      <c r="B1506">
        <v>1</v>
      </c>
      <c r="C1506">
        <v>8</v>
      </c>
    </row>
    <row r="1507" spans="1:3" x14ac:dyDescent="0.3">
      <c r="A1507">
        <v>63313</v>
      </c>
      <c r="B1507">
        <v>1</v>
      </c>
      <c r="C1507">
        <v>8</v>
      </c>
    </row>
    <row r="1508" spans="1:3" x14ac:dyDescent="0.3">
      <c r="A1508">
        <v>60221</v>
      </c>
      <c r="B1508">
        <v>1</v>
      </c>
      <c r="C1508">
        <v>8</v>
      </c>
    </row>
    <row r="1509" spans="1:3" x14ac:dyDescent="0.3">
      <c r="A1509">
        <v>58587</v>
      </c>
      <c r="B1509">
        <v>1</v>
      </c>
      <c r="C1509">
        <v>8</v>
      </c>
    </row>
    <row r="1510" spans="1:3" x14ac:dyDescent="0.3">
      <c r="A1510">
        <v>53259</v>
      </c>
      <c r="B1510">
        <v>1</v>
      </c>
      <c r="C1510">
        <v>8</v>
      </c>
    </row>
    <row r="1511" spans="1:3" x14ac:dyDescent="0.3">
      <c r="A1511">
        <v>52253</v>
      </c>
      <c r="B1511">
        <v>1</v>
      </c>
      <c r="C1511">
        <v>8</v>
      </c>
    </row>
    <row r="1512" spans="1:3" x14ac:dyDescent="0.3">
      <c r="A1512">
        <v>50539</v>
      </c>
      <c r="B1512">
        <v>1</v>
      </c>
      <c r="C1512">
        <v>8</v>
      </c>
    </row>
    <row r="1513" spans="1:3" x14ac:dyDescent="0.3">
      <c r="A1513">
        <v>48563</v>
      </c>
      <c r="B1513">
        <v>1</v>
      </c>
      <c r="C1513">
        <v>8</v>
      </c>
    </row>
    <row r="1514" spans="1:3" x14ac:dyDescent="0.3">
      <c r="A1514">
        <v>39049</v>
      </c>
      <c r="B1514">
        <v>1</v>
      </c>
      <c r="C1514">
        <v>8</v>
      </c>
    </row>
    <row r="1515" spans="1:3" x14ac:dyDescent="0.3">
      <c r="A1515">
        <v>26672</v>
      </c>
      <c r="B1515">
        <v>1</v>
      </c>
      <c r="C1515">
        <v>8</v>
      </c>
    </row>
    <row r="1516" spans="1:3" x14ac:dyDescent="0.3">
      <c r="A1516">
        <v>77012</v>
      </c>
      <c r="B1516">
        <v>1</v>
      </c>
      <c r="C1516">
        <v>8</v>
      </c>
    </row>
    <row r="1517" spans="1:3" x14ac:dyDescent="0.3">
      <c r="A1517">
        <v>18092</v>
      </c>
      <c r="B1517">
        <v>1</v>
      </c>
      <c r="C1517">
        <v>8</v>
      </c>
    </row>
    <row r="1518" spans="1:3" x14ac:dyDescent="0.3">
      <c r="A1518">
        <v>73721</v>
      </c>
      <c r="B1518">
        <v>1</v>
      </c>
      <c r="C1518">
        <v>8</v>
      </c>
    </row>
    <row r="1519" spans="1:3" x14ac:dyDescent="0.3">
      <c r="A1519">
        <v>18485</v>
      </c>
      <c r="B1519">
        <v>1</v>
      </c>
      <c r="C1519">
        <v>8</v>
      </c>
    </row>
    <row r="1520" spans="1:3" x14ac:dyDescent="0.3">
      <c r="A1520">
        <v>26683</v>
      </c>
      <c r="B1520">
        <v>1</v>
      </c>
      <c r="C1520">
        <v>8</v>
      </c>
    </row>
    <row r="1521" spans="1:3" x14ac:dyDescent="0.3">
      <c r="A1521">
        <v>76789</v>
      </c>
      <c r="B1521">
        <v>1</v>
      </c>
      <c r="C1521">
        <v>8</v>
      </c>
    </row>
    <row r="1522" spans="1:3" x14ac:dyDescent="0.3">
      <c r="A1522">
        <v>76084</v>
      </c>
      <c r="B1522">
        <v>1</v>
      </c>
      <c r="C1522">
        <v>8</v>
      </c>
    </row>
    <row r="1523" spans="1:3" x14ac:dyDescent="0.3">
      <c r="A1523">
        <v>75717</v>
      </c>
      <c r="B1523">
        <v>1</v>
      </c>
      <c r="C1523">
        <v>8</v>
      </c>
    </row>
    <row r="1524" spans="1:3" x14ac:dyDescent="0.3">
      <c r="A1524">
        <v>68176</v>
      </c>
      <c r="B1524">
        <v>1</v>
      </c>
      <c r="C1524">
        <v>8</v>
      </c>
    </row>
    <row r="1525" spans="1:3" x14ac:dyDescent="0.3">
      <c r="A1525">
        <v>67843</v>
      </c>
      <c r="B1525">
        <v>1</v>
      </c>
      <c r="C1525">
        <v>8</v>
      </c>
    </row>
    <row r="1526" spans="1:3" x14ac:dyDescent="0.3">
      <c r="A1526">
        <v>66609</v>
      </c>
      <c r="B1526">
        <v>1</v>
      </c>
      <c r="C1526">
        <v>8</v>
      </c>
    </row>
    <row r="1527" spans="1:3" x14ac:dyDescent="0.3">
      <c r="A1527">
        <v>64031</v>
      </c>
      <c r="B1527">
        <v>1</v>
      </c>
      <c r="C1527">
        <v>8</v>
      </c>
    </row>
    <row r="1528" spans="1:3" x14ac:dyDescent="0.3">
      <c r="A1528">
        <v>63831</v>
      </c>
      <c r="B1528">
        <v>1</v>
      </c>
      <c r="C1528">
        <v>8</v>
      </c>
    </row>
    <row r="1529" spans="1:3" x14ac:dyDescent="0.3">
      <c r="A1529">
        <v>59761</v>
      </c>
      <c r="B1529">
        <v>1</v>
      </c>
      <c r="C1529">
        <v>8</v>
      </c>
    </row>
    <row r="1530" spans="1:3" x14ac:dyDescent="0.3">
      <c r="A1530">
        <v>57630</v>
      </c>
      <c r="B1530">
        <v>1</v>
      </c>
      <c r="C1530">
        <v>8</v>
      </c>
    </row>
    <row r="1531" spans="1:3" x14ac:dyDescent="0.3">
      <c r="A1531">
        <v>53003</v>
      </c>
      <c r="B1531">
        <v>1</v>
      </c>
      <c r="C1531">
        <v>16</v>
      </c>
    </row>
    <row r="1532" spans="1:3" x14ac:dyDescent="0.3">
      <c r="A1532">
        <v>50849</v>
      </c>
      <c r="B1532">
        <v>1</v>
      </c>
      <c r="C1532">
        <v>8</v>
      </c>
    </row>
    <row r="1533" spans="1:3" x14ac:dyDescent="0.3">
      <c r="A1533">
        <v>49985</v>
      </c>
      <c r="B1533">
        <v>1</v>
      </c>
      <c r="C1533">
        <v>8</v>
      </c>
    </row>
    <row r="1534" spans="1:3" x14ac:dyDescent="0.3">
      <c r="A1534">
        <v>47170</v>
      </c>
      <c r="B1534">
        <v>1</v>
      </c>
      <c r="C1534">
        <v>8</v>
      </c>
    </row>
    <row r="1535" spans="1:3" x14ac:dyDescent="0.3">
      <c r="A1535">
        <v>45148</v>
      </c>
      <c r="B1535">
        <v>1</v>
      </c>
      <c r="C1535">
        <v>8</v>
      </c>
    </row>
    <row r="1536" spans="1:3" x14ac:dyDescent="0.3">
      <c r="A1536">
        <v>12610</v>
      </c>
      <c r="B1536">
        <v>1</v>
      </c>
      <c r="C1536">
        <v>8</v>
      </c>
    </row>
    <row r="1537" spans="1:3" x14ac:dyDescent="0.3">
      <c r="A1537">
        <v>34272</v>
      </c>
      <c r="B1537">
        <v>1</v>
      </c>
      <c r="C1537">
        <v>8</v>
      </c>
    </row>
    <row r="1538" spans="1:3" x14ac:dyDescent="0.3">
      <c r="A1538">
        <v>31118</v>
      </c>
      <c r="B1538">
        <v>1</v>
      </c>
      <c r="C1538">
        <v>8</v>
      </c>
    </row>
    <row r="1539" spans="1:3" x14ac:dyDescent="0.3">
      <c r="A1539">
        <v>13152</v>
      </c>
      <c r="B1539">
        <v>1</v>
      </c>
      <c r="C1539">
        <v>8</v>
      </c>
    </row>
    <row r="1540" spans="1:3" x14ac:dyDescent="0.3">
      <c r="A1540">
        <v>61338</v>
      </c>
      <c r="B1540">
        <v>1</v>
      </c>
      <c r="C1540">
        <v>16</v>
      </c>
    </row>
    <row r="1541" spans="1:3" x14ac:dyDescent="0.3">
      <c r="A1541">
        <v>77389</v>
      </c>
      <c r="B1541">
        <v>1</v>
      </c>
      <c r="C1541">
        <v>8</v>
      </c>
    </row>
    <row r="1542" spans="1:3" x14ac:dyDescent="0.3">
      <c r="A1542">
        <v>76878</v>
      </c>
      <c r="B1542">
        <v>1</v>
      </c>
      <c r="C1542">
        <v>8</v>
      </c>
    </row>
    <row r="1543" spans="1:3" x14ac:dyDescent="0.3">
      <c r="A1543">
        <v>74388</v>
      </c>
      <c r="B1543">
        <v>1</v>
      </c>
      <c r="C1543">
        <v>8</v>
      </c>
    </row>
    <row r="1544" spans="1:3" x14ac:dyDescent="0.3">
      <c r="A1544">
        <v>68467</v>
      </c>
      <c r="B1544">
        <v>1</v>
      </c>
      <c r="C1544">
        <v>8</v>
      </c>
    </row>
    <row r="1545" spans="1:3" x14ac:dyDescent="0.3">
      <c r="A1545">
        <v>57038</v>
      </c>
      <c r="B1545">
        <v>1</v>
      </c>
      <c r="C1545">
        <v>16</v>
      </c>
    </row>
    <row r="1546" spans="1:3" x14ac:dyDescent="0.3">
      <c r="A1546">
        <v>61243</v>
      </c>
      <c r="B1546">
        <v>1</v>
      </c>
      <c r="C1546">
        <v>8</v>
      </c>
    </row>
    <row r="1547" spans="1:3" x14ac:dyDescent="0.3">
      <c r="A1547">
        <v>57737</v>
      </c>
      <c r="B1547">
        <v>1</v>
      </c>
      <c r="C1547">
        <v>8</v>
      </c>
    </row>
    <row r="1548" spans="1:3" x14ac:dyDescent="0.3">
      <c r="A1548">
        <v>52334</v>
      </c>
      <c r="B1548">
        <v>1</v>
      </c>
      <c r="C1548">
        <v>8</v>
      </c>
    </row>
    <row r="1549" spans="1:3" x14ac:dyDescent="0.3">
      <c r="A1549">
        <v>46488</v>
      </c>
      <c r="B1549">
        <v>1</v>
      </c>
      <c r="C1549">
        <v>8</v>
      </c>
    </row>
    <row r="1550" spans="1:3" x14ac:dyDescent="0.3">
      <c r="A1550">
        <v>46194</v>
      </c>
      <c r="B1550">
        <v>1</v>
      </c>
      <c r="C1550">
        <v>8</v>
      </c>
    </row>
    <row r="1551" spans="1:3" x14ac:dyDescent="0.3">
      <c r="A1551">
        <v>43230</v>
      </c>
      <c r="B1551">
        <v>1</v>
      </c>
      <c r="C1551">
        <v>16</v>
      </c>
    </row>
    <row r="1552" spans="1:3" x14ac:dyDescent="0.3">
      <c r="A1552">
        <v>73797</v>
      </c>
      <c r="B1552">
        <v>1</v>
      </c>
      <c r="C1552">
        <v>8</v>
      </c>
    </row>
    <row r="1553" spans="1:3" x14ac:dyDescent="0.3">
      <c r="A1553">
        <v>57357</v>
      </c>
      <c r="B1553">
        <v>1</v>
      </c>
      <c r="C1553">
        <v>8</v>
      </c>
    </row>
    <row r="1554" spans="1:3" x14ac:dyDescent="0.3">
      <c r="A1554">
        <v>20738</v>
      </c>
      <c r="B1554">
        <v>1</v>
      </c>
      <c r="C1554">
        <v>8</v>
      </c>
    </row>
    <row r="1555" spans="1:3" x14ac:dyDescent="0.3">
      <c r="A1555">
        <v>29502</v>
      </c>
      <c r="B1555">
        <v>1</v>
      </c>
      <c r="C1555">
        <v>8</v>
      </c>
    </row>
    <row r="1556" spans="1:3" x14ac:dyDescent="0.3">
      <c r="A1556">
        <v>76943</v>
      </c>
      <c r="B1556">
        <v>1</v>
      </c>
      <c r="C1556">
        <v>8</v>
      </c>
    </row>
    <row r="1557" spans="1:3" x14ac:dyDescent="0.3">
      <c r="A1557">
        <v>71779</v>
      </c>
      <c r="B1557">
        <v>1</v>
      </c>
      <c r="C1557">
        <v>8</v>
      </c>
    </row>
    <row r="1558" spans="1:3" x14ac:dyDescent="0.3">
      <c r="A1558">
        <v>63479</v>
      </c>
      <c r="B1558">
        <v>1</v>
      </c>
      <c r="C1558">
        <v>8</v>
      </c>
    </row>
    <row r="1559" spans="1:3" x14ac:dyDescent="0.3">
      <c r="A1559">
        <v>60622</v>
      </c>
      <c r="B1559">
        <v>1</v>
      </c>
      <c r="C1559">
        <v>8</v>
      </c>
    </row>
    <row r="1560" spans="1:3" x14ac:dyDescent="0.3">
      <c r="A1560">
        <v>59750</v>
      </c>
      <c r="B1560">
        <v>1</v>
      </c>
      <c r="C1560">
        <v>16</v>
      </c>
    </row>
    <row r="1561" spans="1:3" x14ac:dyDescent="0.3">
      <c r="A1561">
        <v>57141</v>
      </c>
      <c r="B1561">
        <v>1</v>
      </c>
      <c r="C1561">
        <v>8</v>
      </c>
    </row>
    <row r="1562" spans="1:3" x14ac:dyDescent="0.3">
      <c r="A1562">
        <v>50058</v>
      </c>
      <c r="B1562">
        <v>1</v>
      </c>
      <c r="C1562">
        <v>8</v>
      </c>
    </row>
    <row r="1563" spans="1:3" x14ac:dyDescent="0.3">
      <c r="A1563">
        <v>47166</v>
      </c>
      <c r="B1563">
        <v>1</v>
      </c>
      <c r="C1563">
        <v>8</v>
      </c>
    </row>
    <row r="1564" spans="1:3" x14ac:dyDescent="0.3">
      <c r="A1564">
        <v>32125</v>
      </c>
      <c r="B1564">
        <v>1</v>
      </c>
      <c r="C1564">
        <v>16</v>
      </c>
    </row>
    <row r="1565" spans="1:3" x14ac:dyDescent="0.3">
      <c r="A1565">
        <v>30072</v>
      </c>
      <c r="B1565">
        <v>1</v>
      </c>
      <c r="C1565">
        <v>8</v>
      </c>
    </row>
    <row r="1566" spans="1:3" x14ac:dyDescent="0.3">
      <c r="A1566">
        <v>29204</v>
      </c>
      <c r="B1566">
        <v>1</v>
      </c>
      <c r="C1566">
        <v>8</v>
      </c>
    </row>
    <row r="1567" spans="1:3" x14ac:dyDescent="0.3">
      <c r="A1567">
        <v>62873</v>
      </c>
      <c r="B1567">
        <v>1</v>
      </c>
      <c r="C1567">
        <v>8</v>
      </c>
    </row>
    <row r="1568" spans="1:3" x14ac:dyDescent="0.3">
      <c r="A1568">
        <v>47098</v>
      </c>
      <c r="B1568">
        <v>1</v>
      </c>
      <c r="C1568">
        <v>8</v>
      </c>
    </row>
    <row r="1569" spans="1:3" x14ac:dyDescent="0.3">
      <c r="A1569">
        <v>38652</v>
      </c>
      <c r="B1569">
        <v>1</v>
      </c>
      <c r="C1569">
        <v>8</v>
      </c>
    </row>
    <row r="1570" spans="1:3" x14ac:dyDescent="0.3">
      <c r="A1570">
        <v>32567</v>
      </c>
      <c r="B1570">
        <v>1</v>
      </c>
      <c r="C1570">
        <v>8</v>
      </c>
    </row>
    <row r="1571" spans="1:3" x14ac:dyDescent="0.3">
      <c r="A1571">
        <v>26042</v>
      </c>
      <c r="B1571">
        <v>1</v>
      </c>
      <c r="C1571">
        <v>8</v>
      </c>
    </row>
    <row r="1572" spans="1:3" x14ac:dyDescent="0.3">
      <c r="A1572">
        <v>78239</v>
      </c>
      <c r="B1572">
        <v>1</v>
      </c>
      <c r="C1572">
        <v>8</v>
      </c>
    </row>
    <row r="1573" spans="1:3" x14ac:dyDescent="0.3">
      <c r="A1573">
        <v>74929</v>
      </c>
      <c r="B1573">
        <v>1</v>
      </c>
      <c r="C1573">
        <v>8</v>
      </c>
    </row>
    <row r="1574" spans="1:3" x14ac:dyDescent="0.3">
      <c r="A1574">
        <v>74298</v>
      </c>
      <c r="B1574">
        <v>1</v>
      </c>
      <c r="C1574">
        <v>8</v>
      </c>
    </row>
    <row r="1575" spans="1:3" x14ac:dyDescent="0.3">
      <c r="A1575">
        <v>72528</v>
      </c>
      <c r="B1575">
        <v>1</v>
      </c>
      <c r="C1575">
        <v>16</v>
      </c>
    </row>
    <row r="1576" spans="1:3" x14ac:dyDescent="0.3">
      <c r="A1576">
        <v>72345</v>
      </c>
      <c r="B1576">
        <v>1</v>
      </c>
      <c r="C1576">
        <v>8</v>
      </c>
    </row>
    <row r="1577" spans="1:3" x14ac:dyDescent="0.3">
      <c r="A1577">
        <v>69912</v>
      </c>
      <c r="B1577">
        <v>1</v>
      </c>
      <c r="C1577">
        <v>8</v>
      </c>
    </row>
    <row r="1578" spans="1:3" x14ac:dyDescent="0.3">
      <c r="A1578">
        <v>68901</v>
      </c>
      <c r="B1578">
        <v>1</v>
      </c>
      <c r="C1578">
        <v>8</v>
      </c>
    </row>
    <row r="1579" spans="1:3" x14ac:dyDescent="0.3">
      <c r="A1579">
        <v>68184</v>
      </c>
      <c r="B1579">
        <v>1</v>
      </c>
      <c r="C1579">
        <v>8</v>
      </c>
    </row>
    <row r="1580" spans="1:3" x14ac:dyDescent="0.3">
      <c r="A1580">
        <v>60962</v>
      </c>
      <c r="B1580">
        <v>1</v>
      </c>
      <c r="C1580">
        <v>8</v>
      </c>
    </row>
    <row r="1581" spans="1:3" x14ac:dyDescent="0.3">
      <c r="A1581">
        <v>47804</v>
      </c>
      <c r="B1581">
        <v>1</v>
      </c>
      <c r="C1581">
        <v>8</v>
      </c>
    </row>
    <row r="1582" spans="1:3" x14ac:dyDescent="0.3">
      <c r="A1582">
        <v>39945</v>
      </c>
      <c r="B1582">
        <v>1</v>
      </c>
      <c r="C1582">
        <v>16</v>
      </c>
    </row>
    <row r="1583" spans="1:3" x14ac:dyDescent="0.3">
      <c r="A1583">
        <v>23492</v>
      </c>
      <c r="B1583">
        <v>1</v>
      </c>
      <c r="C1583">
        <v>8</v>
      </c>
    </row>
    <row r="1584" spans="1:3" x14ac:dyDescent="0.3">
      <c r="A1584">
        <v>28218</v>
      </c>
      <c r="B1584">
        <v>1</v>
      </c>
      <c r="C1584">
        <v>8</v>
      </c>
    </row>
    <row r="1585" spans="1:3" x14ac:dyDescent="0.3">
      <c r="A1585">
        <v>25654</v>
      </c>
      <c r="B1585">
        <v>1</v>
      </c>
      <c r="C1585">
        <v>8</v>
      </c>
    </row>
    <row r="1586" spans="1:3" x14ac:dyDescent="0.3">
      <c r="A1586">
        <v>75038</v>
      </c>
      <c r="B1586">
        <v>1</v>
      </c>
      <c r="C1586">
        <v>8</v>
      </c>
    </row>
    <row r="1587" spans="1:3" x14ac:dyDescent="0.3">
      <c r="A1587">
        <v>78313</v>
      </c>
      <c r="B1587">
        <v>1</v>
      </c>
      <c r="C1587">
        <v>8</v>
      </c>
    </row>
    <row r="1588" spans="1:3" x14ac:dyDescent="0.3">
      <c r="A1588">
        <v>76711</v>
      </c>
      <c r="B1588">
        <v>1</v>
      </c>
      <c r="C1588">
        <v>8</v>
      </c>
    </row>
    <row r="1589" spans="1:3" x14ac:dyDescent="0.3">
      <c r="A1589">
        <v>75740</v>
      </c>
      <c r="B1589">
        <v>1</v>
      </c>
      <c r="C1589">
        <v>8</v>
      </c>
    </row>
    <row r="1590" spans="1:3" x14ac:dyDescent="0.3">
      <c r="A1590">
        <v>74888</v>
      </c>
      <c r="B1590">
        <v>1</v>
      </c>
      <c r="C1590">
        <v>8</v>
      </c>
    </row>
    <row r="1591" spans="1:3" x14ac:dyDescent="0.3">
      <c r="A1591">
        <v>12230</v>
      </c>
      <c r="B1591">
        <v>1</v>
      </c>
      <c r="C1591">
        <v>8</v>
      </c>
    </row>
    <row r="1592" spans="1:3" x14ac:dyDescent="0.3">
      <c r="A1592">
        <v>69911</v>
      </c>
      <c r="B1592">
        <v>1</v>
      </c>
      <c r="C1592">
        <v>8</v>
      </c>
    </row>
    <row r="1593" spans="1:3" x14ac:dyDescent="0.3">
      <c r="A1593">
        <v>61246</v>
      </c>
      <c r="B1593">
        <v>1</v>
      </c>
      <c r="C1593">
        <v>8</v>
      </c>
    </row>
    <row r="1594" spans="1:3" x14ac:dyDescent="0.3">
      <c r="A1594">
        <v>53044</v>
      </c>
      <c r="B1594">
        <v>1</v>
      </c>
      <c r="C1594">
        <v>8</v>
      </c>
    </row>
    <row r="1595" spans="1:3" x14ac:dyDescent="0.3">
      <c r="A1595">
        <v>43958</v>
      </c>
      <c r="B1595">
        <v>1</v>
      </c>
      <c r="C1595">
        <v>8</v>
      </c>
    </row>
    <row r="1596" spans="1:3" x14ac:dyDescent="0.3">
      <c r="A1596">
        <v>41312</v>
      </c>
      <c r="B1596">
        <v>1</v>
      </c>
      <c r="C1596">
        <v>8</v>
      </c>
    </row>
    <row r="1597" spans="1:3" x14ac:dyDescent="0.3">
      <c r="A1597">
        <v>24774</v>
      </c>
      <c r="B1597">
        <v>1</v>
      </c>
      <c r="C1597">
        <v>8</v>
      </c>
    </row>
    <row r="1598" spans="1:3" x14ac:dyDescent="0.3">
      <c r="A1598">
        <v>25685</v>
      </c>
      <c r="B1598">
        <v>1</v>
      </c>
      <c r="C1598">
        <v>8</v>
      </c>
    </row>
    <row r="1599" spans="1:3" x14ac:dyDescent="0.3">
      <c r="A1599">
        <v>15129</v>
      </c>
      <c r="B1599">
        <v>1</v>
      </c>
      <c r="C1599">
        <v>8</v>
      </c>
    </row>
    <row r="1600" spans="1:3" x14ac:dyDescent="0.3">
      <c r="A1600">
        <v>41096</v>
      </c>
      <c r="B1600">
        <v>1</v>
      </c>
      <c r="C1600">
        <v>16</v>
      </c>
    </row>
    <row r="1601" spans="1:3" x14ac:dyDescent="0.3">
      <c r="A1601">
        <v>78599</v>
      </c>
      <c r="B1601">
        <v>1</v>
      </c>
      <c r="C1601">
        <v>8</v>
      </c>
    </row>
    <row r="1602" spans="1:3" x14ac:dyDescent="0.3">
      <c r="A1602" s="26">
        <v>76790</v>
      </c>
      <c r="B1602" s="26">
        <v>2</v>
      </c>
      <c r="C1602" s="26">
        <v>8</v>
      </c>
    </row>
    <row r="1603" spans="1:3" x14ac:dyDescent="0.3">
      <c r="A1603">
        <v>72082</v>
      </c>
      <c r="B1603">
        <v>1</v>
      </c>
      <c r="C1603">
        <v>8</v>
      </c>
    </row>
    <row r="1604" spans="1:3" x14ac:dyDescent="0.3">
      <c r="A1604">
        <v>70697</v>
      </c>
      <c r="B1604">
        <v>1</v>
      </c>
      <c r="C1604">
        <v>8</v>
      </c>
    </row>
    <row r="1605" spans="1:3" x14ac:dyDescent="0.3">
      <c r="A1605">
        <v>14994</v>
      </c>
      <c r="B1605">
        <v>1</v>
      </c>
      <c r="C1605">
        <v>8</v>
      </c>
    </row>
    <row r="1606" spans="1:3" x14ac:dyDescent="0.3">
      <c r="A1606">
        <v>65924</v>
      </c>
      <c r="B1606">
        <v>1</v>
      </c>
      <c r="C1606">
        <v>8</v>
      </c>
    </row>
    <row r="1607" spans="1:3" x14ac:dyDescent="0.3">
      <c r="A1607">
        <v>62541</v>
      </c>
      <c r="B1607">
        <v>1</v>
      </c>
      <c r="C1607">
        <v>8</v>
      </c>
    </row>
    <row r="1608" spans="1:3" x14ac:dyDescent="0.3">
      <c r="A1608">
        <v>62352</v>
      </c>
      <c r="B1608">
        <v>1</v>
      </c>
      <c r="C1608">
        <v>8</v>
      </c>
    </row>
    <row r="1609" spans="1:3" x14ac:dyDescent="0.3">
      <c r="A1609">
        <v>61062</v>
      </c>
      <c r="B1609">
        <v>1</v>
      </c>
      <c r="C1609">
        <v>8</v>
      </c>
    </row>
    <row r="1610" spans="1:3" x14ac:dyDescent="0.3">
      <c r="A1610">
        <v>59267</v>
      </c>
      <c r="B1610">
        <v>1</v>
      </c>
      <c r="C1610">
        <v>16</v>
      </c>
    </row>
    <row r="1611" spans="1:3" x14ac:dyDescent="0.3">
      <c r="A1611">
        <v>50852</v>
      </c>
      <c r="B1611">
        <v>1</v>
      </c>
      <c r="C1611">
        <v>8</v>
      </c>
    </row>
    <row r="1612" spans="1:3" x14ac:dyDescent="0.3">
      <c r="A1612">
        <v>21504</v>
      </c>
      <c r="B1612">
        <v>1</v>
      </c>
      <c r="C1612">
        <v>8</v>
      </c>
    </row>
    <row r="1613" spans="1:3" x14ac:dyDescent="0.3">
      <c r="A1613">
        <v>43594</v>
      </c>
      <c r="B1613">
        <v>1</v>
      </c>
      <c r="C1613">
        <v>16</v>
      </c>
    </row>
    <row r="1614" spans="1:3" x14ac:dyDescent="0.3">
      <c r="A1614">
        <v>38516</v>
      </c>
      <c r="B1614">
        <v>1</v>
      </c>
      <c r="C1614">
        <v>8</v>
      </c>
    </row>
    <row r="1615" spans="1:3" x14ac:dyDescent="0.3">
      <c r="A1615">
        <v>31952</v>
      </c>
      <c r="B1615">
        <v>1</v>
      </c>
      <c r="C1615">
        <v>8</v>
      </c>
    </row>
    <row r="1616" spans="1:3" x14ac:dyDescent="0.3">
      <c r="A1616">
        <v>31749</v>
      </c>
      <c r="B1616">
        <v>1</v>
      </c>
      <c r="C1616">
        <v>8</v>
      </c>
    </row>
    <row r="1617" spans="1:3" x14ac:dyDescent="0.3">
      <c r="A1617">
        <v>31748</v>
      </c>
      <c r="B1617">
        <v>1</v>
      </c>
      <c r="C1617">
        <v>8</v>
      </c>
    </row>
    <row r="1618" spans="1:3" x14ac:dyDescent="0.3">
      <c r="A1618">
        <v>76585</v>
      </c>
      <c r="B1618">
        <v>1</v>
      </c>
      <c r="C1618">
        <v>8</v>
      </c>
    </row>
    <row r="1619" spans="1:3" x14ac:dyDescent="0.3">
      <c r="A1619">
        <v>46215</v>
      </c>
      <c r="B1619">
        <v>1</v>
      </c>
      <c r="C1619">
        <v>8</v>
      </c>
    </row>
    <row r="1620" spans="1:3" x14ac:dyDescent="0.3">
      <c r="A1620">
        <v>76783</v>
      </c>
      <c r="B1620">
        <v>1</v>
      </c>
      <c r="C1620">
        <v>8</v>
      </c>
    </row>
    <row r="1621" spans="1:3" x14ac:dyDescent="0.3">
      <c r="A1621">
        <v>73485</v>
      </c>
      <c r="B1621">
        <v>1</v>
      </c>
      <c r="C1621">
        <v>8</v>
      </c>
    </row>
    <row r="1622" spans="1:3" x14ac:dyDescent="0.3">
      <c r="A1622">
        <v>13773</v>
      </c>
      <c r="B1622">
        <v>1</v>
      </c>
      <c r="C1622">
        <v>8</v>
      </c>
    </row>
    <row r="1623" spans="1:3" x14ac:dyDescent="0.3">
      <c r="A1623">
        <v>17046</v>
      </c>
      <c r="B1623">
        <v>1</v>
      </c>
      <c r="C1623">
        <v>16</v>
      </c>
    </row>
    <row r="1624" spans="1:3" x14ac:dyDescent="0.3">
      <c r="A1624">
        <v>64635</v>
      </c>
      <c r="B1624">
        <v>1</v>
      </c>
      <c r="C1624">
        <v>8</v>
      </c>
    </row>
    <row r="1625" spans="1:3" x14ac:dyDescent="0.3">
      <c r="A1625">
        <v>63039</v>
      </c>
      <c r="B1625">
        <v>1</v>
      </c>
      <c r="C1625">
        <v>8</v>
      </c>
    </row>
    <row r="1626" spans="1:3" x14ac:dyDescent="0.3">
      <c r="A1626">
        <v>59756</v>
      </c>
      <c r="B1626">
        <v>1</v>
      </c>
      <c r="C1626">
        <v>8</v>
      </c>
    </row>
    <row r="1627" spans="1:3" x14ac:dyDescent="0.3">
      <c r="A1627">
        <v>59186</v>
      </c>
      <c r="B1627">
        <v>1</v>
      </c>
      <c r="C1627">
        <v>8</v>
      </c>
    </row>
    <row r="1628" spans="1:3" x14ac:dyDescent="0.3">
      <c r="A1628">
        <v>55750</v>
      </c>
      <c r="B1628">
        <v>1</v>
      </c>
      <c r="C1628">
        <v>8</v>
      </c>
    </row>
    <row r="1629" spans="1:3" x14ac:dyDescent="0.3">
      <c r="A1629">
        <v>53046</v>
      </c>
      <c r="B1629">
        <v>1</v>
      </c>
      <c r="C1629">
        <v>8</v>
      </c>
    </row>
    <row r="1630" spans="1:3" x14ac:dyDescent="0.3">
      <c r="A1630">
        <v>50056</v>
      </c>
      <c r="B1630">
        <v>1</v>
      </c>
      <c r="C1630">
        <v>16</v>
      </c>
    </row>
    <row r="1631" spans="1:3" x14ac:dyDescent="0.3">
      <c r="A1631">
        <v>21387</v>
      </c>
      <c r="B1631">
        <v>1</v>
      </c>
      <c r="C1631">
        <v>8</v>
      </c>
    </row>
    <row r="1632" spans="1:3" x14ac:dyDescent="0.3">
      <c r="A1632">
        <v>38319</v>
      </c>
      <c r="B1632">
        <v>1</v>
      </c>
      <c r="C1632">
        <v>8</v>
      </c>
    </row>
    <row r="1633" spans="1:3" x14ac:dyDescent="0.3">
      <c r="A1633">
        <v>36026</v>
      </c>
      <c r="B1633">
        <v>1</v>
      </c>
      <c r="C1633">
        <v>8</v>
      </c>
    </row>
    <row r="1634" spans="1:3" x14ac:dyDescent="0.3">
      <c r="A1634">
        <v>31244</v>
      </c>
      <c r="B1634">
        <v>1</v>
      </c>
      <c r="C1634">
        <v>8</v>
      </c>
    </row>
    <row r="1635" spans="1:3" x14ac:dyDescent="0.3">
      <c r="A1635">
        <v>30713</v>
      </c>
      <c r="B1635">
        <v>1</v>
      </c>
      <c r="C1635">
        <v>8</v>
      </c>
    </row>
    <row r="1636" spans="1:3" x14ac:dyDescent="0.3">
      <c r="A1636">
        <v>28781</v>
      </c>
      <c r="B1636">
        <v>1</v>
      </c>
      <c r="C1636">
        <v>16</v>
      </c>
    </row>
    <row r="1637" spans="1:3" x14ac:dyDescent="0.3">
      <c r="A1637">
        <v>15689</v>
      </c>
      <c r="B1637">
        <v>1</v>
      </c>
      <c r="C1637">
        <v>8</v>
      </c>
    </row>
    <row r="1638" spans="1:3" x14ac:dyDescent="0.3">
      <c r="A1638">
        <v>59812</v>
      </c>
      <c r="B1638">
        <v>1</v>
      </c>
      <c r="C1638">
        <v>8</v>
      </c>
    </row>
    <row r="1639" spans="1:3" x14ac:dyDescent="0.3">
      <c r="A1639">
        <v>76934</v>
      </c>
      <c r="B1639">
        <v>1</v>
      </c>
      <c r="C1639">
        <v>8</v>
      </c>
    </row>
    <row r="1640" spans="1:3" x14ac:dyDescent="0.3">
      <c r="A1640">
        <v>71986</v>
      </c>
      <c r="B1640">
        <v>1</v>
      </c>
      <c r="C1640">
        <v>8</v>
      </c>
    </row>
    <row r="1641" spans="1:3" x14ac:dyDescent="0.3">
      <c r="A1641">
        <v>71163</v>
      </c>
      <c r="B1641">
        <v>1</v>
      </c>
      <c r="C1641">
        <v>8</v>
      </c>
    </row>
    <row r="1642" spans="1:3" x14ac:dyDescent="0.3">
      <c r="A1642">
        <v>66461</v>
      </c>
      <c r="B1642">
        <v>1</v>
      </c>
      <c r="C1642">
        <v>8</v>
      </c>
    </row>
    <row r="1643" spans="1:3" x14ac:dyDescent="0.3">
      <c r="A1643">
        <v>66344</v>
      </c>
      <c r="B1643">
        <v>1</v>
      </c>
      <c r="C1643">
        <v>16</v>
      </c>
    </row>
    <row r="1644" spans="1:3" x14ac:dyDescent="0.3">
      <c r="A1644">
        <v>65332</v>
      </c>
      <c r="B1644">
        <v>1</v>
      </c>
      <c r="C1644">
        <v>8</v>
      </c>
    </row>
    <row r="1645" spans="1:3" x14ac:dyDescent="0.3">
      <c r="A1645">
        <v>62129</v>
      </c>
      <c r="B1645">
        <v>1</v>
      </c>
      <c r="C1645">
        <v>8</v>
      </c>
    </row>
    <row r="1646" spans="1:3" x14ac:dyDescent="0.3">
      <c r="A1646">
        <v>61294</v>
      </c>
      <c r="B1646">
        <v>1</v>
      </c>
      <c r="C1646">
        <v>8</v>
      </c>
    </row>
    <row r="1647" spans="1:3" x14ac:dyDescent="0.3">
      <c r="A1647">
        <v>60372</v>
      </c>
      <c r="B1647">
        <v>1</v>
      </c>
      <c r="C1647">
        <v>8</v>
      </c>
    </row>
    <row r="1648" spans="1:3" x14ac:dyDescent="0.3">
      <c r="A1648">
        <v>59894</v>
      </c>
      <c r="B1648">
        <v>1</v>
      </c>
      <c r="C1648">
        <v>8</v>
      </c>
    </row>
    <row r="1649" spans="1:3" x14ac:dyDescent="0.3">
      <c r="A1649">
        <v>54163</v>
      </c>
      <c r="B1649">
        <v>1</v>
      </c>
      <c r="C1649">
        <v>8</v>
      </c>
    </row>
    <row r="1650" spans="1:3" x14ac:dyDescent="0.3">
      <c r="A1650">
        <v>46489</v>
      </c>
      <c r="B1650">
        <v>1</v>
      </c>
      <c r="C1650">
        <v>8</v>
      </c>
    </row>
    <row r="1651" spans="1:3" x14ac:dyDescent="0.3">
      <c r="A1651">
        <v>35146</v>
      </c>
      <c r="B1651">
        <v>1</v>
      </c>
      <c r="C1651">
        <v>8</v>
      </c>
    </row>
    <row r="1652" spans="1:3" x14ac:dyDescent="0.3">
      <c r="A1652">
        <v>31951</v>
      </c>
      <c r="B1652">
        <v>1</v>
      </c>
      <c r="C1652">
        <v>8</v>
      </c>
    </row>
    <row r="1653" spans="1:3" x14ac:dyDescent="0.3">
      <c r="A1653">
        <v>24638</v>
      </c>
      <c r="B1653">
        <v>1</v>
      </c>
      <c r="C1653">
        <v>8</v>
      </c>
    </row>
    <row r="1654" spans="1:3" x14ac:dyDescent="0.3">
      <c r="A1654">
        <v>29360</v>
      </c>
      <c r="B1654">
        <v>1</v>
      </c>
      <c r="C1654">
        <v>8</v>
      </c>
    </row>
    <row r="1655" spans="1:3" x14ac:dyDescent="0.3">
      <c r="A1655">
        <v>50708</v>
      </c>
      <c r="B1655">
        <v>1</v>
      </c>
      <c r="C1655">
        <v>8</v>
      </c>
    </row>
    <row r="1656" spans="1:3" x14ac:dyDescent="0.3">
      <c r="A1656">
        <v>48751</v>
      </c>
      <c r="B1656">
        <v>1</v>
      </c>
      <c r="C1656">
        <v>8</v>
      </c>
    </row>
    <row r="1657" spans="1:3" x14ac:dyDescent="0.3">
      <c r="A1657">
        <v>42260</v>
      </c>
      <c r="B1657">
        <v>1</v>
      </c>
      <c r="C1657">
        <v>8</v>
      </c>
    </row>
    <row r="1658" spans="1:3" x14ac:dyDescent="0.3">
      <c r="A1658">
        <v>13117</v>
      </c>
      <c r="B1658">
        <v>1</v>
      </c>
      <c r="C1658">
        <v>16</v>
      </c>
    </row>
    <row r="1659" spans="1:3" x14ac:dyDescent="0.3">
      <c r="A1659">
        <v>42364</v>
      </c>
      <c r="B1659">
        <v>1</v>
      </c>
      <c r="C1659">
        <v>8</v>
      </c>
    </row>
    <row r="1660" spans="1:3" x14ac:dyDescent="0.3">
      <c r="A1660">
        <v>29632</v>
      </c>
      <c r="B1660">
        <v>1</v>
      </c>
      <c r="C1660">
        <v>16</v>
      </c>
    </row>
    <row r="1661" spans="1:3" x14ac:dyDescent="0.3">
      <c r="A1661">
        <v>78341</v>
      </c>
      <c r="B1661">
        <v>1</v>
      </c>
      <c r="C1661">
        <v>8</v>
      </c>
    </row>
    <row r="1662" spans="1:3" x14ac:dyDescent="0.3">
      <c r="A1662">
        <v>75327</v>
      </c>
      <c r="B1662">
        <v>1</v>
      </c>
      <c r="C1662">
        <v>8</v>
      </c>
    </row>
    <row r="1663" spans="1:3" x14ac:dyDescent="0.3">
      <c r="A1663">
        <v>73741</v>
      </c>
      <c r="B1663">
        <v>1</v>
      </c>
      <c r="C1663">
        <v>8</v>
      </c>
    </row>
    <row r="1664" spans="1:3" x14ac:dyDescent="0.3">
      <c r="A1664">
        <v>71172</v>
      </c>
      <c r="B1664">
        <v>1</v>
      </c>
      <c r="C1664">
        <v>8</v>
      </c>
    </row>
    <row r="1665" spans="1:3" x14ac:dyDescent="0.3">
      <c r="A1665">
        <v>63041</v>
      </c>
      <c r="B1665">
        <v>1</v>
      </c>
      <c r="C1665">
        <v>8</v>
      </c>
    </row>
    <row r="1666" spans="1:3" x14ac:dyDescent="0.3">
      <c r="A1666">
        <v>18079</v>
      </c>
      <c r="B1666">
        <v>1</v>
      </c>
      <c r="C1666">
        <v>16</v>
      </c>
    </row>
    <row r="1667" spans="1:3" x14ac:dyDescent="0.3">
      <c r="A1667">
        <v>60224</v>
      </c>
      <c r="B1667">
        <v>1</v>
      </c>
      <c r="C1667">
        <v>16</v>
      </c>
    </row>
    <row r="1668" spans="1:3" x14ac:dyDescent="0.3">
      <c r="A1668">
        <v>51556</v>
      </c>
      <c r="B1668">
        <v>1</v>
      </c>
      <c r="C1668">
        <v>8</v>
      </c>
    </row>
    <row r="1669" spans="1:3" x14ac:dyDescent="0.3">
      <c r="A1669">
        <v>50962</v>
      </c>
      <c r="B1669">
        <v>1</v>
      </c>
      <c r="C1669">
        <v>8</v>
      </c>
    </row>
    <row r="1670" spans="1:3" x14ac:dyDescent="0.3">
      <c r="A1670">
        <v>47172</v>
      </c>
      <c r="B1670">
        <v>1</v>
      </c>
      <c r="C1670">
        <v>16</v>
      </c>
    </row>
    <row r="1671" spans="1:3" x14ac:dyDescent="0.3">
      <c r="A1671">
        <v>25518</v>
      </c>
      <c r="B1671">
        <v>1</v>
      </c>
      <c r="C1671">
        <v>8</v>
      </c>
    </row>
    <row r="1672" spans="1:3" x14ac:dyDescent="0.3">
      <c r="A1672">
        <v>62137</v>
      </c>
      <c r="B1672">
        <v>1</v>
      </c>
      <c r="C1672">
        <v>8</v>
      </c>
    </row>
    <row r="1673" spans="1:3" x14ac:dyDescent="0.3">
      <c r="A1673">
        <v>56826</v>
      </c>
      <c r="B1673">
        <v>1</v>
      </c>
      <c r="C1673">
        <v>16</v>
      </c>
    </row>
    <row r="1674" spans="1:3" x14ac:dyDescent="0.3">
      <c r="A1674">
        <v>19184</v>
      </c>
      <c r="B1674">
        <v>1</v>
      </c>
      <c r="C1674">
        <v>16</v>
      </c>
    </row>
    <row r="1675" spans="1:3" x14ac:dyDescent="0.3">
      <c r="A1675">
        <v>19653</v>
      </c>
      <c r="B1675">
        <v>1</v>
      </c>
      <c r="C1675">
        <v>16</v>
      </c>
    </row>
    <row r="1676" spans="1:3" x14ac:dyDescent="0.3">
      <c r="A1676">
        <v>41408</v>
      </c>
      <c r="B1676">
        <v>1</v>
      </c>
      <c r="C1676">
        <v>16</v>
      </c>
    </row>
    <row r="1677" spans="1:3" x14ac:dyDescent="0.3">
      <c r="A1677">
        <v>78600</v>
      </c>
      <c r="B1677">
        <v>1</v>
      </c>
      <c r="C1677">
        <v>8</v>
      </c>
    </row>
    <row r="1678" spans="1:3" x14ac:dyDescent="0.3">
      <c r="A1678">
        <v>76932</v>
      </c>
      <c r="B1678">
        <v>1</v>
      </c>
      <c r="C1678">
        <v>8</v>
      </c>
    </row>
    <row r="1679" spans="1:3" x14ac:dyDescent="0.3">
      <c r="A1679">
        <v>75297</v>
      </c>
      <c r="B1679">
        <v>1</v>
      </c>
      <c r="C1679">
        <v>8</v>
      </c>
    </row>
    <row r="1680" spans="1:3" x14ac:dyDescent="0.3">
      <c r="A1680">
        <v>74389</v>
      </c>
      <c r="B1680">
        <v>1</v>
      </c>
      <c r="C1680">
        <v>8</v>
      </c>
    </row>
    <row r="1681" spans="1:3" x14ac:dyDescent="0.3">
      <c r="A1681">
        <v>71856</v>
      </c>
      <c r="B1681">
        <v>1</v>
      </c>
      <c r="C1681">
        <v>8</v>
      </c>
    </row>
    <row r="1682" spans="1:3" x14ac:dyDescent="0.3">
      <c r="A1682">
        <v>71062</v>
      </c>
      <c r="B1682">
        <v>1</v>
      </c>
      <c r="C1682">
        <v>8</v>
      </c>
    </row>
    <row r="1683" spans="1:3" x14ac:dyDescent="0.3">
      <c r="A1683">
        <v>70870</v>
      </c>
      <c r="B1683">
        <v>1</v>
      </c>
      <c r="C1683">
        <v>8</v>
      </c>
    </row>
    <row r="1684" spans="1:3" x14ac:dyDescent="0.3">
      <c r="A1684">
        <v>66614</v>
      </c>
      <c r="B1684">
        <v>1</v>
      </c>
      <c r="C1684">
        <v>8</v>
      </c>
    </row>
    <row r="1685" spans="1:3" x14ac:dyDescent="0.3">
      <c r="A1685">
        <v>63844</v>
      </c>
      <c r="B1685">
        <v>1</v>
      </c>
      <c r="C1685">
        <v>8</v>
      </c>
    </row>
    <row r="1686" spans="1:3" x14ac:dyDescent="0.3">
      <c r="A1686">
        <v>52255</v>
      </c>
      <c r="B1686">
        <v>1</v>
      </c>
      <c r="C1686">
        <v>8</v>
      </c>
    </row>
    <row r="1687" spans="1:3" x14ac:dyDescent="0.3">
      <c r="A1687">
        <v>58396</v>
      </c>
      <c r="B1687">
        <v>1</v>
      </c>
      <c r="C1687">
        <v>16</v>
      </c>
    </row>
    <row r="1688" spans="1:3" x14ac:dyDescent="0.3">
      <c r="A1688">
        <v>37775</v>
      </c>
      <c r="B1688">
        <v>1</v>
      </c>
      <c r="C1688">
        <v>8</v>
      </c>
    </row>
    <row r="1689" spans="1:3" x14ac:dyDescent="0.3">
      <c r="A1689">
        <v>35051</v>
      </c>
      <c r="B1689">
        <v>1</v>
      </c>
      <c r="C1689">
        <v>8</v>
      </c>
    </row>
    <row r="1690" spans="1:3" x14ac:dyDescent="0.3">
      <c r="A1690">
        <v>33200</v>
      </c>
      <c r="B1690">
        <v>1</v>
      </c>
      <c r="C1690">
        <v>8</v>
      </c>
    </row>
    <row r="1691" spans="1:3" x14ac:dyDescent="0.3">
      <c r="A1691">
        <v>61946</v>
      </c>
      <c r="B1691">
        <v>1</v>
      </c>
      <c r="C1691">
        <v>8</v>
      </c>
    </row>
    <row r="1692" spans="1:3" x14ac:dyDescent="0.3">
      <c r="A1692">
        <v>57832</v>
      </c>
      <c r="B1692">
        <v>1</v>
      </c>
      <c r="C1692">
        <v>8</v>
      </c>
    </row>
    <row r="1693" spans="1:3" x14ac:dyDescent="0.3">
      <c r="A1693">
        <v>29131</v>
      </c>
      <c r="B1693">
        <v>1</v>
      </c>
      <c r="C1693">
        <v>8</v>
      </c>
    </row>
    <row r="1694" spans="1:3" x14ac:dyDescent="0.3">
      <c r="A1694">
        <v>70795</v>
      </c>
      <c r="B1694">
        <v>1</v>
      </c>
      <c r="C1694">
        <v>8</v>
      </c>
    </row>
    <row r="1695" spans="1:3" x14ac:dyDescent="0.3">
      <c r="A1695">
        <v>70299</v>
      </c>
      <c r="B1695">
        <v>1</v>
      </c>
      <c r="C1695">
        <v>8</v>
      </c>
    </row>
    <row r="1696" spans="1:3" x14ac:dyDescent="0.3">
      <c r="A1696">
        <v>67550</v>
      </c>
      <c r="B1696">
        <v>1</v>
      </c>
      <c r="C1696">
        <v>8</v>
      </c>
    </row>
    <row r="1697" spans="1:3" x14ac:dyDescent="0.3">
      <c r="A1697">
        <v>58983</v>
      </c>
      <c r="B1697">
        <v>1</v>
      </c>
      <c r="C1697">
        <v>16</v>
      </c>
    </row>
    <row r="1698" spans="1:3" x14ac:dyDescent="0.3">
      <c r="A1698">
        <v>59068</v>
      </c>
      <c r="B1698">
        <v>1</v>
      </c>
      <c r="C1698">
        <v>8</v>
      </c>
    </row>
    <row r="1699" spans="1:3" x14ac:dyDescent="0.3">
      <c r="A1699">
        <v>39722</v>
      </c>
      <c r="B1699">
        <v>1</v>
      </c>
      <c r="C1699">
        <v>8</v>
      </c>
    </row>
    <row r="1700" spans="1:3" x14ac:dyDescent="0.3">
      <c r="A1700">
        <v>30038</v>
      </c>
      <c r="B1700">
        <v>1</v>
      </c>
      <c r="C1700">
        <v>8</v>
      </c>
    </row>
    <row r="1701" spans="1:3" x14ac:dyDescent="0.3">
      <c r="A1701">
        <v>29464</v>
      </c>
      <c r="B1701">
        <v>1</v>
      </c>
      <c r="C1701">
        <v>8</v>
      </c>
    </row>
    <row r="1702" spans="1:3" x14ac:dyDescent="0.3">
      <c r="A1702">
        <v>28210</v>
      </c>
      <c r="B1702">
        <v>1</v>
      </c>
      <c r="C1702">
        <v>8</v>
      </c>
    </row>
    <row r="1703" spans="1:3" x14ac:dyDescent="0.3">
      <c r="A1703">
        <v>43722</v>
      </c>
      <c r="B1703">
        <v>1</v>
      </c>
      <c r="C1703">
        <v>8</v>
      </c>
    </row>
    <row r="1704" spans="1:3" x14ac:dyDescent="0.3">
      <c r="A1704">
        <v>29130</v>
      </c>
      <c r="B1704">
        <v>1</v>
      </c>
      <c r="C1704">
        <v>8</v>
      </c>
    </row>
    <row r="1705" spans="1:3" x14ac:dyDescent="0.3">
      <c r="A1705">
        <v>10541</v>
      </c>
      <c r="B1705">
        <v>1</v>
      </c>
      <c r="C1705">
        <v>8</v>
      </c>
    </row>
    <row r="1706" spans="1:3" x14ac:dyDescent="0.3">
      <c r="A1706">
        <v>76931</v>
      </c>
      <c r="B1706">
        <v>1</v>
      </c>
      <c r="C1706">
        <v>8</v>
      </c>
    </row>
    <row r="1707" spans="1:3" x14ac:dyDescent="0.3">
      <c r="A1707">
        <v>74244</v>
      </c>
      <c r="B1707">
        <v>1</v>
      </c>
      <c r="C1707">
        <v>8</v>
      </c>
    </row>
    <row r="1708" spans="1:3" x14ac:dyDescent="0.3">
      <c r="A1708">
        <v>71159</v>
      </c>
      <c r="B1708">
        <v>1</v>
      </c>
      <c r="C1708">
        <v>8</v>
      </c>
    </row>
    <row r="1709" spans="1:3" x14ac:dyDescent="0.3">
      <c r="A1709">
        <v>70698</v>
      </c>
      <c r="B1709">
        <v>1</v>
      </c>
      <c r="C1709">
        <v>8</v>
      </c>
    </row>
    <row r="1710" spans="1:3" x14ac:dyDescent="0.3">
      <c r="A1710">
        <v>68189</v>
      </c>
      <c r="B1710">
        <v>1</v>
      </c>
      <c r="C1710">
        <v>8</v>
      </c>
    </row>
    <row r="1711" spans="1:3" x14ac:dyDescent="0.3">
      <c r="A1711">
        <v>65925</v>
      </c>
      <c r="B1711">
        <v>1</v>
      </c>
      <c r="C1711">
        <v>8</v>
      </c>
    </row>
    <row r="1712" spans="1:3" x14ac:dyDescent="0.3">
      <c r="A1712">
        <v>61247</v>
      </c>
      <c r="B1712">
        <v>1</v>
      </c>
      <c r="C1712">
        <v>8</v>
      </c>
    </row>
    <row r="1713" spans="1:3" x14ac:dyDescent="0.3">
      <c r="A1713">
        <v>47606</v>
      </c>
      <c r="B1713">
        <v>1</v>
      </c>
      <c r="C1713">
        <v>8</v>
      </c>
    </row>
    <row r="1714" spans="1:3" x14ac:dyDescent="0.3">
      <c r="A1714">
        <v>47601</v>
      </c>
      <c r="B1714">
        <v>1</v>
      </c>
      <c r="C1714">
        <v>8</v>
      </c>
    </row>
    <row r="1715" spans="1:3" x14ac:dyDescent="0.3">
      <c r="A1715">
        <v>77003</v>
      </c>
      <c r="B1715">
        <v>1</v>
      </c>
      <c r="C1715">
        <v>8</v>
      </c>
    </row>
    <row r="1716" spans="1:3" x14ac:dyDescent="0.3">
      <c r="A1716">
        <v>75689</v>
      </c>
      <c r="B1716">
        <v>1</v>
      </c>
      <c r="C1716">
        <v>8</v>
      </c>
    </row>
    <row r="1717" spans="1:3" x14ac:dyDescent="0.3">
      <c r="A1717">
        <v>69648</v>
      </c>
      <c r="B1717">
        <v>1</v>
      </c>
      <c r="C1717">
        <v>16</v>
      </c>
    </row>
    <row r="1718" spans="1:3" x14ac:dyDescent="0.3">
      <c r="A1718">
        <v>66114</v>
      </c>
      <c r="B1718">
        <v>1</v>
      </c>
      <c r="C1718">
        <v>8</v>
      </c>
    </row>
    <row r="1719" spans="1:3" x14ac:dyDescent="0.3">
      <c r="A1719">
        <v>60742</v>
      </c>
      <c r="B1719">
        <v>1</v>
      </c>
      <c r="C1719">
        <v>8</v>
      </c>
    </row>
    <row r="1720" spans="1:3" x14ac:dyDescent="0.3">
      <c r="A1720">
        <v>60679</v>
      </c>
      <c r="B1720">
        <v>1</v>
      </c>
      <c r="C1720">
        <v>8</v>
      </c>
    </row>
    <row r="1721" spans="1:3" x14ac:dyDescent="0.3">
      <c r="A1721">
        <v>60149</v>
      </c>
      <c r="B1721">
        <v>1</v>
      </c>
      <c r="C1721">
        <v>8</v>
      </c>
    </row>
    <row r="1722" spans="1:3" x14ac:dyDescent="0.3">
      <c r="A1722">
        <v>52333</v>
      </c>
      <c r="B1722">
        <v>1</v>
      </c>
      <c r="C1722">
        <v>8</v>
      </c>
    </row>
    <row r="1723" spans="1:3" x14ac:dyDescent="0.3">
      <c r="A1723">
        <v>50214</v>
      </c>
      <c r="B1723">
        <v>1</v>
      </c>
      <c r="C1723">
        <v>16</v>
      </c>
    </row>
    <row r="1724" spans="1:3" x14ac:dyDescent="0.3">
      <c r="A1724">
        <v>45994</v>
      </c>
      <c r="B1724">
        <v>1</v>
      </c>
      <c r="C1724">
        <v>8</v>
      </c>
    </row>
    <row r="1725" spans="1:3" x14ac:dyDescent="0.3">
      <c r="A1725">
        <v>43228</v>
      </c>
      <c r="B1725">
        <v>1</v>
      </c>
      <c r="C1725">
        <v>8</v>
      </c>
    </row>
    <row r="1726" spans="1:3" x14ac:dyDescent="0.3">
      <c r="A1726">
        <v>30702</v>
      </c>
      <c r="B1726">
        <v>1</v>
      </c>
      <c r="C1726">
        <v>16</v>
      </c>
    </row>
    <row r="1727" spans="1:3" x14ac:dyDescent="0.3">
      <c r="A1727">
        <v>28067</v>
      </c>
      <c r="B1727">
        <v>1</v>
      </c>
      <c r="C1727">
        <v>8</v>
      </c>
    </row>
    <row r="1728" spans="1:3" x14ac:dyDescent="0.3">
      <c r="A1728">
        <v>78342</v>
      </c>
      <c r="B1728">
        <v>1</v>
      </c>
      <c r="C1728">
        <v>8</v>
      </c>
    </row>
    <row r="1729" spans="1:3" x14ac:dyDescent="0.3">
      <c r="A1729">
        <v>75482</v>
      </c>
      <c r="B1729">
        <v>1</v>
      </c>
      <c r="C1729">
        <v>8</v>
      </c>
    </row>
    <row r="1730" spans="1:3" x14ac:dyDescent="0.3">
      <c r="A1730">
        <v>75127</v>
      </c>
      <c r="B1730">
        <v>1</v>
      </c>
      <c r="C1730">
        <v>8</v>
      </c>
    </row>
    <row r="1731" spans="1:3" x14ac:dyDescent="0.3">
      <c r="A1731">
        <v>72192</v>
      </c>
      <c r="B1731">
        <v>1</v>
      </c>
      <c r="C1731">
        <v>8</v>
      </c>
    </row>
    <row r="1732" spans="1:3" x14ac:dyDescent="0.3">
      <c r="A1732">
        <v>60739</v>
      </c>
      <c r="B1732">
        <v>1</v>
      </c>
      <c r="C1732">
        <v>8</v>
      </c>
    </row>
    <row r="1733" spans="1:3" x14ac:dyDescent="0.3">
      <c r="A1733">
        <v>59759</v>
      </c>
      <c r="B1733">
        <v>1</v>
      </c>
      <c r="C1733">
        <v>8</v>
      </c>
    </row>
    <row r="1734" spans="1:3" x14ac:dyDescent="0.3">
      <c r="A1734">
        <v>50054</v>
      </c>
      <c r="B1734">
        <v>1</v>
      </c>
      <c r="C1734">
        <v>16</v>
      </c>
    </row>
    <row r="1735" spans="1:3" x14ac:dyDescent="0.3">
      <c r="A1735">
        <v>47414</v>
      </c>
      <c r="B1735">
        <v>1</v>
      </c>
      <c r="C1735">
        <v>8</v>
      </c>
    </row>
    <row r="1736" spans="1:3" x14ac:dyDescent="0.3">
      <c r="A1736">
        <v>22758</v>
      </c>
      <c r="B1736">
        <v>1</v>
      </c>
      <c r="C1736">
        <v>8</v>
      </c>
    </row>
    <row r="1737" spans="1:3" x14ac:dyDescent="0.3">
      <c r="A1737">
        <v>71418</v>
      </c>
      <c r="B1737">
        <v>1</v>
      </c>
      <c r="C1737">
        <v>8</v>
      </c>
    </row>
    <row r="1738" spans="1:3" x14ac:dyDescent="0.3">
      <c r="A1738">
        <v>69485</v>
      </c>
      <c r="B1738">
        <v>1</v>
      </c>
      <c r="C1738">
        <v>8</v>
      </c>
    </row>
    <row r="1739" spans="1:3" x14ac:dyDescent="0.3">
      <c r="A1739">
        <v>67780</v>
      </c>
      <c r="B1739">
        <v>1</v>
      </c>
      <c r="C1739">
        <v>8</v>
      </c>
    </row>
    <row r="1740" spans="1:3" x14ac:dyDescent="0.3">
      <c r="A1740">
        <v>66959</v>
      </c>
      <c r="B1740">
        <v>1</v>
      </c>
      <c r="C1740">
        <v>8</v>
      </c>
    </row>
    <row r="1741" spans="1:3" x14ac:dyDescent="0.3">
      <c r="A1741">
        <v>59536</v>
      </c>
      <c r="B1741">
        <v>1</v>
      </c>
      <c r="C1741">
        <v>16</v>
      </c>
    </row>
    <row r="1742" spans="1:3" x14ac:dyDescent="0.3">
      <c r="A1742">
        <v>57567</v>
      </c>
      <c r="B1742">
        <v>1</v>
      </c>
      <c r="C1742">
        <v>8</v>
      </c>
    </row>
    <row r="1743" spans="1:3" x14ac:dyDescent="0.3">
      <c r="A1743">
        <v>56931</v>
      </c>
      <c r="B1743">
        <v>1</v>
      </c>
      <c r="C1743">
        <v>8</v>
      </c>
    </row>
    <row r="1744" spans="1:3" x14ac:dyDescent="0.3">
      <c r="A1744">
        <v>50051</v>
      </c>
      <c r="B1744">
        <v>1</v>
      </c>
      <c r="C1744">
        <v>8</v>
      </c>
    </row>
    <row r="1745" spans="1:3" x14ac:dyDescent="0.3">
      <c r="A1745">
        <v>47924</v>
      </c>
      <c r="B1745">
        <v>1</v>
      </c>
      <c r="C1745">
        <v>8</v>
      </c>
    </row>
    <row r="1746" spans="1:3" x14ac:dyDescent="0.3">
      <c r="A1746">
        <v>47161</v>
      </c>
      <c r="B1746">
        <v>1</v>
      </c>
      <c r="C1746">
        <v>8</v>
      </c>
    </row>
    <row r="1747" spans="1:3" x14ac:dyDescent="0.3">
      <c r="A1747">
        <v>40464</v>
      </c>
      <c r="B1747">
        <v>1</v>
      </c>
      <c r="C1747">
        <v>8</v>
      </c>
    </row>
    <row r="1748" spans="1:3" x14ac:dyDescent="0.3">
      <c r="A1748">
        <v>77001</v>
      </c>
      <c r="B1748">
        <v>1</v>
      </c>
      <c r="C1748">
        <v>8</v>
      </c>
    </row>
    <row r="1749" spans="1:3" x14ac:dyDescent="0.3">
      <c r="A1749">
        <v>74511</v>
      </c>
      <c r="B1749">
        <v>1</v>
      </c>
      <c r="C1749">
        <v>8</v>
      </c>
    </row>
    <row r="1750" spans="1:3" x14ac:dyDescent="0.3">
      <c r="A1750">
        <v>16342</v>
      </c>
      <c r="B1750">
        <v>1</v>
      </c>
      <c r="C1750">
        <v>8</v>
      </c>
    </row>
    <row r="1751" spans="1:3" x14ac:dyDescent="0.3">
      <c r="A1751">
        <v>62709</v>
      </c>
      <c r="B1751">
        <v>1</v>
      </c>
      <c r="C1751">
        <v>8</v>
      </c>
    </row>
    <row r="1752" spans="1:3" x14ac:dyDescent="0.3">
      <c r="A1752">
        <v>59760</v>
      </c>
      <c r="B1752">
        <v>1</v>
      </c>
      <c r="C1752">
        <v>8</v>
      </c>
    </row>
    <row r="1753" spans="1:3" x14ac:dyDescent="0.3">
      <c r="A1753">
        <v>57576</v>
      </c>
      <c r="B1753">
        <v>1</v>
      </c>
      <c r="C1753">
        <v>8</v>
      </c>
    </row>
    <row r="1754" spans="1:3" x14ac:dyDescent="0.3">
      <c r="A1754">
        <v>60620</v>
      </c>
      <c r="B1754">
        <v>1</v>
      </c>
      <c r="C1754">
        <v>8</v>
      </c>
    </row>
    <row r="1755" spans="1:3" x14ac:dyDescent="0.3">
      <c r="A1755">
        <v>50846</v>
      </c>
      <c r="B1755">
        <v>1</v>
      </c>
      <c r="C1755">
        <v>8</v>
      </c>
    </row>
    <row r="1756" spans="1:3" x14ac:dyDescent="0.3">
      <c r="A1756">
        <v>45696</v>
      </c>
      <c r="B1756">
        <v>1</v>
      </c>
      <c r="C1756">
        <v>8</v>
      </c>
    </row>
    <row r="1757" spans="1:3" x14ac:dyDescent="0.3">
      <c r="A1757">
        <v>43110</v>
      </c>
      <c r="B1757">
        <v>1</v>
      </c>
      <c r="C1757">
        <v>8</v>
      </c>
    </row>
    <row r="1758" spans="1:3" x14ac:dyDescent="0.3">
      <c r="A1758">
        <v>35272</v>
      </c>
      <c r="B1758">
        <v>1</v>
      </c>
      <c r="C1758">
        <v>8</v>
      </c>
    </row>
    <row r="1759" spans="1:3" x14ac:dyDescent="0.3">
      <c r="A1759">
        <v>71063</v>
      </c>
      <c r="B1759">
        <v>1</v>
      </c>
      <c r="C1759">
        <v>8</v>
      </c>
    </row>
    <row r="1760" spans="1:3" x14ac:dyDescent="0.3">
      <c r="A1760">
        <v>70959</v>
      </c>
      <c r="B1760">
        <v>1</v>
      </c>
      <c r="C1760">
        <v>16</v>
      </c>
    </row>
    <row r="1761" spans="1:3" x14ac:dyDescent="0.3">
      <c r="A1761">
        <v>68853</v>
      </c>
      <c r="B1761">
        <v>1</v>
      </c>
      <c r="C1761">
        <v>8</v>
      </c>
    </row>
    <row r="1762" spans="1:3" x14ac:dyDescent="0.3">
      <c r="A1762">
        <v>66676</v>
      </c>
      <c r="B1762">
        <v>1</v>
      </c>
      <c r="C1762">
        <v>8</v>
      </c>
    </row>
    <row r="1763" spans="1:3" x14ac:dyDescent="0.3">
      <c r="A1763">
        <v>65773</v>
      </c>
      <c r="B1763">
        <v>1</v>
      </c>
      <c r="C1763">
        <v>8</v>
      </c>
    </row>
    <row r="1764" spans="1:3" x14ac:dyDescent="0.3">
      <c r="A1764">
        <v>17481</v>
      </c>
      <c r="B1764">
        <v>1</v>
      </c>
      <c r="C1764">
        <v>8</v>
      </c>
    </row>
    <row r="1765" spans="1:3" x14ac:dyDescent="0.3">
      <c r="A1765">
        <v>62350</v>
      </c>
      <c r="B1765">
        <v>1</v>
      </c>
      <c r="C1765">
        <v>8</v>
      </c>
    </row>
    <row r="1766" spans="1:3" x14ac:dyDescent="0.3">
      <c r="A1766">
        <v>60876</v>
      </c>
      <c r="B1766">
        <v>1</v>
      </c>
      <c r="C1766">
        <v>8</v>
      </c>
    </row>
    <row r="1767" spans="1:3" x14ac:dyDescent="0.3">
      <c r="A1767">
        <v>59764</v>
      </c>
      <c r="B1767">
        <v>1</v>
      </c>
      <c r="C1767">
        <v>8</v>
      </c>
    </row>
    <row r="1768" spans="1:3" x14ac:dyDescent="0.3">
      <c r="A1768">
        <v>52914</v>
      </c>
      <c r="B1768">
        <v>1</v>
      </c>
      <c r="C1768">
        <v>8</v>
      </c>
    </row>
    <row r="1769" spans="1:3" x14ac:dyDescent="0.3">
      <c r="A1769">
        <v>24244</v>
      </c>
      <c r="B1769">
        <v>1</v>
      </c>
      <c r="C1769">
        <v>8</v>
      </c>
    </row>
    <row r="1770" spans="1:3" x14ac:dyDescent="0.3">
      <c r="A1770">
        <v>75743</v>
      </c>
      <c r="B1770">
        <v>1</v>
      </c>
      <c r="C1770">
        <v>16</v>
      </c>
    </row>
    <row r="1771" spans="1:3" x14ac:dyDescent="0.3">
      <c r="A1771">
        <v>71064</v>
      </c>
      <c r="B1771">
        <v>1</v>
      </c>
      <c r="C1771">
        <v>8</v>
      </c>
    </row>
    <row r="1772" spans="1:3" x14ac:dyDescent="0.3">
      <c r="A1772">
        <v>69752</v>
      </c>
      <c r="B1772">
        <v>1</v>
      </c>
      <c r="C1772">
        <v>8</v>
      </c>
    </row>
    <row r="1773" spans="1:3" x14ac:dyDescent="0.3">
      <c r="A1773">
        <v>68852</v>
      </c>
      <c r="B1773">
        <v>1</v>
      </c>
      <c r="C1773">
        <v>8</v>
      </c>
    </row>
    <row r="1774" spans="1:3" x14ac:dyDescent="0.3">
      <c r="A1774">
        <v>66846</v>
      </c>
      <c r="B1774">
        <v>1</v>
      </c>
      <c r="C1774">
        <v>8</v>
      </c>
    </row>
    <row r="1775" spans="1:3" x14ac:dyDescent="0.3">
      <c r="A1775">
        <v>17141</v>
      </c>
      <c r="B1775">
        <v>1</v>
      </c>
      <c r="C1775">
        <v>8</v>
      </c>
    </row>
    <row r="1776" spans="1:3" x14ac:dyDescent="0.3">
      <c r="A1776">
        <v>43127</v>
      </c>
      <c r="B1776">
        <v>1</v>
      </c>
      <c r="C1776">
        <v>8</v>
      </c>
    </row>
    <row r="1777" spans="1:3" x14ac:dyDescent="0.3">
      <c r="A1777">
        <v>76535</v>
      </c>
      <c r="B1777">
        <v>1</v>
      </c>
      <c r="C1777">
        <v>8</v>
      </c>
    </row>
    <row r="1778" spans="1:3" x14ac:dyDescent="0.3">
      <c r="A1778">
        <v>62051</v>
      </c>
      <c r="B1778">
        <v>1</v>
      </c>
      <c r="C1778">
        <v>8</v>
      </c>
    </row>
    <row r="1779" spans="1:3" x14ac:dyDescent="0.3">
      <c r="A1779">
        <v>75986</v>
      </c>
      <c r="B1779">
        <v>1</v>
      </c>
      <c r="C1779">
        <v>8</v>
      </c>
    </row>
    <row r="1780" spans="1:3" x14ac:dyDescent="0.3">
      <c r="A1780">
        <v>74824</v>
      </c>
      <c r="B1780">
        <v>1</v>
      </c>
      <c r="C1780">
        <v>8</v>
      </c>
    </row>
    <row r="1781" spans="1:3" x14ac:dyDescent="0.3">
      <c r="A1781">
        <v>72329</v>
      </c>
      <c r="B1781">
        <v>1</v>
      </c>
      <c r="C1781">
        <v>8</v>
      </c>
    </row>
    <row r="1782" spans="1:3" x14ac:dyDescent="0.3">
      <c r="A1782">
        <v>62349</v>
      </c>
      <c r="B1782">
        <v>1</v>
      </c>
      <c r="C1782">
        <v>8</v>
      </c>
    </row>
    <row r="1783" spans="1:3" x14ac:dyDescent="0.3">
      <c r="A1783">
        <v>55792</v>
      </c>
      <c r="B1783">
        <v>1</v>
      </c>
      <c r="C1783">
        <v>8</v>
      </c>
    </row>
    <row r="1784" spans="1:3" x14ac:dyDescent="0.3">
      <c r="A1784">
        <v>75769</v>
      </c>
      <c r="B1784">
        <v>1</v>
      </c>
      <c r="C1784">
        <v>8</v>
      </c>
    </row>
    <row r="1785" spans="1:3" x14ac:dyDescent="0.3">
      <c r="A1785">
        <v>73442</v>
      </c>
      <c r="B1785">
        <v>1</v>
      </c>
      <c r="C1785">
        <v>8</v>
      </c>
    </row>
    <row r="1786" spans="1:3" x14ac:dyDescent="0.3">
      <c r="A1786">
        <v>68746</v>
      </c>
      <c r="B1786">
        <v>1</v>
      </c>
      <c r="C1786">
        <v>8</v>
      </c>
    </row>
    <row r="1787" spans="1:3" x14ac:dyDescent="0.3">
      <c r="A1787">
        <v>45373</v>
      </c>
      <c r="B1787">
        <v>1</v>
      </c>
      <c r="C1787">
        <v>8</v>
      </c>
    </row>
    <row r="1788" spans="1:3" x14ac:dyDescent="0.3">
      <c r="A1788">
        <v>30709</v>
      </c>
      <c r="B1788">
        <v>1</v>
      </c>
      <c r="C1788">
        <v>16</v>
      </c>
    </row>
    <row r="1789" spans="1:3" x14ac:dyDescent="0.3">
      <c r="A1789">
        <v>68977</v>
      </c>
      <c r="B1789">
        <v>1</v>
      </c>
      <c r="C1789">
        <v>8</v>
      </c>
    </row>
    <row r="1790" spans="1:3" x14ac:dyDescent="0.3">
      <c r="A1790">
        <v>47801</v>
      </c>
      <c r="B1790">
        <v>1</v>
      </c>
      <c r="C1790">
        <v>8</v>
      </c>
    </row>
    <row r="1791" spans="1:3" x14ac:dyDescent="0.3">
      <c r="A1791">
        <v>45914</v>
      </c>
      <c r="B1791">
        <v>1</v>
      </c>
      <c r="C1791">
        <v>8</v>
      </c>
    </row>
    <row r="1792" spans="1:3" x14ac:dyDescent="0.3">
      <c r="A1792">
        <v>27599</v>
      </c>
      <c r="B1792">
        <v>1</v>
      </c>
      <c r="C1792">
        <v>8</v>
      </c>
    </row>
    <row r="1793" spans="1:3" x14ac:dyDescent="0.3">
      <c r="A1793">
        <v>70334</v>
      </c>
      <c r="B1793">
        <v>1</v>
      </c>
      <c r="C1793">
        <v>8</v>
      </c>
    </row>
    <row r="1794" spans="1:3" x14ac:dyDescent="0.3">
      <c r="A1794">
        <v>70298</v>
      </c>
      <c r="B1794">
        <v>1</v>
      </c>
      <c r="C1794">
        <v>8</v>
      </c>
    </row>
    <row r="1795" spans="1:3" x14ac:dyDescent="0.3">
      <c r="A1795">
        <v>17142</v>
      </c>
      <c r="B1795">
        <v>1</v>
      </c>
      <c r="C1795">
        <v>8</v>
      </c>
    </row>
    <row r="1796" spans="1:3" x14ac:dyDescent="0.3">
      <c r="A1796">
        <v>64033</v>
      </c>
      <c r="B1796">
        <v>1</v>
      </c>
      <c r="C1796">
        <v>8</v>
      </c>
    </row>
    <row r="1797" spans="1:3" x14ac:dyDescent="0.3">
      <c r="A1797">
        <v>51349</v>
      </c>
      <c r="B1797">
        <v>1</v>
      </c>
      <c r="C1797">
        <v>8</v>
      </c>
    </row>
    <row r="1798" spans="1:3" x14ac:dyDescent="0.3">
      <c r="A1798">
        <v>37025</v>
      </c>
      <c r="B1798">
        <v>1</v>
      </c>
      <c r="C1798">
        <v>16</v>
      </c>
    </row>
    <row r="1799" spans="1:3" x14ac:dyDescent="0.3">
      <c r="A1799">
        <v>62853</v>
      </c>
      <c r="B1799">
        <v>1</v>
      </c>
      <c r="C1799">
        <v>16</v>
      </c>
    </row>
    <row r="1800" spans="1:3" x14ac:dyDescent="0.3">
      <c r="A1800">
        <v>31754</v>
      </c>
      <c r="B1800">
        <v>1</v>
      </c>
      <c r="C1800">
        <v>8</v>
      </c>
    </row>
    <row r="1801" spans="1:3" x14ac:dyDescent="0.3">
      <c r="A1801">
        <v>51544</v>
      </c>
      <c r="B1801">
        <v>1</v>
      </c>
      <c r="C1801">
        <v>8</v>
      </c>
    </row>
    <row r="1802" spans="1:3" x14ac:dyDescent="0.3">
      <c r="A1802">
        <v>47418</v>
      </c>
      <c r="B1802">
        <v>1</v>
      </c>
      <c r="C1802">
        <v>8</v>
      </c>
    </row>
    <row r="1803" spans="1:3" x14ac:dyDescent="0.3">
      <c r="A1803">
        <v>45004</v>
      </c>
      <c r="B1803">
        <v>1</v>
      </c>
      <c r="C1803">
        <v>8</v>
      </c>
    </row>
    <row r="1804" spans="1:3" x14ac:dyDescent="0.3">
      <c r="A1804">
        <v>37189</v>
      </c>
      <c r="B1804">
        <v>1</v>
      </c>
      <c r="C1804">
        <v>8</v>
      </c>
    </row>
    <row r="1805" spans="1:3" x14ac:dyDescent="0.3">
      <c r="A1805">
        <v>74973</v>
      </c>
      <c r="B1805">
        <v>1</v>
      </c>
      <c r="C1805">
        <v>8</v>
      </c>
    </row>
    <row r="1806" spans="1:3" x14ac:dyDescent="0.3">
      <c r="A1806">
        <v>66844</v>
      </c>
      <c r="B1806">
        <v>1</v>
      </c>
      <c r="C1806">
        <v>8</v>
      </c>
    </row>
    <row r="1807" spans="1:3" x14ac:dyDescent="0.3">
      <c r="A1807">
        <v>66122</v>
      </c>
      <c r="B1807">
        <v>1</v>
      </c>
      <c r="C1807">
        <v>8</v>
      </c>
    </row>
    <row r="1808" spans="1:3" x14ac:dyDescent="0.3">
      <c r="A1808">
        <v>73750</v>
      </c>
      <c r="B1808">
        <v>1</v>
      </c>
      <c r="C1808">
        <v>8</v>
      </c>
    </row>
    <row r="1809" spans="1:3" x14ac:dyDescent="0.3">
      <c r="A1809">
        <v>14690</v>
      </c>
      <c r="B1809">
        <v>1</v>
      </c>
      <c r="C1809">
        <v>8</v>
      </c>
    </row>
    <row r="1810" spans="1:3" x14ac:dyDescent="0.3">
      <c r="A1810">
        <v>75803</v>
      </c>
      <c r="B1810">
        <v>1</v>
      </c>
      <c r="C1810">
        <v>8</v>
      </c>
    </row>
    <row r="1811" spans="1:3" x14ac:dyDescent="0.3">
      <c r="A1811">
        <v>66733</v>
      </c>
      <c r="B1811">
        <v>1</v>
      </c>
      <c r="C1811">
        <v>8</v>
      </c>
    </row>
    <row r="1812" spans="1:3" x14ac:dyDescent="0.3">
      <c r="A1812">
        <v>22750</v>
      </c>
      <c r="B1812">
        <v>1</v>
      </c>
      <c r="C1812">
        <v>8</v>
      </c>
    </row>
    <row r="1813" spans="1:3" x14ac:dyDescent="0.3">
      <c r="A1813">
        <v>68545</v>
      </c>
      <c r="B1813">
        <v>1</v>
      </c>
      <c r="C1813">
        <v>8</v>
      </c>
    </row>
    <row r="1814" spans="1:3" x14ac:dyDescent="0.3">
      <c r="A1814">
        <v>47793</v>
      </c>
      <c r="B1814">
        <v>1</v>
      </c>
      <c r="C1814">
        <v>8</v>
      </c>
    </row>
    <row r="1815" spans="1:3" x14ac:dyDescent="0.3">
      <c r="A1815">
        <v>69653</v>
      </c>
      <c r="B1815">
        <v>1</v>
      </c>
      <c r="C1815">
        <v>8</v>
      </c>
    </row>
    <row r="1816" spans="1:3" x14ac:dyDescent="0.3">
      <c r="A1816">
        <v>66048</v>
      </c>
      <c r="B1816">
        <v>1</v>
      </c>
      <c r="C1816">
        <v>8</v>
      </c>
    </row>
    <row r="1817" spans="1:3" x14ac:dyDescent="0.3">
      <c r="A1817">
        <v>14916</v>
      </c>
      <c r="B1817">
        <v>1</v>
      </c>
      <c r="C1817">
        <v>8</v>
      </c>
    </row>
    <row r="1818" spans="1:3" x14ac:dyDescent="0.3">
      <c r="A1818">
        <v>53258</v>
      </c>
      <c r="B1818">
        <v>1</v>
      </c>
      <c r="C1818">
        <v>8</v>
      </c>
    </row>
    <row r="1819" spans="1:3" x14ac:dyDescent="0.3">
      <c r="A1819">
        <v>32495</v>
      </c>
      <c r="B1819">
        <v>1</v>
      </c>
      <c r="C1819">
        <v>8</v>
      </c>
    </row>
    <row r="1820" spans="1:3" x14ac:dyDescent="0.3">
      <c r="A1820">
        <v>64819</v>
      </c>
      <c r="B1820">
        <v>1</v>
      </c>
      <c r="C1820">
        <v>8</v>
      </c>
    </row>
    <row r="1821" spans="1:3" x14ac:dyDescent="0.3">
      <c r="A1821">
        <v>47929</v>
      </c>
      <c r="B1821">
        <v>1</v>
      </c>
      <c r="C1821">
        <v>8</v>
      </c>
    </row>
    <row r="1822" spans="1:3" x14ac:dyDescent="0.3">
      <c r="A1822">
        <v>79624</v>
      </c>
      <c r="B1822">
        <v>1</v>
      </c>
      <c r="C1822">
        <v>8</v>
      </c>
    </row>
    <row r="1823" spans="1:3" x14ac:dyDescent="0.3">
      <c r="A1823">
        <v>79623</v>
      </c>
      <c r="B1823">
        <v>1</v>
      </c>
      <c r="C1823">
        <v>8</v>
      </c>
    </row>
    <row r="1824" spans="1:3" x14ac:dyDescent="0.3">
      <c r="A1824">
        <v>80548</v>
      </c>
      <c r="B1824">
        <v>1</v>
      </c>
      <c r="C1824">
        <v>8</v>
      </c>
    </row>
    <row r="1825" spans="1:3" x14ac:dyDescent="0.3">
      <c r="A1825">
        <v>80547</v>
      </c>
      <c r="B1825">
        <v>1</v>
      </c>
      <c r="C1825">
        <v>8</v>
      </c>
    </row>
    <row r="1826" spans="1:3" x14ac:dyDescent="0.3">
      <c r="A1826">
        <v>80316</v>
      </c>
      <c r="B1826">
        <v>1</v>
      </c>
      <c r="C1826">
        <v>8</v>
      </c>
    </row>
    <row r="1827" spans="1:3" x14ac:dyDescent="0.3">
      <c r="A1827">
        <v>80196</v>
      </c>
      <c r="B1827">
        <v>1</v>
      </c>
      <c r="C1827">
        <v>8</v>
      </c>
    </row>
    <row r="1828" spans="1:3" x14ac:dyDescent="0.3">
      <c r="A1828">
        <v>80074</v>
      </c>
      <c r="B1828">
        <v>1</v>
      </c>
      <c r="C1828">
        <v>8</v>
      </c>
    </row>
    <row r="1829" spans="1:3" x14ac:dyDescent="0.3">
      <c r="A1829">
        <v>80073</v>
      </c>
      <c r="B1829">
        <v>1</v>
      </c>
      <c r="C1829">
        <v>16</v>
      </c>
    </row>
    <row r="1830" spans="1:3" x14ac:dyDescent="0.3">
      <c r="A1830">
        <v>80072</v>
      </c>
      <c r="B1830">
        <v>1</v>
      </c>
      <c r="C1830">
        <v>8</v>
      </c>
    </row>
    <row r="1831" spans="1:3" x14ac:dyDescent="0.3">
      <c r="A1831">
        <v>79957</v>
      </c>
      <c r="B1831">
        <v>1</v>
      </c>
      <c r="C1831">
        <v>8</v>
      </c>
    </row>
    <row r="1832" spans="1:3" x14ac:dyDescent="0.3">
      <c r="A1832">
        <v>79806</v>
      </c>
      <c r="B1832">
        <v>1</v>
      </c>
      <c r="C1832">
        <v>8</v>
      </c>
    </row>
    <row r="1833" spans="1:3" x14ac:dyDescent="0.3">
      <c r="A1833">
        <v>79661</v>
      </c>
      <c r="B1833">
        <v>1</v>
      </c>
      <c r="C1833">
        <v>8</v>
      </c>
    </row>
    <row r="1834" spans="1:3" x14ac:dyDescent="0.3">
      <c r="A1834">
        <v>79660</v>
      </c>
      <c r="B1834">
        <v>1</v>
      </c>
      <c r="C1834">
        <v>8</v>
      </c>
    </row>
    <row r="1835" spans="1:3" x14ac:dyDescent="0.3">
      <c r="A1835">
        <v>79583</v>
      </c>
      <c r="B1835">
        <v>1</v>
      </c>
      <c r="C1835">
        <v>8</v>
      </c>
    </row>
    <row r="1836" spans="1:3" x14ac:dyDescent="0.3">
      <c r="A1836">
        <v>79582</v>
      </c>
      <c r="B1836">
        <v>1</v>
      </c>
      <c r="C1836">
        <v>8</v>
      </c>
    </row>
    <row r="1837" spans="1:3" x14ac:dyDescent="0.3">
      <c r="A1837">
        <v>79425</v>
      </c>
      <c r="B1837">
        <v>1</v>
      </c>
      <c r="C1837">
        <v>8</v>
      </c>
    </row>
    <row r="1838" spans="1:3" x14ac:dyDescent="0.3">
      <c r="A1838">
        <v>79201</v>
      </c>
      <c r="B1838">
        <v>1</v>
      </c>
      <c r="C1838">
        <v>8</v>
      </c>
    </row>
    <row r="1839" spans="1:3" x14ac:dyDescent="0.3">
      <c r="A1839">
        <v>79154</v>
      </c>
      <c r="B1839">
        <v>1</v>
      </c>
      <c r="C1839">
        <v>8</v>
      </c>
    </row>
    <row r="1840" spans="1:3" x14ac:dyDescent="0.3">
      <c r="A1840">
        <v>80721</v>
      </c>
      <c r="B1840">
        <v>1</v>
      </c>
      <c r="C1840">
        <v>8</v>
      </c>
    </row>
    <row r="1841" spans="1:3" x14ac:dyDescent="0.3">
      <c r="A1841">
        <v>80657</v>
      </c>
      <c r="B1841">
        <v>1</v>
      </c>
      <c r="C1841">
        <v>8</v>
      </c>
    </row>
    <row r="1842" spans="1:3" x14ac:dyDescent="0.3">
      <c r="A1842">
        <v>80656</v>
      </c>
      <c r="B1842">
        <v>1</v>
      </c>
      <c r="C1842">
        <v>8</v>
      </c>
    </row>
    <row r="1843" spans="1:3" x14ac:dyDescent="0.3">
      <c r="A1843">
        <v>80655</v>
      </c>
      <c r="B1843">
        <v>1</v>
      </c>
      <c r="C1843">
        <v>8</v>
      </c>
    </row>
    <row r="1844" spans="1:3" x14ac:dyDescent="0.3">
      <c r="A1844">
        <v>80654</v>
      </c>
      <c r="B1844">
        <v>1</v>
      </c>
      <c r="C1844">
        <v>8</v>
      </c>
    </row>
    <row r="1845" spans="1:3" x14ac:dyDescent="0.3">
      <c r="A1845">
        <v>80653</v>
      </c>
      <c r="B1845">
        <v>2</v>
      </c>
      <c r="C1845">
        <v>8</v>
      </c>
    </row>
    <row r="1846" spans="1:3" x14ac:dyDescent="0.3">
      <c r="A1846">
        <v>80652</v>
      </c>
      <c r="B1846">
        <v>1</v>
      </c>
      <c r="C1846">
        <v>8</v>
      </c>
    </row>
    <row r="1847" spans="1:3" x14ac:dyDescent="0.3">
      <c r="A1847">
        <v>80651</v>
      </c>
      <c r="B1847">
        <v>2</v>
      </c>
      <c r="C1847">
        <v>8</v>
      </c>
    </row>
    <row r="1848" spans="1:3" x14ac:dyDescent="0.3">
      <c r="A1848">
        <v>80582</v>
      </c>
      <c r="B1848">
        <v>1</v>
      </c>
      <c r="C1848">
        <v>8</v>
      </c>
    </row>
    <row r="1849" spans="1:3" x14ac:dyDescent="0.3">
      <c r="A1849">
        <v>80581</v>
      </c>
      <c r="B1849">
        <v>1</v>
      </c>
      <c r="C1849">
        <v>8</v>
      </c>
    </row>
    <row r="1850" spans="1:3" x14ac:dyDescent="0.3">
      <c r="A1850">
        <v>80580</v>
      </c>
      <c r="B1850">
        <v>1</v>
      </c>
      <c r="C1850">
        <v>8</v>
      </c>
    </row>
    <row r="1851" spans="1:3" x14ac:dyDescent="0.3">
      <c r="A1851">
        <v>80579</v>
      </c>
      <c r="B1851">
        <v>2</v>
      </c>
      <c r="C1851">
        <v>8</v>
      </c>
    </row>
    <row r="1852" spans="1:3" x14ac:dyDescent="0.3">
      <c r="A1852">
        <v>80578</v>
      </c>
      <c r="B1852">
        <v>1</v>
      </c>
      <c r="C1852">
        <v>8</v>
      </c>
    </row>
    <row r="1853" spans="1:3" x14ac:dyDescent="0.3">
      <c r="A1853">
        <v>80577</v>
      </c>
      <c r="B1853">
        <v>1</v>
      </c>
      <c r="C1853">
        <v>16</v>
      </c>
    </row>
    <row r="1854" spans="1:3" x14ac:dyDescent="0.3">
      <c r="A1854">
        <v>80576</v>
      </c>
      <c r="B1854">
        <v>2</v>
      </c>
      <c r="C1854">
        <v>8</v>
      </c>
    </row>
    <row r="1855" spans="1:3" x14ac:dyDescent="0.3">
      <c r="A1855">
        <v>80516</v>
      </c>
      <c r="B1855">
        <v>2</v>
      </c>
      <c r="C1855">
        <v>8</v>
      </c>
    </row>
    <row r="1856" spans="1:3" x14ac:dyDescent="0.3">
      <c r="A1856">
        <v>80435</v>
      </c>
      <c r="B1856">
        <v>1</v>
      </c>
      <c r="C1856">
        <v>8</v>
      </c>
    </row>
    <row r="1857" spans="1:3" x14ac:dyDescent="0.3">
      <c r="A1857">
        <v>80434</v>
      </c>
      <c r="B1857">
        <v>1</v>
      </c>
      <c r="C1857">
        <v>8</v>
      </c>
    </row>
    <row r="1858" spans="1:3" x14ac:dyDescent="0.3">
      <c r="A1858">
        <v>80433</v>
      </c>
      <c r="B1858">
        <v>1</v>
      </c>
      <c r="C1858">
        <v>8</v>
      </c>
    </row>
    <row r="1859" spans="1:3" x14ac:dyDescent="0.3">
      <c r="A1859">
        <v>80432</v>
      </c>
      <c r="B1859">
        <v>1</v>
      </c>
      <c r="C1859">
        <v>8</v>
      </c>
    </row>
    <row r="1860" spans="1:3" x14ac:dyDescent="0.3">
      <c r="A1860">
        <v>80431</v>
      </c>
      <c r="B1860">
        <v>1</v>
      </c>
      <c r="C1860">
        <v>8</v>
      </c>
    </row>
    <row r="1861" spans="1:3" x14ac:dyDescent="0.3">
      <c r="A1861">
        <v>80430</v>
      </c>
      <c r="B1861">
        <v>1</v>
      </c>
      <c r="C1861">
        <v>8</v>
      </c>
    </row>
    <row r="1862" spans="1:3" x14ac:dyDescent="0.3">
      <c r="A1862">
        <v>80429</v>
      </c>
      <c r="B1862">
        <v>2</v>
      </c>
      <c r="C1862">
        <v>8</v>
      </c>
    </row>
    <row r="1863" spans="1:3" x14ac:dyDescent="0.3">
      <c r="A1863">
        <v>80428</v>
      </c>
      <c r="B1863">
        <v>1</v>
      </c>
      <c r="C1863">
        <v>8</v>
      </c>
    </row>
    <row r="1864" spans="1:3" x14ac:dyDescent="0.3">
      <c r="A1864">
        <v>80353</v>
      </c>
      <c r="B1864">
        <v>1</v>
      </c>
      <c r="C1864">
        <v>8</v>
      </c>
    </row>
    <row r="1865" spans="1:3" x14ac:dyDescent="0.3">
      <c r="A1865">
        <v>80352</v>
      </c>
      <c r="B1865">
        <v>1</v>
      </c>
      <c r="C1865">
        <v>8</v>
      </c>
    </row>
    <row r="1866" spans="1:3" x14ac:dyDescent="0.3">
      <c r="A1866">
        <v>80351</v>
      </c>
      <c r="B1866">
        <v>1</v>
      </c>
      <c r="C1866">
        <v>8</v>
      </c>
    </row>
    <row r="1867" spans="1:3" x14ac:dyDescent="0.3">
      <c r="A1867">
        <v>80350</v>
      </c>
      <c r="B1867">
        <v>2</v>
      </c>
      <c r="C1867">
        <v>8</v>
      </c>
    </row>
    <row r="1868" spans="1:3" x14ac:dyDescent="0.3">
      <c r="A1868">
        <v>80349</v>
      </c>
      <c r="B1868">
        <v>2</v>
      </c>
      <c r="C1868">
        <v>8</v>
      </c>
    </row>
    <row r="1869" spans="1:3" x14ac:dyDescent="0.3">
      <c r="A1869">
        <v>80348</v>
      </c>
      <c r="B1869">
        <v>1</v>
      </c>
      <c r="C1869">
        <v>8</v>
      </c>
    </row>
    <row r="1870" spans="1:3" x14ac:dyDescent="0.3">
      <c r="A1870">
        <v>80347</v>
      </c>
      <c r="B1870">
        <v>2</v>
      </c>
      <c r="C1870">
        <v>8</v>
      </c>
    </row>
    <row r="1871" spans="1:3" x14ac:dyDescent="0.3">
      <c r="A1871">
        <v>80346</v>
      </c>
      <c r="B1871">
        <v>1</v>
      </c>
      <c r="C1871">
        <v>8</v>
      </c>
    </row>
    <row r="1872" spans="1:3" x14ac:dyDescent="0.3">
      <c r="A1872">
        <v>80345</v>
      </c>
      <c r="B1872">
        <v>1</v>
      </c>
      <c r="C1872">
        <v>8</v>
      </c>
    </row>
    <row r="1873" spans="1:3" x14ac:dyDescent="0.3">
      <c r="A1873">
        <v>80344</v>
      </c>
      <c r="B1873">
        <v>1</v>
      </c>
      <c r="C1873">
        <v>8</v>
      </c>
    </row>
    <row r="1874" spans="1:3" x14ac:dyDescent="0.3">
      <c r="A1874">
        <v>80343</v>
      </c>
      <c r="B1874">
        <v>2</v>
      </c>
      <c r="C1874">
        <v>8</v>
      </c>
    </row>
    <row r="1875" spans="1:3" x14ac:dyDescent="0.3">
      <c r="A1875">
        <v>80245</v>
      </c>
      <c r="B1875">
        <v>2</v>
      </c>
      <c r="C1875">
        <v>8</v>
      </c>
    </row>
    <row r="1876" spans="1:3" x14ac:dyDescent="0.3">
      <c r="A1876">
        <v>80244</v>
      </c>
      <c r="B1876">
        <v>2</v>
      </c>
      <c r="C1876">
        <v>8</v>
      </c>
    </row>
    <row r="1877" spans="1:3" x14ac:dyDescent="0.3">
      <c r="A1877">
        <v>80242</v>
      </c>
      <c r="B1877">
        <v>2</v>
      </c>
      <c r="C1877">
        <v>8</v>
      </c>
    </row>
    <row r="1878" spans="1:3" x14ac:dyDescent="0.3">
      <c r="A1878">
        <v>80241</v>
      </c>
      <c r="B1878">
        <v>2</v>
      </c>
      <c r="C1878">
        <v>8</v>
      </c>
    </row>
    <row r="1879" spans="1:3" x14ac:dyDescent="0.3">
      <c r="A1879">
        <v>80240</v>
      </c>
      <c r="B1879">
        <v>1</v>
      </c>
      <c r="C1879">
        <v>8</v>
      </c>
    </row>
    <row r="1880" spans="1:3" x14ac:dyDescent="0.3">
      <c r="A1880">
        <v>80239</v>
      </c>
      <c r="B1880">
        <v>1</v>
      </c>
      <c r="C1880">
        <v>8</v>
      </c>
    </row>
    <row r="1881" spans="1:3" x14ac:dyDescent="0.3">
      <c r="A1881">
        <v>80238</v>
      </c>
      <c r="B1881">
        <v>1</v>
      </c>
      <c r="C1881">
        <v>8</v>
      </c>
    </row>
    <row r="1882" spans="1:3" x14ac:dyDescent="0.3">
      <c r="A1882">
        <v>80119</v>
      </c>
      <c r="B1882">
        <v>1</v>
      </c>
      <c r="C1882">
        <v>8</v>
      </c>
    </row>
    <row r="1883" spans="1:3" x14ac:dyDescent="0.3">
      <c r="A1883">
        <v>80118</v>
      </c>
      <c r="B1883">
        <v>1</v>
      </c>
      <c r="C1883">
        <v>8</v>
      </c>
    </row>
    <row r="1884" spans="1:3" x14ac:dyDescent="0.3">
      <c r="A1884">
        <v>80117</v>
      </c>
      <c r="B1884">
        <v>1</v>
      </c>
      <c r="C1884">
        <v>8</v>
      </c>
    </row>
    <row r="1885" spans="1:3" x14ac:dyDescent="0.3">
      <c r="A1885">
        <v>80116</v>
      </c>
      <c r="B1885">
        <v>1</v>
      </c>
      <c r="C1885">
        <v>8</v>
      </c>
    </row>
    <row r="1886" spans="1:3" x14ac:dyDescent="0.3">
      <c r="A1886">
        <v>80115</v>
      </c>
      <c r="B1886">
        <v>1</v>
      </c>
      <c r="C1886">
        <v>16</v>
      </c>
    </row>
    <row r="1887" spans="1:3" x14ac:dyDescent="0.3">
      <c r="A1887">
        <v>79983</v>
      </c>
      <c r="B1887">
        <v>1</v>
      </c>
      <c r="C1887">
        <v>8</v>
      </c>
    </row>
    <row r="1888" spans="1:3" x14ac:dyDescent="0.3">
      <c r="A1888">
        <v>79982</v>
      </c>
      <c r="B1888">
        <v>1</v>
      </c>
      <c r="C1888">
        <v>8</v>
      </c>
    </row>
    <row r="1889" spans="1:3" x14ac:dyDescent="0.3">
      <c r="A1889">
        <v>79981</v>
      </c>
      <c r="B1889">
        <v>1</v>
      </c>
      <c r="C1889">
        <v>8</v>
      </c>
    </row>
    <row r="1890" spans="1:3" x14ac:dyDescent="0.3">
      <c r="A1890">
        <v>79980</v>
      </c>
      <c r="B1890">
        <v>1</v>
      </c>
      <c r="C1890">
        <v>8</v>
      </c>
    </row>
    <row r="1891" spans="1:3" x14ac:dyDescent="0.3">
      <c r="A1891">
        <v>79979</v>
      </c>
      <c r="B1891">
        <v>1</v>
      </c>
      <c r="C1891">
        <v>8</v>
      </c>
    </row>
    <row r="1892" spans="1:3" x14ac:dyDescent="0.3">
      <c r="A1892">
        <v>79978</v>
      </c>
      <c r="B1892">
        <v>1</v>
      </c>
      <c r="C1892">
        <v>8</v>
      </c>
    </row>
    <row r="1893" spans="1:3" x14ac:dyDescent="0.3">
      <c r="A1893">
        <v>79977</v>
      </c>
      <c r="B1893">
        <v>1</v>
      </c>
      <c r="C1893">
        <v>8</v>
      </c>
    </row>
    <row r="1894" spans="1:3" x14ac:dyDescent="0.3">
      <c r="A1894">
        <v>79976</v>
      </c>
      <c r="B1894">
        <v>1</v>
      </c>
      <c r="C1894">
        <v>8</v>
      </c>
    </row>
    <row r="1895" spans="1:3" x14ac:dyDescent="0.3">
      <c r="A1895">
        <v>79934</v>
      </c>
      <c r="B1895">
        <v>1</v>
      </c>
      <c r="C1895">
        <v>8</v>
      </c>
    </row>
    <row r="1896" spans="1:3" x14ac:dyDescent="0.3">
      <c r="A1896">
        <v>79933</v>
      </c>
      <c r="B1896">
        <v>1</v>
      </c>
      <c r="C1896">
        <v>8</v>
      </c>
    </row>
    <row r="1897" spans="1:3" x14ac:dyDescent="0.3">
      <c r="A1897">
        <v>79932</v>
      </c>
      <c r="B1897">
        <v>1</v>
      </c>
      <c r="C1897">
        <v>8</v>
      </c>
    </row>
    <row r="1898" spans="1:3" x14ac:dyDescent="0.3">
      <c r="A1898">
        <v>79931</v>
      </c>
      <c r="B1898">
        <v>1</v>
      </c>
      <c r="C1898">
        <v>8</v>
      </c>
    </row>
    <row r="1899" spans="1:3" x14ac:dyDescent="0.3">
      <c r="A1899">
        <v>79750</v>
      </c>
      <c r="B1899">
        <v>1</v>
      </c>
      <c r="C1899">
        <v>8</v>
      </c>
    </row>
    <row r="1900" spans="1:3" x14ac:dyDescent="0.3">
      <c r="A1900">
        <v>79749</v>
      </c>
      <c r="B1900">
        <v>1</v>
      </c>
      <c r="C1900">
        <v>8</v>
      </c>
    </row>
    <row r="1901" spans="1:3" x14ac:dyDescent="0.3">
      <c r="A1901">
        <v>79748</v>
      </c>
      <c r="B1901">
        <v>1</v>
      </c>
      <c r="C1901">
        <v>8</v>
      </c>
    </row>
    <row r="1902" spans="1:3" x14ac:dyDescent="0.3">
      <c r="A1902">
        <v>79747</v>
      </c>
      <c r="B1902">
        <v>1</v>
      </c>
      <c r="C1902">
        <v>8</v>
      </c>
    </row>
    <row r="1903" spans="1:3" x14ac:dyDescent="0.3">
      <c r="A1903">
        <v>79746</v>
      </c>
      <c r="B1903">
        <v>1</v>
      </c>
      <c r="C1903">
        <v>8</v>
      </c>
    </row>
    <row r="1904" spans="1:3" x14ac:dyDescent="0.3">
      <c r="A1904">
        <v>79744</v>
      </c>
      <c r="B1904">
        <v>1</v>
      </c>
      <c r="C1904">
        <v>8</v>
      </c>
    </row>
    <row r="1905" spans="1:3" x14ac:dyDescent="0.3">
      <c r="A1905">
        <v>79743</v>
      </c>
      <c r="B1905">
        <v>1</v>
      </c>
      <c r="C1905">
        <v>8</v>
      </c>
    </row>
    <row r="1906" spans="1:3" x14ac:dyDescent="0.3">
      <c r="A1906">
        <v>79742</v>
      </c>
      <c r="B1906">
        <v>1</v>
      </c>
      <c r="C1906">
        <v>8</v>
      </c>
    </row>
    <row r="1907" spans="1:3" x14ac:dyDescent="0.3">
      <c r="A1907">
        <v>79741</v>
      </c>
      <c r="B1907">
        <v>1</v>
      </c>
      <c r="C1907">
        <v>8</v>
      </c>
    </row>
    <row r="1908" spans="1:3" x14ac:dyDescent="0.3">
      <c r="A1908">
        <v>79678</v>
      </c>
      <c r="B1908">
        <v>1</v>
      </c>
      <c r="C1908">
        <v>8</v>
      </c>
    </row>
    <row r="1909" spans="1:3" x14ac:dyDescent="0.3">
      <c r="A1909">
        <v>79614</v>
      </c>
      <c r="B1909">
        <v>1</v>
      </c>
      <c r="C1909">
        <v>8</v>
      </c>
    </row>
    <row r="1910" spans="1:3" x14ac:dyDescent="0.3">
      <c r="A1910">
        <v>79613</v>
      </c>
      <c r="B1910">
        <v>1</v>
      </c>
      <c r="C1910">
        <v>8</v>
      </c>
    </row>
    <row r="1911" spans="1:3" x14ac:dyDescent="0.3">
      <c r="A1911">
        <v>79612</v>
      </c>
      <c r="B1911">
        <v>1</v>
      </c>
      <c r="C1911">
        <v>8</v>
      </c>
    </row>
    <row r="1912" spans="1:3" x14ac:dyDescent="0.3">
      <c r="A1912">
        <v>79611</v>
      </c>
      <c r="B1912">
        <v>1</v>
      </c>
      <c r="C1912">
        <v>8</v>
      </c>
    </row>
    <row r="1913" spans="1:3" x14ac:dyDescent="0.3">
      <c r="A1913">
        <v>79609</v>
      </c>
      <c r="B1913">
        <v>1</v>
      </c>
      <c r="C1913">
        <v>8</v>
      </c>
    </row>
    <row r="1914" spans="1:3" x14ac:dyDescent="0.3">
      <c r="A1914">
        <v>79608</v>
      </c>
      <c r="B1914">
        <v>1</v>
      </c>
      <c r="C1914">
        <v>8</v>
      </c>
    </row>
    <row r="1915" spans="1:3" x14ac:dyDescent="0.3">
      <c r="A1915">
        <v>79607</v>
      </c>
      <c r="B1915">
        <v>1</v>
      </c>
      <c r="C1915">
        <v>8</v>
      </c>
    </row>
    <row r="1916" spans="1:3" x14ac:dyDescent="0.3">
      <c r="A1916">
        <v>79606</v>
      </c>
      <c r="B1916">
        <v>1</v>
      </c>
      <c r="C1916">
        <v>8</v>
      </c>
    </row>
    <row r="1917" spans="1:3" x14ac:dyDescent="0.3">
      <c r="A1917">
        <v>79604</v>
      </c>
      <c r="B1917">
        <v>1</v>
      </c>
      <c r="C1917">
        <v>8</v>
      </c>
    </row>
    <row r="1918" spans="1:3" x14ac:dyDescent="0.3">
      <c r="A1918">
        <v>79603</v>
      </c>
      <c r="B1918">
        <v>1</v>
      </c>
      <c r="C1918">
        <v>8</v>
      </c>
    </row>
    <row r="1919" spans="1:3" x14ac:dyDescent="0.3">
      <c r="A1919">
        <v>79602</v>
      </c>
      <c r="B1919">
        <v>1</v>
      </c>
      <c r="C1919">
        <v>8</v>
      </c>
    </row>
    <row r="1920" spans="1:3" x14ac:dyDescent="0.3">
      <c r="A1920">
        <v>79601</v>
      </c>
      <c r="B1920">
        <v>1</v>
      </c>
      <c r="C1920">
        <v>8</v>
      </c>
    </row>
    <row r="1921" spans="1:3" x14ac:dyDescent="0.3">
      <c r="A1921">
        <v>79600</v>
      </c>
      <c r="B1921">
        <v>1</v>
      </c>
      <c r="C1921">
        <v>8</v>
      </c>
    </row>
    <row r="1922" spans="1:3" x14ac:dyDescent="0.3">
      <c r="A1922">
        <v>79599</v>
      </c>
      <c r="B1922">
        <v>1</v>
      </c>
      <c r="C1922">
        <v>8</v>
      </c>
    </row>
    <row r="1923" spans="1:3" x14ac:dyDescent="0.3">
      <c r="A1923">
        <v>79543</v>
      </c>
      <c r="B1923">
        <v>1</v>
      </c>
      <c r="C1923">
        <v>8</v>
      </c>
    </row>
    <row r="1924" spans="1:3" x14ac:dyDescent="0.3">
      <c r="A1924">
        <v>79542</v>
      </c>
      <c r="B1924">
        <v>1</v>
      </c>
      <c r="C1924">
        <v>8</v>
      </c>
    </row>
    <row r="1925" spans="1:3" x14ac:dyDescent="0.3">
      <c r="A1925">
        <v>79541</v>
      </c>
      <c r="B1925">
        <v>1</v>
      </c>
      <c r="C1925">
        <v>8</v>
      </c>
    </row>
    <row r="1926" spans="1:3" x14ac:dyDescent="0.3">
      <c r="A1926">
        <v>79540</v>
      </c>
      <c r="B1926">
        <v>1</v>
      </c>
      <c r="C1926">
        <v>8</v>
      </c>
    </row>
    <row r="1927" spans="1:3" x14ac:dyDescent="0.3">
      <c r="A1927">
        <v>79538</v>
      </c>
      <c r="B1927">
        <v>1</v>
      </c>
      <c r="C1927">
        <v>8</v>
      </c>
    </row>
    <row r="1928" spans="1:3" x14ac:dyDescent="0.3">
      <c r="A1928">
        <v>79537</v>
      </c>
      <c r="B1928">
        <v>1</v>
      </c>
      <c r="C1928">
        <v>8</v>
      </c>
    </row>
    <row r="1929" spans="1:3" x14ac:dyDescent="0.3">
      <c r="A1929">
        <v>79536</v>
      </c>
      <c r="B1929">
        <v>1</v>
      </c>
      <c r="C1929">
        <v>8</v>
      </c>
    </row>
    <row r="1930" spans="1:3" x14ac:dyDescent="0.3">
      <c r="A1930">
        <v>79535</v>
      </c>
      <c r="B1930">
        <v>1</v>
      </c>
      <c r="C1930">
        <v>8</v>
      </c>
    </row>
    <row r="1931" spans="1:3" x14ac:dyDescent="0.3">
      <c r="A1931">
        <v>79534</v>
      </c>
      <c r="B1931">
        <v>1</v>
      </c>
      <c r="C1931">
        <v>8</v>
      </c>
    </row>
    <row r="1932" spans="1:3" x14ac:dyDescent="0.3">
      <c r="A1932">
        <v>79533</v>
      </c>
      <c r="B1932">
        <v>1</v>
      </c>
      <c r="C1932">
        <v>8</v>
      </c>
    </row>
    <row r="1933" spans="1:3" x14ac:dyDescent="0.3">
      <c r="A1933">
        <v>79532</v>
      </c>
      <c r="B1933">
        <v>2</v>
      </c>
      <c r="C1933">
        <v>8</v>
      </c>
    </row>
    <row r="1934" spans="1:3" x14ac:dyDescent="0.3">
      <c r="A1934">
        <v>79531</v>
      </c>
      <c r="B1934">
        <v>1</v>
      </c>
      <c r="C1934">
        <v>8</v>
      </c>
    </row>
    <row r="1935" spans="1:3" x14ac:dyDescent="0.3">
      <c r="A1935">
        <v>79530</v>
      </c>
      <c r="B1935">
        <v>1</v>
      </c>
      <c r="C1935">
        <v>8</v>
      </c>
    </row>
    <row r="1936" spans="1:3" x14ac:dyDescent="0.3">
      <c r="A1936">
        <v>79529</v>
      </c>
      <c r="B1936">
        <v>1</v>
      </c>
      <c r="C1936">
        <v>8</v>
      </c>
    </row>
    <row r="1937" spans="1:3" x14ac:dyDescent="0.3">
      <c r="A1937">
        <v>79528</v>
      </c>
      <c r="B1937">
        <v>1</v>
      </c>
      <c r="C1937">
        <v>8</v>
      </c>
    </row>
    <row r="1938" spans="1:3" x14ac:dyDescent="0.3">
      <c r="A1938">
        <v>79527</v>
      </c>
      <c r="B1938">
        <v>1</v>
      </c>
      <c r="C1938">
        <v>8</v>
      </c>
    </row>
    <row r="1939" spans="1:3" x14ac:dyDescent="0.3">
      <c r="A1939">
        <v>79526</v>
      </c>
      <c r="B1939">
        <v>1</v>
      </c>
      <c r="C1939">
        <v>8</v>
      </c>
    </row>
    <row r="1940" spans="1:3" x14ac:dyDescent="0.3">
      <c r="A1940">
        <v>79525</v>
      </c>
      <c r="B1940">
        <v>1</v>
      </c>
      <c r="C1940">
        <v>8</v>
      </c>
    </row>
    <row r="1941" spans="1:3" x14ac:dyDescent="0.3">
      <c r="A1941">
        <v>79352</v>
      </c>
      <c r="B1941">
        <v>1</v>
      </c>
      <c r="C1941">
        <v>8</v>
      </c>
    </row>
    <row r="1942" spans="1:3" x14ac:dyDescent="0.3">
      <c r="A1942">
        <v>79351</v>
      </c>
      <c r="B1942">
        <v>1</v>
      </c>
      <c r="C1942">
        <v>8</v>
      </c>
    </row>
    <row r="1943" spans="1:3" x14ac:dyDescent="0.3">
      <c r="A1943">
        <v>79350</v>
      </c>
      <c r="B1943">
        <v>1</v>
      </c>
      <c r="C1943">
        <v>8</v>
      </c>
    </row>
    <row r="1944" spans="1:3" x14ac:dyDescent="0.3">
      <c r="A1944">
        <v>79349</v>
      </c>
      <c r="B1944">
        <v>1</v>
      </c>
      <c r="C1944">
        <v>8</v>
      </c>
    </row>
    <row r="1945" spans="1:3" x14ac:dyDescent="0.3">
      <c r="A1945">
        <v>79348</v>
      </c>
      <c r="B1945">
        <v>1</v>
      </c>
      <c r="C1945">
        <v>8</v>
      </c>
    </row>
    <row r="1946" spans="1:3" x14ac:dyDescent="0.3">
      <c r="A1946">
        <v>79347</v>
      </c>
      <c r="B1946">
        <v>1</v>
      </c>
      <c r="C1946">
        <v>8</v>
      </c>
    </row>
    <row r="1947" spans="1:3" x14ac:dyDescent="0.3">
      <c r="A1947">
        <v>79346</v>
      </c>
      <c r="B1947">
        <v>1</v>
      </c>
      <c r="C1947">
        <v>8</v>
      </c>
    </row>
    <row r="1948" spans="1:3" x14ac:dyDescent="0.3">
      <c r="A1948">
        <v>79345</v>
      </c>
      <c r="B1948">
        <v>1</v>
      </c>
      <c r="C1948">
        <v>8</v>
      </c>
    </row>
    <row r="1949" spans="1:3" x14ac:dyDescent="0.3">
      <c r="A1949">
        <v>79286</v>
      </c>
      <c r="B1949">
        <v>1</v>
      </c>
      <c r="C1949">
        <v>8</v>
      </c>
    </row>
    <row r="1950" spans="1:3" x14ac:dyDescent="0.3">
      <c r="A1950">
        <v>79285</v>
      </c>
      <c r="B1950">
        <v>1</v>
      </c>
      <c r="C1950">
        <v>8</v>
      </c>
    </row>
    <row r="1951" spans="1:3" x14ac:dyDescent="0.3">
      <c r="A1951">
        <v>79284</v>
      </c>
      <c r="B1951">
        <v>1</v>
      </c>
      <c r="C1951">
        <v>8</v>
      </c>
    </row>
    <row r="1952" spans="1:3" x14ac:dyDescent="0.3">
      <c r="A1952">
        <v>79283</v>
      </c>
      <c r="B1952">
        <v>1</v>
      </c>
      <c r="C1952">
        <v>8</v>
      </c>
    </row>
    <row r="1953" spans="1:3" x14ac:dyDescent="0.3">
      <c r="A1953">
        <v>79282</v>
      </c>
      <c r="B1953">
        <v>1</v>
      </c>
      <c r="C1953">
        <v>8</v>
      </c>
    </row>
    <row r="1954" spans="1:3" x14ac:dyDescent="0.3">
      <c r="A1954">
        <v>79281</v>
      </c>
      <c r="B1954">
        <v>1</v>
      </c>
      <c r="C1954">
        <v>8</v>
      </c>
    </row>
    <row r="1955" spans="1:3" x14ac:dyDescent="0.3">
      <c r="A1955">
        <v>79280</v>
      </c>
      <c r="B1955">
        <v>1</v>
      </c>
      <c r="C1955">
        <v>8</v>
      </c>
    </row>
    <row r="1956" spans="1:3" x14ac:dyDescent="0.3">
      <c r="A1956">
        <v>79279</v>
      </c>
      <c r="B1956">
        <v>1</v>
      </c>
      <c r="C1956">
        <v>8</v>
      </c>
    </row>
    <row r="1957" spans="1:3" x14ac:dyDescent="0.3">
      <c r="A1957">
        <v>79043</v>
      </c>
      <c r="B1957">
        <v>1</v>
      </c>
      <c r="C1957">
        <v>8</v>
      </c>
    </row>
    <row r="1958" spans="1:3" x14ac:dyDescent="0.3">
      <c r="A1958">
        <v>79042</v>
      </c>
      <c r="B1958">
        <v>1</v>
      </c>
      <c r="C1958">
        <v>8</v>
      </c>
    </row>
    <row r="1959" spans="1:3" x14ac:dyDescent="0.3">
      <c r="A1959">
        <v>79041</v>
      </c>
      <c r="B1959">
        <v>1</v>
      </c>
      <c r="C1959">
        <v>8</v>
      </c>
    </row>
    <row r="1960" spans="1:3" x14ac:dyDescent="0.3">
      <c r="A1960">
        <v>78946</v>
      </c>
      <c r="B1960">
        <v>1</v>
      </c>
      <c r="C1960">
        <v>8</v>
      </c>
    </row>
    <row r="1961" spans="1:3" x14ac:dyDescent="0.3">
      <c r="A1961">
        <v>78792</v>
      </c>
      <c r="B1961">
        <v>1</v>
      </c>
      <c r="C1961">
        <v>8</v>
      </c>
    </row>
    <row r="1962" spans="1:3" x14ac:dyDescent="0.3">
      <c r="A1962">
        <v>78791</v>
      </c>
      <c r="B1962">
        <v>1</v>
      </c>
      <c r="C1962">
        <v>8</v>
      </c>
    </row>
    <row r="1963" spans="1:3" x14ac:dyDescent="0.3">
      <c r="A1963">
        <v>78790</v>
      </c>
      <c r="B1963">
        <v>1</v>
      </c>
      <c r="C1963">
        <v>8</v>
      </c>
    </row>
    <row r="1964" spans="1:3" x14ac:dyDescent="0.3">
      <c r="A1964">
        <v>78789</v>
      </c>
      <c r="B1964">
        <v>1</v>
      </c>
      <c r="C1964">
        <v>8</v>
      </c>
    </row>
    <row r="1965" spans="1:3" x14ac:dyDescent="0.3">
      <c r="A1965">
        <v>78787</v>
      </c>
      <c r="B1965">
        <v>1</v>
      </c>
      <c r="C1965">
        <v>8</v>
      </c>
    </row>
    <row r="1966" spans="1:3" x14ac:dyDescent="0.3">
      <c r="A1966">
        <v>80001</v>
      </c>
      <c r="B1966">
        <v>1</v>
      </c>
      <c r="C1966">
        <v>8</v>
      </c>
    </row>
    <row r="1967" spans="1:3" x14ac:dyDescent="0.3">
      <c r="A1967">
        <v>79369</v>
      </c>
      <c r="B1967">
        <v>1</v>
      </c>
      <c r="C1967">
        <v>8</v>
      </c>
    </row>
    <row r="1968" spans="1:3" x14ac:dyDescent="0.3">
      <c r="A1968">
        <v>79291</v>
      </c>
      <c r="B1968">
        <v>1</v>
      </c>
      <c r="C1968">
        <v>8</v>
      </c>
    </row>
    <row r="1969" spans="1:3" x14ac:dyDescent="0.3">
      <c r="A1969">
        <v>79210</v>
      </c>
      <c r="B1969">
        <v>1</v>
      </c>
      <c r="C1969">
        <v>16</v>
      </c>
    </row>
    <row r="1970" spans="1:3" x14ac:dyDescent="0.3">
      <c r="A1970">
        <v>79209</v>
      </c>
      <c r="B1970">
        <v>1</v>
      </c>
      <c r="C1970">
        <v>8</v>
      </c>
    </row>
    <row r="1971" spans="1:3" x14ac:dyDescent="0.3">
      <c r="A1971">
        <v>79208</v>
      </c>
      <c r="B1971">
        <v>1</v>
      </c>
      <c r="C1971">
        <v>16</v>
      </c>
    </row>
    <row r="1972" spans="1:3" x14ac:dyDescent="0.3">
      <c r="A1972">
        <v>79207</v>
      </c>
      <c r="B1972">
        <v>1</v>
      </c>
      <c r="C1972">
        <v>16</v>
      </c>
    </row>
    <row r="1973" spans="1:3" x14ac:dyDescent="0.3">
      <c r="A1973">
        <v>79184</v>
      </c>
      <c r="B1973">
        <v>1</v>
      </c>
      <c r="C1973">
        <v>8</v>
      </c>
    </row>
    <row r="1974" spans="1:3" x14ac:dyDescent="0.3">
      <c r="A1974">
        <v>79627</v>
      </c>
      <c r="B1974">
        <v>1</v>
      </c>
      <c r="C1974">
        <v>8</v>
      </c>
    </row>
    <row r="1975" spans="1:3" x14ac:dyDescent="0.3">
      <c r="A1975">
        <v>80362</v>
      </c>
      <c r="B1975">
        <v>1</v>
      </c>
      <c r="C1975">
        <v>8</v>
      </c>
    </row>
    <row r="1976" spans="1:3" x14ac:dyDescent="0.3">
      <c r="A1976">
        <v>80361</v>
      </c>
      <c r="B1976">
        <v>1</v>
      </c>
      <c r="C1976">
        <v>8</v>
      </c>
    </row>
    <row r="1977" spans="1:3" x14ac:dyDescent="0.3">
      <c r="A1977">
        <v>79628</v>
      </c>
      <c r="B1977">
        <v>1</v>
      </c>
      <c r="C1977">
        <v>8</v>
      </c>
    </row>
    <row r="1978" spans="1:3" x14ac:dyDescent="0.3">
      <c r="A1978">
        <v>79373</v>
      </c>
      <c r="B1978">
        <v>1</v>
      </c>
      <c r="C1978">
        <v>8</v>
      </c>
    </row>
    <row r="1979" spans="1:3" x14ac:dyDescent="0.3">
      <c r="A1979">
        <v>79372</v>
      </c>
      <c r="B1979">
        <v>1</v>
      </c>
      <c r="C1979">
        <v>8</v>
      </c>
    </row>
    <row r="1980" spans="1:3" x14ac:dyDescent="0.3">
      <c r="A1980">
        <v>79060</v>
      </c>
      <c r="B1980">
        <v>1</v>
      </c>
      <c r="C1980">
        <v>8</v>
      </c>
    </row>
    <row r="1981" spans="1:3" x14ac:dyDescent="0.3">
      <c r="A1981">
        <v>80708</v>
      </c>
      <c r="B1981">
        <v>1</v>
      </c>
      <c r="C1981">
        <v>8</v>
      </c>
    </row>
    <row r="1982" spans="1:3" x14ac:dyDescent="0.3">
      <c r="A1982">
        <v>80707</v>
      </c>
      <c r="B1982">
        <v>1</v>
      </c>
      <c r="C1982">
        <v>8</v>
      </c>
    </row>
    <row r="1983" spans="1:3" x14ac:dyDescent="0.3">
      <c r="A1983">
        <v>80638</v>
      </c>
      <c r="B1983">
        <v>1</v>
      </c>
      <c r="C1983">
        <v>8</v>
      </c>
    </row>
    <row r="1984" spans="1:3" x14ac:dyDescent="0.3">
      <c r="A1984">
        <v>80637</v>
      </c>
      <c r="B1984">
        <v>1</v>
      </c>
      <c r="C1984">
        <v>8</v>
      </c>
    </row>
    <row r="1985" spans="1:3" x14ac:dyDescent="0.3">
      <c r="A1985">
        <v>80636</v>
      </c>
      <c r="B1985">
        <v>1</v>
      </c>
      <c r="C1985">
        <v>8</v>
      </c>
    </row>
    <row r="1986" spans="1:3" x14ac:dyDescent="0.3">
      <c r="A1986">
        <v>80635</v>
      </c>
      <c r="B1986">
        <v>1</v>
      </c>
      <c r="C1986">
        <v>8</v>
      </c>
    </row>
    <row r="1987" spans="1:3" x14ac:dyDescent="0.3">
      <c r="A1987">
        <v>80555</v>
      </c>
      <c r="B1987">
        <v>1</v>
      </c>
      <c r="C1987">
        <v>8</v>
      </c>
    </row>
    <row r="1988" spans="1:3" x14ac:dyDescent="0.3">
      <c r="A1988">
        <v>80554</v>
      </c>
      <c r="B1988">
        <v>1</v>
      </c>
      <c r="C1988">
        <v>8</v>
      </c>
    </row>
    <row r="1989" spans="1:3" x14ac:dyDescent="0.3">
      <c r="A1989">
        <v>80553</v>
      </c>
      <c r="B1989">
        <v>1</v>
      </c>
      <c r="C1989">
        <v>8</v>
      </c>
    </row>
    <row r="1990" spans="1:3" x14ac:dyDescent="0.3">
      <c r="A1990">
        <v>80416</v>
      </c>
      <c r="B1990">
        <v>1</v>
      </c>
      <c r="C1990">
        <v>8</v>
      </c>
    </row>
    <row r="1991" spans="1:3" x14ac:dyDescent="0.3">
      <c r="A1991">
        <v>80415</v>
      </c>
      <c r="B1991">
        <v>1</v>
      </c>
      <c r="C1991">
        <v>8</v>
      </c>
    </row>
    <row r="1992" spans="1:3" x14ac:dyDescent="0.3">
      <c r="A1992">
        <v>80317</v>
      </c>
      <c r="B1992">
        <v>1</v>
      </c>
      <c r="C1992">
        <v>8</v>
      </c>
    </row>
    <row r="1993" spans="1:3" x14ac:dyDescent="0.3">
      <c r="A1993">
        <v>80202</v>
      </c>
      <c r="B1993">
        <v>1</v>
      </c>
      <c r="C1993">
        <v>8</v>
      </c>
    </row>
    <row r="1994" spans="1:3" x14ac:dyDescent="0.3">
      <c r="A1994">
        <v>80201</v>
      </c>
      <c r="B1994">
        <v>2</v>
      </c>
      <c r="C1994">
        <v>8</v>
      </c>
    </row>
    <row r="1995" spans="1:3" x14ac:dyDescent="0.3">
      <c r="A1995">
        <v>80200</v>
      </c>
      <c r="B1995">
        <v>1</v>
      </c>
      <c r="C1995">
        <v>8</v>
      </c>
    </row>
    <row r="1996" spans="1:3" x14ac:dyDescent="0.3">
      <c r="A1996">
        <v>80199</v>
      </c>
      <c r="B1996">
        <v>1</v>
      </c>
      <c r="C1996">
        <v>8</v>
      </c>
    </row>
    <row r="1997" spans="1:3" x14ac:dyDescent="0.3">
      <c r="A1997">
        <v>80198</v>
      </c>
      <c r="B1997">
        <v>1</v>
      </c>
      <c r="C1997">
        <v>8</v>
      </c>
    </row>
    <row r="1998" spans="1:3" x14ac:dyDescent="0.3">
      <c r="A1998">
        <v>80091</v>
      </c>
      <c r="B1998">
        <v>1</v>
      </c>
      <c r="C1998">
        <v>16</v>
      </c>
    </row>
    <row r="1999" spans="1:3" x14ac:dyDescent="0.3">
      <c r="A1999">
        <v>80090</v>
      </c>
      <c r="B1999">
        <v>2</v>
      </c>
      <c r="C1999">
        <v>8</v>
      </c>
    </row>
    <row r="2000" spans="1:3" x14ac:dyDescent="0.3">
      <c r="A2000">
        <v>80088</v>
      </c>
      <c r="B2000">
        <v>1</v>
      </c>
      <c r="C2000">
        <v>8</v>
      </c>
    </row>
    <row r="2001" spans="1:3" x14ac:dyDescent="0.3">
      <c r="A2001">
        <v>80087</v>
      </c>
      <c r="B2001">
        <v>1</v>
      </c>
      <c r="C2001">
        <v>8</v>
      </c>
    </row>
    <row r="2002" spans="1:3" x14ac:dyDescent="0.3">
      <c r="A2002" s="26">
        <v>80086</v>
      </c>
      <c r="B2002" s="26">
        <v>1</v>
      </c>
      <c r="C2002" s="26">
        <v>8</v>
      </c>
    </row>
    <row r="2003" spans="1:3" x14ac:dyDescent="0.3">
      <c r="A2003">
        <v>80085</v>
      </c>
      <c r="B2003">
        <v>1</v>
      </c>
      <c r="C2003">
        <v>8</v>
      </c>
    </row>
    <row r="2004" spans="1:3" x14ac:dyDescent="0.3">
      <c r="A2004">
        <v>80084</v>
      </c>
      <c r="B2004">
        <v>1</v>
      </c>
      <c r="C2004">
        <v>8</v>
      </c>
    </row>
    <row r="2005" spans="1:3" x14ac:dyDescent="0.3">
      <c r="A2005">
        <v>80083</v>
      </c>
      <c r="B2005">
        <v>1</v>
      </c>
      <c r="C2005">
        <v>8</v>
      </c>
    </row>
    <row r="2006" spans="1:3" x14ac:dyDescent="0.3">
      <c r="A2006">
        <v>80082</v>
      </c>
      <c r="B2006">
        <v>1</v>
      </c>
      <c r="C2006">
        <v>8</v>
      </c>
    </row>
    <row r="2007" spans="1:3" x14ac:dyDescent="0.3">
      <c r="A2007">
        <v>79966</v>
      </c>
      <c r="B2007">
        <v>1</v>
      </c>
      <c r="C2007">
        <v>8</v>
      </c>
    </row>
    <row r="2008" spans="1:3" x14ac:dyDescent="0.3">
      <c r="A2008">
        <v>79965</v>
      </c>
      <c r="B2008">
        <v>1</v>
      </c>
      <c r="C2008">
        <v>8</v>
      </c>
    </row>
    <row r="2009" spans="1:3" x14ac:dyDescent="0.3">
      <c r="A2009">
        <v>79963</v>
      </c>
      <c r="B2009">
        <v>1</v>
      </c>
      <c r="C2009">
        <v>8</v>
      </c>
    </row>
    <row r="2010" spans="1:3" x14ac:dyDescent="0.3">
      <c r="A2010">
        <v>79962</v>
      </c>
      <c r="B2010">
        <v>1</v>
      </c>
      <c r="C2010">
        <v>8</v>
      </c>
    </row>
    <row r="2011" spans="1:3" x14ac:dyDescent="0.3">
      <c r="A2011">
        <v>79810</v>
      </c>
      <c r="B2011">
        <v>1</v>
      </c>
      <c r="C2011">
        <v>8</v>
      </c>
    </row>
    <row r="2012" spans="1:3" x14ac:dyDescent="0.3">
      <c r="A2012">
        <v>79809</v>
      </c>
      <c r="B2012">
        <v>1</v>
      </c>
      <c r="C2012">
        <v>8</v>
      </c>
    </row>
    <row r="2013" spans="1:3" x14ac:dyDescent="0.3">
      <c r="A2013">
        <v>79808</v>
      </c>
      <c r="B2013">
        <v>1</v>
      </c>
      <c r="C2013">
        <v>8</v>
      </c>
    </row>
    <row r="2014" spans="1:3" x14ac:dyDescent="0.3">
      <c r="A2014">
        <v>79677</v>
      </c>
      <c r="B2014">
        <v>1</v>
      </c>
      <c r="C2014">
        <v>8</v>
      </c>
    </row>
    <row r="2015" spans="1:3" x14ac:dyDescent="0.3">
      <c r="A2015">
        <v>79676</v>
      </c>
      <c r="B2015">
        <v>1</v>
      </c>
      <c r="C2015">
        <v>8</v>
      </c>
    </row>
    <row r="2016" spans="1:3" x14ac:dyDescent="0.3">
      <c r="A2016">
        <v>79675</v>
      </c>
      <c r="B2016">
        <v>1</v>
      </c>
      <c r="C2016">
        <v>8</v>
      </c>
    </row>
    <row r="2017" spans="1:3" x14ac:dyDescent="0.3">
      <c r="A2017">
        <v>79674</v>
      </c>
      <c r="B2017">
        <v>1</v>
      </c>
      <c r="C2017">
        <v>8</v>
      </c>
    </row>
    <row r="2018" spans="1:3" x14ac:dyDescent="0.3">
      <c r="A2018">
        <v>79673</v>
      </c>
      <c r="B2018">
        <v>1</v>
      </c>
      <c r="C2018">
        <v>8</v>
      </c>
    </row>
    <row r="2019" spans="1:3" x14ac:dyDescent="0.3">
      <c r="A2019">
        <v>79672</v>
      </c>
      <c r="B2019">
        <v>1</v>
      </c>
      <c r="C2019">
        <v>8</v>
      </c>
    </row>
    <row r="2020" spans="1:3" x14ac:dyDescent="0.3">
      <c r="A2020">
        <v>79671</v>
      </c>
      <c r="B2020">
        <v>1</v>
      </c>
      <c r="C2020">
        <v>8</v>
      </c>
    </row>
    <row r="2021" spans="1:3" x14ac:dyDescent="0.3">
      <c r="A2021">
        <v>79669</v>
      </c>
      <c r="B2021">
        <v>1</v>
      </c>
      <c r="C2021">
        <v>8</v>
      </c>
    </row>
    <row r="2022" spans="1:3" x14ac:dyDescent="0.3">
      <c r="A2022">
        <v>64118</v>
      </c>
      <c r="B2022">
        <v>1</v>
      </c>
      <c r="C2022">
        <v>16</v>
      </c>
    </row>
    <row r="2023" spans="1:3" x14ac:dyDescent="0.3">
      <c r="A2023">
        <v>79590</v>
      </c>
      <c r="B2023">
        <v>1</v>
      </c>
      <c r="C2023">
        <v>8</v>
      </c>
    </row>
    <row r="2024" spans="1:3" x14ac:dyDescent="0.3">
      <c r="A2024">
        <v>79589</v>
      </c>
      <c r="B2024">
        <v>1</v>
      </c>
      <c r="C2024">
        <v>8</v>
      </c>
    </row>
    <row r="2025" spans="1:3" x14ac:dyDescent="0.3">
      <c r="A2025">
        <v>79588</v>
      </c>
      <c r="B2025">
        <v>1</v>
      </c>
      <c r="C2025">
        <v>8</v>
      </c>
    </row>
    <row r="2026" spans="1:3" x14ac:dyDescent="0.3">
      <c r="A2026">
        <v>79587</v>
      </c>
      <c r="B2026">
        <v>1</v>
      </c>
      <c r="C2026">
        <v>8</v>
      </c>
    </row>
    <row r="2027" spans="1:3" x14ac:dyDescent="0.3">
      <c r="A2027">
        <v>79586</v>
      </c>
      <c r="B2027">
        <v>1</v>
      </c>
      <c r="C2027">
        <v>8</v>
      </c>
    </row>
    <row r="2028" spans="1:3" x14ac:dyDescent="0.3">
      <c r="A2028">
        <v>79442</v>
      </c>
      <c r="B2028">
        <v>1</v>
      </c>
      <c r="C2028">
        <v>8</v>
      </c>
    </row>
    <row r="2029" spans="1:3" x14ac:dyDescent="0.3">
      <c r="A2029">
        <v>79441</v>
      </c>
      <c r="B2029">
        <v>1</v>
      </c>
      <c r="C2029">
        <v>8</v>
      </c>
    </row>
    <row r="2030" spans="1:3" x14ac:dyDescent="0.3">
      <c r="A2030">
        <v>79440</v>
      </c>
      <c r="B2030">
        <v>1</v>
      </c>
      <c r="C2030">
        <v>8</v>
      </c>
    </row>
    <row r="2031" spans="1:3" x14ac:dyDescent="0.3">
      <c r="A2031">
        <v>79439</v>
      </c>
      <c r="B2031">
        <v>1</v>
      </c>
      <c r="C2031">
        <v>8</v>
      </c>
    </row>
    <row r="2032" spans="1:3" x14ac:dyDescent="0.3">
      <c r="A2032">
        <v>79438</v>
      </c>
      <c r="B2032">
        <v>1</v>
      </c>
      <c r="C2032">
        <v>8</v>
      </c>
    </row>
    <row r="2033" spans="1:3" x14ac:dyDescent="0.3">
      <c r="A2033">
        <v>79437</v>
      </c>
      <c r="B2033">
        <v>1</v>
      </c>
      <c r="C2033">
        <v>8</v>
      </c>
    </row>
    <row r="2034" spans="1:3" x14ac:dyDescent="0.3">
      <c r="A2034">
        <v>79436</v>
      </c>
      <c r="B2034">
        <v>1</v>
      </c>
      <c r="C2034">
        <v>8</v>
      </c>
    </row>
    <row r="2035" spans="1:3" x14ac:dyDescent="0.3">
      <c r="A2035">
        <v>79435</v>
      </c>
      <c r="B2035">
        <v>1</v>
      </c>
      <c r="C2035">
        <v>8</v>
      </c>
    </row>
    <row r="2036" spans="1:3" x14ac:dyDescent="0.3">
      <c r="A2036">
        <v>79434</v>
      </c>
      <c r="B2036">
        <v>1</v>
      </c>
      <c r="C2036">
        <v>8</v>
      </c>
    </row>
    <row r="2037" spans="1:3" x14ac:dyDescent="0.3">
      <c r="A2037">
        <v>79433</v>
      </c>
      <c r="B2037">
        <v>1</v>
      </c>
      <c r="C2037">
        <v>8</v>
      </c>
    </row>
    <row r="2038" spans="1:3" x14ac:dyDescent="0.3">
      <c r="A2038">
        <v>79432</v>
      </c>
      <c r="B2038">
        <v>1</v>
      </c>
      <c r="C2038">
        <v>8</v>
      </c>
    </row>
    <row r="2039" spans="1:3" x14ac:dyDescent="0.3">
      <c r="A2039">
        <v>79336</v>
      </c>
      <c r="B2039">
        <v>1</v>
      </c>
      <c r="C2039">
        <v>8</v>
      </c>
    </row>
    <row r="2040" spans="1:3" x14ac:dyDescent="0.3">
      <c r="A2040">
        <v>79334</v>
      </c>
      <c r="B2040">
        <v>1</v>
      </c>
      <c r="C2040">
        <v>8</v>
      </c>
    </row>
    <row r="2041" spans="1:3" x14ac:dyDescent="0.3">
      <c r="A2041">
        <v>79333</v>
      </c>
      <c r="B2041">
        <v>1</v>
      </c>
      <c r="C2041">
        <v>8</v>
      </c>
    </row>
    <row r="2042" spans="1:3" x14ac:dyDescent="0.3">
      <c r="A2042">
        <v>79332</v>
      </c>
      <c r="B2042">
        <v>1</v>
      </c>
      <c r="C2042">
        <v>8</v>
      </c>
    </row>
    <row r="2043" spans="1:3" x14ac:dyDescent="0.3">
      <c r="A2043">
        <v>79204</v>
      </c>
      <c r="B2043">
        <v>1</v>
      </c>
      <c r="C2043">
        <v>8</v>
      </c>
    </row>
    <row r="2044" spans="1:3" x14ac:dyDescent="0.3">
      <c r="A2044">
        <v>79167</v>
      </c>
      <c r="B2044">
        <v>1</v>
      </c>
      <c r="C2044">
        <v>8</v>
      </c>
    </row>
    <row r="2045" spans="1:3" x14ac:dyDescent="0.3">
      <c r="A2045">
        <v>79166</v>
      </c>
      <c r="B2045">
        <v>1</v>
      </c>
      <c r="C2045">
        <v>8</v>
      </c>
    </row>
    <row r="2046" spans="1:3" x14ac:dyDescent="0.3">
      <c r="A2046">
        <v>79165</v>
      </c>
      <c r="B2046">
        <v>1</v>
      </c>
      <c r="C2046">
        <v>8</v>
      </c>
    </row>
    <row r="2047" spans="1:3" x14ac:dyDescent="0.3">
      <c r="A2047">
        <v>79164</v>
      </c>
      <c r="B2047">
        <v>1</v>
      </c>
      <c r="C2047">
        <v>8</v>
      </c>
    </row>
    <row r="2048" spans="1:3" x14ac:dyDescent="0.3">
      <c r="A2048">
        <v>79163</v>
      </c>
      <c r="B2048">
        <v>1</v>
      </c>
      <c r="C2048">
        <v>8</v>
      </c>
    </row>
    <row r="2049" spans="1:3" x14ac:dyDescent="0.3">
      <c r="A2049">
        <v>79162</v>
      </c>
      <c r="B2049">
        <v>1</v>
      </c>
      <c r="C2049">
        <v>8</v>
      </c>
    </row>
    <row r="2050" spans="1:3" x14ac:dyDescent="0.3">
      <c r="A2050">
        <v>79161</v>
      </c>
      <c r="B2050">
        <v>1</v>
      </c>
      <c r="C2050">
        <v>8</v>
      </c>
    </row>
    <row r="2051" spans="1:3" x14ac:dyDescent="0.3">
      <c r="A2051">
        <v>12543</v>
      </c>
      <c r="B2051">
        <v>1</v>
      </c>
      <c r="C2051">
        <v>8</v>
      </c>
    </row>
    <row r="2052" spans="1:3" x14ac:dyDescent="0.3">
      <c r="A2052">
        <v>80318</v>
      </c>
      <c r="B2052">
        <v>1</v>
      </c>
      <c r="C2052">
        <v>8</v>
      </c>
    </row>
    <row r="2053" spans="1:3" x14ac:dyDescent="0.3">
      <c r="A2053">
        <v>79446</v>
      </c>
      <c r="B2053">
        <v>1</v>
      </c>
      <c r="C2053">
        <v>8</v>
      </c>
    </row>
    <row r="2054" spans="1:3" x14ac:dyDescent="0.3">
      <c r="A2054">
        <v>80729</v>
      </c>
      <c r="B2054">
        <v>2</v>
      </c>
      <c r="C2054">
        <v>8</v>
      </c>
    </row>
    <row r="2055" spans="1:3" x14ac:dyDescent="0.3">
      <c r="A2055">
        <v>80728</v>
      </c>
      <c r="B2055">
        <v>1</v>
      </c>
      <c r="C2055">
        <v>8</v>
      </c>
    </row>
    <row r="2056" spans="1:3" x14ac:dyDescent="0.3">
      <c r="A2056">
        <v>80598</v>
      </c>
      <c r="B2056">
        <v>1</v>
      </c>
      <c r="C2056">
        <v>8</v>
      </c>
    </row>
    <row r="2057" spans="1:3" x14ac:dyDescent="0.3">
      <c r="A2057">
        <v>80597</v>
      </c>
      <c r="B2057">
        <v>1</v>
      </c>
      <c r="C2057">
        <v>8</v>
      </c>
    </row>
    <row r="2058" spans="1:3" x14ac:dyDescent="0.3">
      <c r="A2058">
        <v>80596</v>
      </c>
      <c r="B2058">
        <v>1</v>
      </c>
      <c r="C2058">
        <v>8</v>
      </c>
    </row>
    <row r="2059" spans="1:3" x14ac:dyDescent="0.3">
      <c r="A2059">
        <v>80595</v>
      </c>
      <c r="B2059">
        <v>1</v>
      </c>
      <c r="C2059">
        <v>8</v>
      </c>
    </row>
    <row r="2060" spans="1:3" x14ac:dyDescent="0.3">
      <c r="A2060">
        <v>80594</v>
      </c>
      <c r="B2060">
        <v>1</v>
      </c>
      <c r="C2060">
        <v>8</v>
      </c>
    </row>
    <row r="2061" spans="1:3" x14ac:dyDescent="0.3">
      <c r="A2061">
        <v>80593</v>
      </c>
      <c r="B2061">
        <v>1</v>
      </c>
      <c r="C2061">
        <v>8</v>
      </c>
    </row>
    <row r="2062" spans="1:3" x14ac:dyDescent="0.3">
      <c r="A2062">
        <v>80556</v>
      </c>
      <c r="B2062">
        <v>2</v>
      </c>
      <c r="C2062">
        <v>8</v>
      </c>
    </row>
    <row r="2063" spans="1:3" x14ac:dyDescent="0.3">
      <c r="A2063">
        <v>80367</v>
      </c>
      <c r="B2063">
        <v>1</v>
      </c>
      <c r="C2063">
        <v>8</v>
      </c>
    </row>
    <row r="2064" spans="1:3" x14ac:dyDescent="0.3">
      <c r="A2064">
        <v>80366</v>
      </c>
      <c r="B2064">
        <v>1</v>
      </c>
      <c r="C2064">
        <v>8</v>
      </c>
    </row>
    <row r="2065" spans="1:3" x14ac:dyDescent="0.3">
      <c r="A2065">
        <v>80264</v>
      </c>
      <c r="B2065">
        <v>1</v>
      </c>
      <c r="C2065">
        <v>8</v>
      </c>
    </row>
    <row r="2066" spans="1:3" x14ac:dyDescent="0.3">
      <c r="A2066">
        <v>80263</v>
      </c>
      <c r="B2066">
        <v>1</v>
      </c>
      <c r="C2066">
        <v>8</v>
      </c>
    </row>
    <row r="2067" spans="1:3" x14ac:dyDescent="0.3">
      <c r="A2067">
        <v>80262</v>
      </c>
      <c r="B2067">
        <v>1</v>
      </c>
      <c r="C2067">
        <v>8</v>
      </c>
    </row>
    <row r="2068" spans="1:3" x14ac:dyDescent="0.3">
      <c r="A2068">
        <v>80261</v>
      </c>
      <c r="B2068">
        <v>1</v>
      </c>
      <c r="C2068">
        <v>8</v>
      </c>
    </row>
    <row r="2069" spans="1:3" x14ac:dyDescent="0.3">
      <c r="A2069">
        <v>80260</v>
      </c>
      <c r="B2069">
        <v>1</v>
      </c>
      <c r="C2069">
        <v>8</v>
      </c>
    </row>
    <row r="2070" spans="1:3" x14ac:dyDescent="0.3">
      <c r="A2070">
        <v>80259</v>
      </c>
      <c r="B2070">
        <v>1</v>
      </c>
      <c r="C2070">
        <v>8</v>
      </c>
    </row>
    <row r="2071" spans="1:3" x14ac:dyDescent="0.3">
      <c r="A2071">
        <v>80258</v>
      </c>
      <c r="B2071">
        <v>1</v>
      </c>
      <c r="C2071">
        <v>8</v>
      </c>
    </row>
    <row r="2072" spans="1:3" x14ac:dyDescent="0.3">
      <c r="A2072">
        <v>80138</v>
      </c>
      <c r="B2072">
        <v>1</v>
      </c>
      <c r="C2072">
        <v>8</v>
      </c>
    </row>
    <row r="2073" spans="1:3" x14ac:dyDescent="0.3">
      <c r="A2073">
        <v>80137</v>
      </c>
      <c r="B2073">
        <v>1</v>
      </c>
      <c r="C2073">
        <v>8</v>
      </c>
    </row>
    <row r="2074" spans="1:3" x14ac:dyDescent="0.3">
      <c r="A2074">
        <v>80136</v>
      </c>
      <c r="B2074">
        <v>1</v>
      </c>
      <c r="C2074">
        <v>8</v>
      </c>
    </row>
    <row r="2075" spans="1:3" x14ac:dyDescent="0.3">
      <c r="A2075">
        <v>80135</v>
      </c>
      <c r="B2075">
        <v>1</v>
      </c>
      <c r="C2075">
        <v>8</v>
      </c>
    </row>
    <row r="2076" spans="1:3" x14ac:dyDescent="0.3">
      <c r="A2076">
        <v>80134</v>
      </c>
      <c r="B2076">
        <v>1</v>
      </c>
      <c r="C2076">
        <v>8</v>
      </c>
    </row>
    <row r="2077" spans="1:3" x14ac:dyDescent="0.3">
      <c r="A2077">
        <v>80005</v>
      </c>
      <c r="B2077">
        <v>1</v>
      </c>
      <c r="C2077">
        <v>8</v>
      </c>
    </row>
    <row r="2078" spans="1:3" x14ac:dyDescent="0.3">
      <c r="A2078">
        <v>80003</v>
      </c>
      <c r="B2078">
        <v>1</v>
      </c>
      <c r="C2078">
        <v>8</v>
      </c>
    </row>
    <row r="2079" spans="1:3" x14ac:dyDescent="0.3">
      <c r="A2079">
        <v>79861</v>
      </c>
      <c r="B2079">
        <v>1</v>
      </c>
      <c r="C2079">
        <v>8</v>
      </c>
    </row>
    <row r="2080" spans="1:3" x14ac:dyDescent="0.3">
      <c r="A2080">
        <v>79767</v>
      </c>
      <c r="B2080">
        <v>1</v>
      </c>
      <c r="C2080">
        <v>8</v>
      </c>
    </row>
    <row r="2081" spans="1:3" x14ac:dyDescent="0.3">
      <c r="A2081">
        <v>79766</v>
      </c>
      <c r="B2081">
        <v>1</v>
      </c>
      <c r="C2081">
        <v>8</v>
      </c>
    </row>
    <row r="2082" spans="1:3" x14ac:dyDescent="0.3">
      <c r="A2082">
        <v>79765</v>
      </c>
      <c r="B2082">
        <v>1</v>
      </c>
      <c r="C2082">
        <v>8</v>
      </c>
    </row>
    <row r="2083" spans="1:3" x14ac:dyDescent="0.3">
      <c r="A2083">
        <v>79764</v>
      </c>
      <c r="B2083">
        <v>1</v>
      </c>
      <c r="C2083">
        <v>8</v>
      </c>
    </row>
    <row r="2084" spans="1:3" x14ac:dyDescent="0.3">
      <c r="A2084">
        <v>79630</v>
      </c>
      <c r="B2084">
        <v>1</v>
      </c>
      <c r="C2084">
        <v>8</v>
      </c>
    </row>
    <row r="2085" spans="1:3" x14ac:dyDescent="0.3">
      <c r="A2085">
        <v>79511</v>
      </c>
      <c r="B2085">
        <v>1</v>
      </c>
      <c r="C2085">
        <v>8</v>
      </c>
    </row>
    <row r="2086" spans="1:3" x14ac:dyDescent="0.3">
      <c r="A2086">
        <v>79510</v>
      </c>
      <c r="B2086">
        <v>1</v>
      </c>
      <c r="C2086">
        <v>8</v>
      </c>
    </row>
    <row r="2087" spans="1:3" x14ac:dyDescent="0.3">
      <c r="A2087">
        <v>79508</v>
      </c>
      <c r="B2087">
        <v>1</v>
      </c>
      <c r="C2087">
        <v>16</v>
      </c>
    </row>
    <row r="2088" spans="1:3" x14ac:dyDescent="0.3">
      <c r="A2088">
        <v>79378</v>
      </c>
      <c r="B2088">
        <v>1</v>
      </c>
      <c r="C2088">
        <v>8</v>
      </c>
    </row>
    <row r="2089" spans="1:3" x14ac:dyDescent="0.3">
      <c r="A2089">
        <v>79211</v>
      </c>
      <c r="B2089">
        <v>1</v>
      </c>
      <c r="C2089">
        <v>8</v>
      </c>
    </row>
    <row r="2090" spans="1:3" x14ac:dyDescent="0.3">
      <c r="A2090">
        <v>79071</v>
      </c>
      <c r="B2090">
        <v>1</v>
      </c>
      <c r="C2090">
        <v>8</v>
      </c>
    </row>
    <row r="2091" spans="1:3" x14ac:dyDescent="0.3">
      <c r="A2091">
        <v>79070</v>
      </c>
      <c r="B2091">
        <v>1</v>
      </c>
      <c r="C2091">
        <v>8</v>
      </c>
    </row>
    <row r="2092" spans="1:3" x14ac:dyDescent="0.3">
      <c r="A2092">
        <v>79068</v>
      </c>
      <c r="B2092">
        <v>1</v>
      </c>
      <c r="C2092">
        <v>8</v>
      </c>
    </row>
    <row r="2093" spans="1:3" x14ac:dyDescent="0.3">
      <c r="A2093">
        <v>79067</v>
      </c>
      <c r="B2093">
        <v>1</v>
      </c>
      <c r="C2093">
        <v>8</v>
      </c>
    </row>
    <row r="2094" spans="1:3" x14ac:dyDescent="0.3">
      <c r="A2094">
        <v>79066</v>
      </c>
      <c r="B2094">
        <v>1</v>
      </c>
      <c r="C2094">
        <v>8</v>
      </c>
    </row>
    <row r="2095" spans="1:3" x14ac:dyDescent="0.3">
      <c r="A2095">
        <v>79065</v>
      </c>
      <c r="B2095">
        <v>1</v>
      </c>
      <c r="C2095">
        <v>8</v>
      </c>
    </row>
    <row r="2096" spans="1:3" x14ac:dyDescent="0.3">
      <c r="A2096">
        <v>79063</v>
      </c>
      <c r="B2096">
        <v>1</v>
      </c>
      <c r="C2096">
        <v>8</v>
      </c>
    </row>
    <row r="2097" spans="1:3" x14ac:dyDescent="0.3">
      <c r="A2097">
        <v>79062</v>
      </c>
      <c r="B2097">
        <v>1</v>
      </c>
      <c r="C2097">
        <v>8</v>
      </c>
    </row>
    <row r="2098" spans="1:3" x14ac:dyDescent="0.3">
      <c r="A2098">
        <v>78951</v>
      </c>
      <c r="B2098">
        <v>1</v>
      </c>
      <c r="C2098">
        <v>8</v>
      </c>
    </row>
    <row r="2099" spans="1:3" x14ac:dyDescent="0.3">
      <c r="A2099">
        <v>78950</v>
      </c>
      <c r="B2099">
        <v>1</v>
      </c>
      <c r="C2099">
        <v>8</v>
      </c>
    </row>
    <row r="2100" spans="1:3" x14ac:dyDescent="0.3">
      <c r="A2100">
        <v>78949</v>
      </c>
      <c r="B2100">
        <v>1</v>
      </c>
      <c r="C2100">
        <v>8</v>
      </c>
    </row>
    <row r="2101" spans="1:3" x14ac:dyDescent="0.3">
      <c r="A2101">
        <v>78948</v>
      </c>
      <c r="B2101">
        <v>1</v>
      </c>
      <c r="C2101">
        <v>8</v>
      </c>
    </row>
    <row r="2102" spans="1:3" x14ac:dyDescent="0.3">
      <c r="A2102">
        <v>78947</v>
      </c>
      <c r="B2102">
        <v>1</v>
      </c>
      <c r="C2102">
        <v>8</v>
      </c>
    </row>
    <row r="2103" spans="1:3" x14ac:dyDescent="0.3">
      <c r="A2103">
        <v>78902</v>
      </c>
      <c r="B2103">
        <v>1</v>
      </c>
      <c r="C2103">
        <v>8</v>
      </c>
    </row>
    <row r="2104" spans="1:3" x14ac:dyDescent="0.3">
      <c r="A2104">
        <v>78901</v>
      </c>
      <c r="B2104">
        <v>1</v>
      </c>
      <c r="C2104">
        <v>8</v>
      </c>
    </row>
    <row r="2105" spans="1:3" x14ac:dyDescent="0.3">
      <c r="A2105">
        <v>78871</v>
      </c>
      <c r="B2105">
        <v>1</v>
      </c>
      <c r="C2105">
        <v>8</v>
      </c>
    </row>
    <row r="2106" spans="1:3" x14ac:dyDescent="0.3">
      <c r="A2106">
        <v>78869</v>
      </c>
      <c r="B2106">
        <v>1</v>
      </c>
      <c r="C2106">
        <v>8</v>
      </c>
    </row>
    <row r="2107" spans="1:3" x14ac:dyDescent="0.3">
      <c r="A2107">
        <v>78799</v>
      </c>
      <c r="B2107">
        <v>1</v>
      </c>
      <c r="C2107">
        <v>8</v>
      </c>
    </row>
    <row r="2108" spans="1:3" x14ac:dyDescent="0.3">
      <c r="A2108">
        <v>78798</v>
      </c>
      <c r="B2108">
        <v>1</v>
      </c>
      <c r="C2108">
        <v>8</v>
      </c>
    </row>
    <row r="2109" spans="1:3" x14ac:dyDescent="0.3">
      <c r="A2109">
        <v>78625</v>
      </c>
      <c r="B2109">
        <v>1</v>
      </c>
      <c r="C2109">
        <v>8</v>
      </c>
    </row>
    <row r="2110" spans="1:3" x14ac:dyDescent="0.3">
      <c r="A2110">
        <v>78607</v>
      </c>
      <c r="B2110">
        <v>1</v>
      </c>
      <c r="C2110">
        <v>8</v>
      </c>
    </row>
    <row r="2111" spans="1:3" x14ac:dyDescent="0.3">
      <c r="A2111">
        <v>78520</v>
      </c>
      <c r="B2111">
        <v>1</v>
      </c>
      <c r="C2111">
        <v>8</v>
      </c>
    </row>
    <row r="2112" spans="1:3" x14ac:dyDescent="0.3">
      <c r="A2112">
        <v>78518</v>
      </c>
      <c r="B2112">
        <v>1</v>
      </c>
      <c r="C2112">
        <v>8</v>
      </c>
    </row>
    <row r="2113" spans="1:3" x14ac:dyDescent="0.3">
      <c r="A2113">
        <v>78517</v>
      </c>
      <c r="B2113">
        <v>1</v>
      </c>
      <c r="C2113">
        <v>8</v>
      </c>
    </row>
    <row r="2114" spans="1:3" x14ac:dyDescent="0.3">
      <c r="A2114">
        <v>78516</v>
      </c>
      <c r="B2114">
        <v>1</v>
      </c>
      <c r="C2114">
        <v>8</v>
      </c>
    </row>
    <row r="2115" spans="1:3" x14ac:dyDescent="0.3">
      <c r="A2115">
        <v>78423</v>
      </c>
      <c r="B2115">
        <v>1</v>
      </c>
      <c r="C2115">
        <v>8</v>
      </c>
    </row>
    <row r="2116" spans="1:3" x14ac:dyDescent="0.3">
      <c r="A2116">
        <v>78378</v>
      </c>
      <c r="B2116">
        <v>1</v>
      </c>
      <c r="C2116">
        <v>8</v>
      </c>
    </row>
    <row r="2117" spans="1:3" x14ac:dyDescent="0.3">
      <c r="A2117">
        <v>78377</v>
      </c>
      <c r="B2117">
        <v>1</v>
      </c>
      <c r="C2117">
        <v>8</v>
      </c>
    </row>
    <row r="2118" spans="1:3" x14ac:dyDescent="0.3">
      <c r="A2118">
        <v>78347</v>
      </c>
      <c r="B2118">
        <v>1</v>
      </c>
      <c r="C2118">
        <v>8</v>
      </c>
    </row>
    <row r="2119" spans="1:3" x14ac:dyDescent="0.3">
      <c r="A2119">
        <v>78346</v>
      </c>
      <c r="B2119">
        <v>1</v>
      </c>
      <c r="C2119">
        <v>8</v>
      </c>
    </row>
    <row r="2120" spans="1:3" x14ac:dyDescent="0.3">
      <c r="A2120">
        <v>78345</v>
      </c>
      <c r="B2120">
        <v>1</v>
      </c>
      <c r="C2120">
        <v>8</v>
      </c>
    </row>
    <row r="2121" spans="1:3" x14ac:dyDescent="0.3">
      <c r="A2121">
        <v>78246</v>
      </c>
      <c r="B2121">
        <v>1</v>
      </c>
      <c r="C2121">
        <v>8</v>
      </c>
    </row>
    <row r="2122" spans="1:3" x14ac:dyDescent="0.3">
      <c r="A2122">
        <v>78185</v>
      </c>
      <c r="B2122">
        <v>1</v>
      </c>
      <c r="C2122">
        <v>8</v>
      </c>
    </row>
    <row r="2123" spans="1:3" x14ac:dyDescent="0.3">
      <c r="A2123">
        <v>78184</v>
      </c>
      <c r="B2123">
        <v>1</v>
      </c>
      <c r="C2123">
        <v>8</v>
      </c>
    </row>
    <row r="2124" spans="1:3" x14ac:dyDescent="0.3">
      <c r="A2124">
        <v>78077</v>
      </c>
      <c r="B2124">
        <v>1</v>
      </c>
      <c r="C2124">
        <v>8</v>
      </c>
    </row>
    <row r="2125" spans="1:3" x14ac:dyDescent="0.3">
      <c r="A2125">
        <v>78004</v>
      </c>
      <c r="B2125">
        <v>1</v>
      </c>
      <c r="C2125">
        <v>8</v>
      </c>
    </row>
    <row r="2126" spans="1:3" x14ac:dyDescent="0.3">
      <c r="A2126">
        <v>78003</v>
      </c>
      <c r="B2126">
        <v>1</v>
      </c>
      <c r="C2126">
        <v>8</v>
      </c>
    </row>
    <row r="2127" spans="1:3" x14ac:dyDescent="0.3">
      <c r="A2127">
        <v>78002</v>
      </c>
      <c r="B2127">
        <v>1</v>
      </c>
      <c r="C2127">
        <v>8</v>
      </c>
    </row>
    <row r="2128" spans="1:3" x14ac:dyDescent="0.3">
      <c r="A2128">
        <v>77958</v>
      </c>
      <c r="B2128">
        <v>1</v>
      </c>
      <c r="C2128">
        <v>8</v>
      </c>
    </row>
    <row r="2129" spans="1:3" x14ac:dyDescent="0.3">
      <c r="A2129">
        <v>77894</v>
      </c>
      <c r="B2129">
        <v>1</v>
      </c>
      <c r="C2129">
        <v>8</v>
      </c>
    </row>
    <row r="2130" spans="1:3" x14ac:dyDescent="0.3">
      <c r="A2130">
        <v>77732</v>
      </c>
      <c r="B2130">
        <v>1</v>
      </c>
      <c r="C2130">
        <v>8</v>
      </c>
    </row>
    <row r="2131" spans="1:3" x14ac:dyDescent="0.3">
      <c r="A2131">
        <v>77664</v>
      </c>
      <c r="B2131">
        <v>1</v>
      </c>
      <c r="C2131">
        <v>8</v>
      </c>
    </row>
    <row r="2132" spans="1:3" x14ac:dyDescent="0.3">
      <c r="A2132">
        <v>77663</v>
      </c>
      <c r="B2132">
        <v>1</v>
      </c>
      <c r="C2132">
        <v>8</v>
      </c>
    </row>
    <row r="2133" spans="1:3" x14ac:dyDescent="0.3">
      <c r="A2133">
        <v>77662</v>
      </c>
      <c r="B2133">
        <v>1</v>
      </c>
      <c r="C2133">
        <v>8</v>
      </c>
    </row>
    <row r="2134" spans="1:3" x14ac:dyDescent="0.3">
      <c r="A2134">
        <v>77661</v>
      </c>
      <c r="B2134">
        <v>1</v>
      </c>
      <c r="C2134">
        <v>8</v>
      </c>
    </row>
    <row r="2135" spans="1:3" x14ac:dyDescent="0.3">
      <c r="A2135">
        <v>77660</v>
      </c>
      <c r="B2135">
        <v>1</v>
      </c>
      <c r="C2135">
        <v>8</v>
      </c>
    </row>
    <row r="2136" spans="1:3" x14ac:dyDescent="0.3">
      <c r="A2136">
        <v>77658</v>
      </c>
      <c r="B2136">
        <v>1</v>
      </c>
      <c r="C2136">
        <v>8</v>
      </c>
    </row>
    <row r="2137" spans="1:3" x14ac:dyDescent="0.3">
      <c r="A2137">
        <v>77657</v>
      </c>
      <c r="B2137">
        <v>1</v>
      </c>
      <c r="C2137">
        <v>8</v>
      </c>
    </row>
    <row r="2138" spans="1:3" x14ac:dyDescent="0.3">
      <c r="A2138">
        <v>77608</v>
      </c>
      <c r="B2138">
        <v>1</v>
      </c>
      <c r="C2138">
        <v>8</v>
      </c>
    </row>
    <row r="2139" spans="1:3" x14ac:dyDescent="0.3">
      <c r="A2139">
        <v>77538</v>
      </c>
      <c r="B2139">
        <v>1</v>
      </c>
      <c r="C2139">
        <v>8</v>
      </c>
    </row>
    <row r="2140" spans="1:3" x14ac:dyDescent="0.3">
      <c r="A2140">
        <v>77537</v>
      </c>
      <c r="B2140">
        <v>1</v>
      </c>
      <c r="C2140">
        <v>8</v>
      </c>
    </row>
    <row r="2141" spans="1:3" x14ac:dyDescent="0.3">
      <c r="A2141">
        <v>77450</v>
      </c>
      <c r="B2141">
        <v>1</v>
      </c>
      <c r="C2141">
        <v>8</v>
      </c>
    </row>
    <row r="2142" spans="1:3" x14ac:dyDescent="0.3">
      <c r="A2142">
        <v>77449</v>
      </c>
      <c r="B2142">
        <v>1</v>
      </c>
      <c r="C2142">
        <v>8</v>
      </c>
    </row>
    <row r="2143" spans="1:3" x14ac:dyDescent="0.3">
      <c r="A2143">
        <v>77401</v>
      </c>
      <c r="B2143">
        <v>1</v>
      </c>
      <c r="C2143">
        <v>8</v>
      </c>
    </row>
    <row r="2144" spans="1:3" x14ac:dyDescent="0.3">
      <c r="A2144">
        <v>77346</v>
      </c>
      <c r="B2144">
        <v>1</v>
      </c>
      <c r="C2144">
        <v>8</v>
      </c>
    </row>
    <row r="2145" spans="1:3" x14ac:dyDescent="0.3">
      <c r="A2145">
        <v>77345</v>
      </c>
      <c r="B2145">
        <v>1</v>
      </c>
      <c r="C2145">
        <v>8</v>
      </c>
    </row>
    <row r="2146" spans="1:3" x14ac:dyDescent="0.3">
      <c r="A2146">
        <v>77342</v>
      </c>
      <c r="B2146">
        <v>1</v>
      </c>
      <c r="C2146">
        <v>8</v>
      </c>
    </row>
    <row r="2147" spans="1:3" x14ac:dyDescent="0.3">
      <c r="A2147">
        <v>77308</v>
      </c>
      <c r="B2147">
        <v>1</v>
      </c>
      <c r="C2147">
        <v>8</v>
      </c>
    </row>
    <row r="2148" spans="1:3" x14ac:dyDescent="0.3">
      <c r="A2148">
        <v>77307</v>
      </c>
      <c r="B2148">
        <v>1</v>
      </c>
      <c r="C2148">
        <v>8</v>
      </c>
    </row>
    <row r="2149" spans="1:3" x14ac:dyDescent="0.3">
      <c r="A2149">
        <v>77305</v>
      </c>
      <c r="B2149">
        <v>1</v>
      </c>
      <c r="C2149">
        <v>8</v>
      </c>
    </row>
    <row r="2150" spans="1:3" x14ac:dyDescent="0.3">
      <c r="A2150">
        <v>77304</v>
      </c>
      <c r="B2150">
        <v>1</v>
      </c>
      <c r="C2150">
        <v>8</v>
      </c>
    </row>
    <row r="2151" spans="1:3" x14ac:dyDescent="0.3">
      <c r="A2151">
        <v>77275</v>
      </c>
      <c r="B2151">
        <v>1</v>
      </c>
      <c r="C2151">
        <v>8</v>
      </c>
    </row>
    <row r="2152" spans="1:3" x14ac:dyDescent="0.3">
      <c r="A2152">
        <v>77230</v>
      </c>
      <c r="B2152">
        <v>1</v>
      </c>
      <c r="C2152">
        <v>8</v>
      </c>
    </row>
    <row r="2153" spans="1:3" x14ac:dyDescent="0.3">
      <c r="A2153">
        <v>77229</v>
      </c>
      <c r="B2153">
        <v>1</v>
      </c>
      <c r="C2153">
        <v>8</v>
      </c>
    </row>
    <row r="2154" spans="1:3" x14ac:dyDescent="0.3">
      <c r="A2154">
        <v>77167</v>
      </c>
      <c r="B2154">
        <v>1</v>
      </c>
      <c r="C2154">
        <v>8</v>
      </c>
    </row>
    <row r="2155" spans="1:3" x14ac:dyDescent="0.3">
      <c r="A2155">
        <v>77073</v>
      </c>
      <c r="B2155">
        <v>1</v>
      </c>
      <c r="C2155">
        <v>8</v>
      </c>
    </row>
    <row r="2156" spans="1:3" x14ac:dyDescent="0.3">
      <c r="A2156">
        <v>76889</v>
      </c>
      <c r="B2156">
        <v>1</v>
      </c>
      <c r="C2156">
        <v>8</v>
      </c>
    </row>
    <row r="2157" spans="1:3" x14ac:dyDescent="0.3">
      <c r="A2157">
        <v>76888</v>
      </c>
      <c r="B2157">
        <v>1</v>
      </c>
      <c r="C2157">
        <v>8</v>
      </c>
    </row>
    <row r="2158" spans="1:3" x14ac:dyDescent="0.3">
      <c r="A2158">
        <v>76797</v>
      </c>
      <c r="B2158">
        <v>1</v>
      </c>
      <c r="C2158">
        <v>8</v>
      </c>
    </row>
    <row r="2159" spans="1:3" x14ac:dyDescent="0.3">
      <c r="A2159">
        <v>76796</v>
      </c>
      <c r="B2159">
        <v>1</v>
      </c>
      <c r="C2159">
        <v>8</v>
      </c>
    </row>
    <row r="2160" spans="1:3" x14ac:dyDescent="0.3">
      <c r="A2160">
        <v>76767</v>
      </c>
      <c r="B2160">
        <v>1</v>
      </c>
      <c r="C2160">
        <v>8</v>
      </c>
    </row>
    <row r="2161" spans="1:3" x14ac:dyDescent="0.3">
      <c r="A2161">
        <v>76766</v>
      </c>
      <c r="B2161">
        <v>1</v>
      </c>
      <c r="C2161">
        <v>8</v>
      </c>
    </row>
    <row r="2162" spans="1:3" x14ac:dyDescent="0.3">
      <c r="A2162">
        <v>76727</v>
      </c>
      <c r="B2162">
        <v>1</v>
      </c>
      <c r="C2162">
        <v>8</v>
      </c>
    </row>
    <row r="2163" spans="1:3" x14ac:dyDescent="0.3">
      <c r="A2163">
        <v>76726</v>
      </c>
      <c r="B2163">
        <v>1</v>
      </c>
      <c r="C2163">
        <v>8</v>
      </c>
    </row>
    <row r="2164" spans="1:3" x14ac:dyDescent="0.3">
      <c r="A2164">
        <v>76725</v>
      </c>
      <c r="B2164">
        <v>1</v>
      </c>
      <c r="C2164">
        <v>8</v>
      </c>
    </row>
    <row r="2165" spans="1:3" x14ac:dyDescent="0.3">
      <c r="A2165">
        <v>76724</v>
      </c>
      <c r="B2165">
        <v>1</v>
      </c>
      <c r="C2165">
        <v>8</v>
      </c>
    </row>
    <row r="2166" spans="1:3" x14ac:dyDescent="0.3">
      <c r="A2166">
        <v>76722</v>
      </c>
      <c r="B2166">
        <v>1</v>
      </c>
      <c r="C2166">
        <v>8</v>
      </c>
    </row>
    <row r="2167" spans="1:3" x14ac:dyDescent="0.3">
      <c r="A2167">
        <v>76673</v>
      </c>
      <c r="B2167">
        <v>1</v>
      </c>
      <c r="C2167">
        <v>8</v>
      </c>
    </row>
    <row r="2168" spans="1:3" x14ac:dyDescent="0.3">
      <c r="A2168">
        <v>76418</v>
      </c>
      <c r="B2168">
        <v>1</v>
      </c>
      <c r="C2168">
        <v>8</v>
      </c>
    </row>
    <row r="2169" spans="1:3" x14ac:dyDescent="0.3">
      <c r="A2169">
        <v>76416</v>
      </c>
      <c r="B2169">
        <v>1</v>
      </c>
      <c r="C2169">
        <v>8</v>
      </c>
    </row>
    <row r="2170" spans="1:3" x14ac:dyDescent="0.3">
      <c r="A2170">
        <v>76415</v>
      </c>
      <c r="B2170">
        <v>1</v>
      </c>
      <c r="C2170">
        <v>8</v>
      </c>
    </row>
    <row r="2171" spans="1:3" x14ac:dyDescent="0.3">
      <c r="A2171">
        <v>76306</v>
      </c>
      <c r="B2171">
        <v>1</v>
      </c>
      <c r="C2171">
        <v>8</v>
      </c>
    </row>
    <row r="2172" spans="1:3" x14ac:dyDescent="0.3">
      <c r="A2172">
        <v>76267</v>
      </c>
      <c r="B2172">
        <v>1</v>
      </c>
      <c r="C2172">
        <v>8</v>
      </c>
    </row>
    <row r="2173" spans="1:3" x14ac:dyDescent="0.3">
      <c r="A2173">
        <v>76266</v>
      </c>
      <c r="B2173">
        <v>1</v>
      </c>
      <c r="C2173">
        <v>8</v>
      </c>
    </row>
    <row r="2174" spans="1:3" x14ac:dyDescent="0.3">
      <c r="A2174">
        <v>76265</v>
      </c>
      <c r="B2174">
        <v>1</v>
      </c>
      <c r="C2174">
        <v>8</v>
      </c>
    </row>
    <row r="2175" spans="1:3" x14ac:dyDescent="0.3">
      <c r="A2175">
        <v>76264</v>
      </c>
      <c r="B2175">
        <v>1</v>
      </c>
      <c r="C2175">
        <v>8</v>
      </c>
    </row>
    <row r="2176" spans="1:3" x14ac:dyDescent="0.3">
      <c r="A2176">
        <v>76263</v>
      </c>
      <c r="B2176">
        <v>1</v>
      </c>
      <c r="C2176">
        <v>8</v>
      </c>
    </row>
    <row r="2177" spans="1:3" x14ac:dyDescent="0.3">
      <c r="A2177">
        <v>76234</v>
      </c>
      <c r="B2177">
        <v>1</v>
      </c>
      <c r="C2177">
        <v>8</v>
      </c>
    </row>
    <row r="2178" spans="1:3" x14ac:dyDescent="0.3">
      <c r="A2178">
        <v>76191</v>
      </c>
      <c r="B2178">
        <v>1</v>
      </c>
      <c r="C2178">
        <v>8</v>
      </c>
    </row>
    <row r="2179" spans="1:3" x14ac:dyDescent="0.3">
      <c r="A2179">
        <v>76127</v>
      </c>
      <c r="B2179">
        <v>1</v>
      </c>
      <c r="C2179">
        <v>8</v>
      </c>
    </row>
    <row r="2180" spans="1:3" x14ac:dyDescent="0.3">
      <c r="A2180">
        <v>76003</v>
      </c>
      <c r="B2180">
        <v>1</v>
      </c>
      <c r="C2180">
        <v>8</v>
      </c>
    </row>
    <row r="2181" spans="1:3" x14ac:dyDescent="0.3">
      <c r="A2181">
        <v>76002</v>
      </c>
      <c r="B2181">
        <v>1</v>
      </c>
      <c r="C2181">
        <v>8</v>
      </c>
    </row>
    <row r="2182" spans="1:3" x14ac:dyDescent="0.3">
      <c r="A2182">
        <v>76000</v>
      </c>
      <c r="B2182">
        <v>1</v>
      </c>
      <c r="C2182">
        <v>8</v>
      </c>
    </row>
    <row r="2183" spans="1:3" x14ac:dyDescent="0.3">
      <c r="A2183">
        <v>75848</v>
      </c>
      <c r="B2183">
        <v>1</v>
      </c>
      <c r="C2183">
        <v>8</v>
      </c>
    </row>
    <row r="2184" spans="1:3" x14ac:dyDescent="0.3">
      <c r="A2184">
        <v>75840</v>
      </c>
      <c r="B2184">
        <v>1</v>
      </c>
      <c r="C2184">
        <v>8</v>
      </c>
    </row>
    <row r="2185" spans="1:3" x14ac:dyDescent="0.3">
      <c r="A2185">
        <v>75837</v>
      </c>
      <c r="B2185">
        <v>1</v>
      </c>
      <c r="C2185">
        <v>8</v>
      </c>
    </row>
    <row r="2186" spans="1:3" x14ac:dyDescent="0.3">
      <c r="A2186">
        <v>75833</v>
      </c>
      <c r="B2186">
        <v>1</v>
      </c>
      <c r="C2186">
        <v>8</v>
      </c>
    </row>
    <row r="2187" spans="1:3" x14ac:dyDescent="0.3">
      <c r="A2187">
        <v>75734</v>
      </c>
      <c r="B2187">
        <v>1</v>
      </c>
      <c r="C2187">
        <v>8</v>
      </c>
    </row>
    <row r="2188" spans="1:3" x14ac:dyDescent="0.3">
      <c r="A2188">
        <v>75616</v>
      </c>
      <c r="B2188">
        <v>1</v>
      </c>
      <c r="C2188">
        <v>8</v>
      </c>
    </row>
    <row r="2189" spans="1:3" x14ac:dyDescent="0.3">
      <c r="A2189">
        <v>75615</v>
      </c>
      <c r="B2189">
        <v>1</v>
      </c>
      <c r="C2189">
        <v>8</v>
      </c>
    </row>
    <row r="2190" spans="1:3" x14ac:dyDescent="0.3">
      <c r="A2190">
        <v>75609</v>
      </c>
      <c r="B2190">
        <v>1</v>
      </c>
      <c r="C2190">
        <v>8</v>
      </c>
    </row>
    <row r="2191" spans="1:3" x14ac:dyDescent="0.3">
      <c r="A2191">
        <v>75467</v>
      </c>
      <c r="B2191">
        <v>1</v>
      </c>
      <c r="C2191">
        <v>8</v>
      </c>
    </row>
    <row r="2192" spans="1:3" x14ac:dyDescent="0.3">
      <c r="A2192">
        <v>75446</v>
      </c>
      <c r="B2192">
        <v>1</v>
      </c>
      <c r="C2192">
        <v>8</v>
      </c>
    </row>
    <row r="2193" spans="1:3" x14ac:dyDescent="0.3">
      <c r="A2193">
        <v>75445</v>
      </c>
      <c r="B2193">
        <v>1</v>
      </c>
      <c r="C2193">
        <v>8</v>
      </c>
    </row>
    <row r="2194" spans="1:3" x14ac:dyDescent="0.3">
      <c r="A2194">
        <v>75443</v>
      </c>
      <c r="B2194">
        <v>1</v>
      </c>
      <c r="C2194">
        <v>8</v>
      </c>
    </row>
    <row r="2195" spans="1:3" x14ac:dyDescent="0.3">
      <c r="A2195">
        <v>75407</v>
      </c>
      <c r="B2195">
        <v>1</v>
      </c>
      <c r="C2195">
        <v>8</v>
      </c>
    </row>
    <row r="2196" spans="1:3" x14ac:dyDescent="0.3">
      <c r="A2196">
        <v>75405</v>
      </c>
      <c r="B2196">
        <v>1</v>
      </c>
      <c r="C2196">
        <v>8</v>
      </c>
    </row>
    <row r="2197" spans="1:3" x14ac:dyDescent="0.3">
      <c r="A2197">
        <v>75403</v>
      </c>
      <c r="B2197">
        <v>1</v>
      </c>
      <c r="C2197">
        <v>8</v>
      </c>
    </row>
    <row r="2198" spans="1:3" x14ac:dyDescent="0.3">
      <c r="A2198">
        <v>75396</v>
      </c>
      <c r="B2198">
        <v>1</v>
      </c>
      <c r="C2198">
        <v>8</v>
      </c>
    </row>
    <row r="2199" spans="1:3" x14ac:dyDescent="0.3">
      <c r="A2199">
        <v>75391</v>
      </c>
      <c r="B2199">
        <v>1</v>
      </c>
      <c r="C2199">
        <v>8</v>
      </c>
    </row>
    <row r="2200" spans="1:3" x14ac:dyDescent="0.3">
      <c r="A2200">
        <v>75351</v>
      </c>
      <c r="B2200">
        <v>1</v>
      </c>
      <c r="C2200">
        <v>8</v>
      </c>
    </row>
    <row r="2201" spans="1:3" x14ac:dyDescent="0.3">
      <c r="A2201">
        <v>75350</v>
      </c>
      <c r="B2201">
        <v>1</v>
      </c>
      <c r="C2201">
        <v>8</v>
      </c>
    </row>
    <row r="2202" spans="1:3" x14ac:dyDescent="0.3">
      <c r="A2202">
        <v>75349</v>
      </c>
      <c r="B2202">
        <v>1</v>
      </c>
      <c r="C2202">
        <v>8</v>
      </c>
    </row>
    <row r="2203" spans="1:3" x14ac:dyDescent="0.3">
      <c r="A2203">
        <v>75343</v>
      </c>
      <c r="B2203">
        <v>1</v>
      </c>
      <c r="C2203">
        <v>8</v>
      </c>
    </row>
    <row r="2204" spans="1:3" x14ac:dyDescent="0.3">
      <c r="A2204">
        <v>75329</v>
      </c>
      <c r="B2204">
        <v>1</v>
      </c>
      <c r="C2204">
        <v>8</v>
      </c>
    </row>
    <row r="2205" spans="1:3" x14ac:dyDescent="0.3">
      <c r="A2205">
        <v>75328</v>
      </c>
      <c r="B2205">
        <v>1</v>
      </c>
      <c r="C2205">
        <v>8</v>
      </c>
    </row>
    <row r="2206" spans="1:3" x14ac:dyDescent="0.3">
      <c r="A2206">
        <v>75208</v>
      </c>
      <c r="B2206">
        <v>1</v>
      </c>
      <c r="C2206">
        <v>8</v>
      </c>
    </row>
    <row r="2207" spans="1:3" x14ac:dyDescent="0.3">
      <c r="A2207">
        <v>75197</v>
      </c>
      <c r="B2207">
        <v>1</v>
      </c>
      <c r="C2207">
        <v>8</v>
      </c>
    </row>
    <row r="2208" spans="1:3" x14ac:dyDescent="0.3">
      <c r="A2208">
        <v>75196</v>
      </c>
      <c r="B2208">
        <v>1</v>
      </c>
      <c r="C2208">
        <v>8</v>
      </c>
    </row>
    <row r="2209" spans="1:3" x14ac:dyDescent="0.3">
      <c r="A2209">
        <v>75195</v>
      </c>
      <c r="B2209">
        <v>1</v>
      </c>
      <c r="C2209">
        <v>8</v>
      </c>
    </row>
    <row r="2210" spans="1:3" x14ac:dyDescent="0.3">
      <c r="A2210">
        <v>75194</v>
      </c>
      <c r="B2210">
        <v>1</v>
      </c>
      <c r="C2210">
        <v>8</v>
      </c>
    </row>
    <row r="2211" spans="1:3" x14ac:dyDescent="0.3">
      <c r="A2211">
        <v>75193</v>
      </c>
      <c r="B2211">
        <v>1</v>
      </c>
      <c r="C2211">
        <v>8</v>
      </c>
    </row>
    <row r="2212" spans="1:3" x14ac:dyDescent="0.3">
      <c r="A2212">
        <v>75192</v>
      </c>
      <c r="B2212">
        <v>1</v>
      </c>
      <c r="C2212">
        <v>8</v>
      </c>
    </row>
    <row r="2213" spans="1:3" x14ac:dyDescent="0.3">
      <c r="A2213">
        <v>75135</v>
      </c>
      <c r="B2213">
        <v>1</v>
      </c>
      <c r="C2213">
        <v>8</v>
      </c>
    </row>
    <row r="2214" spans="1:3" x14ac:dyDescent="0.3">
      <c r="A2214">
        <v>75134</v>
      </c>
      <c r="B2214">
        <v>1</v>
      </c>
      <c r="C2214">
        <v>8</v>
      </c>
    </row>
    <row r="2215" spans="1:3" x14ac:dyDescent="0.3">
      <c r="A2215">
        <v>74869</v>
      </c>
      <c r="B2215">
        <v>1</v>
      </c>
      <c r="C2215">
        <v>8</v>
      </c>
    </row>
    <row r="2216" spans="1:3" x14ac:dyDescent="0.3">
      <c r="A2216">
        <v>74780</v>
      </c>
      <c r="B2216">
        <v>1</v>
      </c>
      <c r="C2216">
        <v>8</v>
      </c>
    </row>
    <row r="2217" spans="1:3" x14ac:dyDescent="0.3">
      <c r="A2217">
        <v>74779</v>
      </c>
      <c r="B2217">
        <v>1</v>
      </c>
      <c r="C2217">
        <v>8</v>
      </c>
    </row>
    <row r="2218" spans="1:3" x14ac:dyDescent="0.3">
      <c r="A2218">
        <v>74542</v>
      </c>
      <c r="B2218">
        <v>1</v>
      </c>
      <c r="C2218">
        <v>8</v>
      </c>
    </row>
    <row r="2219" spans="1:3" x14ac:dyDescent="0.3">
      <c r="A2219">
        <v>74541</v>
      </c>
      <c r="B2219">
        <v>1</v>
      </c>
      <c r="C2219">
        <v>8</v>
      </c>
    </row>
    <row r="2220" spans="1:3" x14ac:dyDescent="0.3">
      <c r="A2220">
        <v>74540</v>
      </c>
      <c r="B2220">
        <v>1</v>
      </c>
      <c r="C2220">
        <v>8</v>
      </c>
    </row>
    <row r="2221" spans="1:3" x14ac:dyDescent="0.3">
      <c r="A2221">
        <v>74539</v>
      </c>
      <c r="B2221">
        <v>1</v>
      </c>
      <c r="C2221">
        <v>8</v>
      </c>
    </row>
    <row r="2222" spans="1:3" x14ac:dyDescent="0.3">
      <c r="A2222">
        <v>74493</v>
      </c>
      <c r="B2222">
        <v>1</v>
      </c>
      <c r="C2222">
        <v>8</v>
      </c>
    </row>
    <row r="2223" spans="1:3" x14ac:dyDescent="0.3">
      <c r="A2223">
        <v>74476</v>
      </c>
      <c r="B2223">
        <v>1</v>
      </c>
      <c r="C2223">
        <v>8</v>
      </c>
    </row>
    <row r="2224" spans="1:3" x14ac:dyDescent="0.3">
      <c r="A2224">
        <v>74422</v>
      </c>
      <c r="B2224">
        <v>1</v>
      </c>
      <c r="C2224">
        <v>8</v>
      </c>
    </row>
    <row r="2225" spans="1:3" x14ac:dyDescent="0.3">
      <c r="A2225">
        <v>74421</v>
      </c>
      <c r="B2225">
        <v>1</v>
      </c>
      <c r="C2225">
        <v>8</v>
      </c>
    </row>
    <row r="2226" spans="1:3" x14ac:dyDescent="0.3">
      <c r="A2226">
        <v>74376</v>
      </c>
      <c r="B2226">
        <v>1</v>
      </c>
      <c r="C2226">
        <v>8</v>
      </c>
    </row>
    <row r="2227" spans="1:3" x14ac:dyDescent="0.3">
      <c r="A2227">
        <v>74337</v>
      </c>
      <c r="B2227">
        <v>1</v>
      </c>
      <c r="C2227">
        <v>8</v>
      </c>
    </row>
    <row r="2228" spans="1:3" x14ac:dyDescent="0.3">
      <c r="A2228">
        <v>74336</v>
      </c>
      <c r="B2228">
        <v>1</v>
      </c>
      <c r="C2228">
        <v>8</v>
      </c>
    </row>
    <row r="2229" spans="1:3" x14ac:dyDescent="0.3">
      <c r="A2229">
        <v>74335</v>
      </c>
      <c r="B2229">
        <v>1</v>
      </c>
      <c r="C2229">
        <v>8</v>
      </c>
    </row>
    <row r="2230" spans="1:3" x14ac:dyDescent="0.3">
      <c r="A2230">
        <v>74283</v>
      </c>
      <c r="B2230">
        <v>1</v>
      </c>
      <c r="C2230">
        <v>8</v>
      </c>
    </row>
    <row r="2231" spans="1:3" x14ac:dyDescent="0.3">
      <c r="A2231">
        <v>74282</v>
      </c>
      <c r="B2231">
        <v>1</v>
      </c>
      <c r="C2231">
        <v>8</v>
      </c>
    </row>
    <row r="2232" spans="1:3" x14ac:dyDescent="0.3">
      <c r="A2232">
        <v>74280</v>
      </c>
      <c r="B2232">
        <v>1</v>
      </c>
      <c r="C2232">
        <v>8</v>
      </c>
    </row>
    <row r="2233" spans="1:3" x14ac:dyDescent="0.3">
      <c r="A2233">
        <v>74279</v>
      </c>
      <c r="B2233">
        <v>1</v>
      </c>
      <c r="C2233">
        <v>8</v>
      </c>
    </row>
    <row r="2234" spans="1:3" x14ac:dyDescent="0.3">
      <c r="A2234">
        <v>74278</v>
      </c>
      <c r="B2234">
        <v>1</v>
      </c>
      <c r="C2234">
        <v>8</v>
      </c>
    </row>
    <row r="2235" spans="1:3" x14ac:dyDescent="0.3">
      <c r="A2235">
        <v>74277</v>
      </c>
      <c r="B2235">
        <v>1</v>
      </c>
      <c r="C2235">
        <v>8</v>
      </c>
    </row>
    <row r="2236" spans="1:3" x14ac:dyDescent="0.3">
      <c r="A2236">
        <v>74276</v>
      </c>
      <c r="B2236">
        <v>1</v>
      </c>
      <c r="C2236">
        <v>16</v>
      </c>
    </row>
    <row r="2237" spans="1:3" x14ac:dyDescent="0.3">
      <c r="A2237">
        <v>74275</v>
      </c>
      <c r="B2237">
        <v>1</v>
      </c>
      <c r="C2237">
        <v>8</v>
      </c>
    </row>
    <row r="2238" spans="1:3" x14ac:dyDescent="0.3">
      <c r="A2238">
        <v>74274</v>
      </c>
      <c r="B2238">
        <v>1</v>
      </c>
      <c r="C2238">
        <v>8</v>
      </c>
    </row>
    <row r="2239" spans="1:3" x14ac:dyDescent="0.3">
      <c r="A2239">
        <v>74273</v>
      </c>
      <c r="B2239">
        <v>1</v>
      </c>
      <c r="C2239">
        <v>8</v>
      </c>
    </row>
    <row r="2240" spans="1:3" x14ac:dyDescent="0.3">
      <c r="A2240">
        <v>73340</v>
      </c>
      <c r="B2240">
        <v>1</v>
      </c>
      <c r="C2240">
        <v>8</v>
      </c>
    </row>
    <row r="2241" spans="1:3" x14ac:dyDescent="0.3">
      <c r="A2241">
        <v>73339</v>
      </c>
      <c r="B2241">
        <v>1</v>
      </c>
      <c r="C2241">
        <v>8</v>
      </c>
    </row>
    <row r="2242" spans="1:3" x14ac:dyDescent="0.3">
      <c r="A2242">
        <v>73215</v>
      </c>
      <c r="B2242">
        <v>1</v>
      </c>
      <c r="C2242">
        <v>8</v>
      </c>
    </row>
    <row r="2243" spans="1:3" x14ac:dyDescent="0.3">
      <c r="A2243">
        <v>73175</v>
      </c>
      <c r="B2243">
        <v>1</v>
      </c>
      <c r="C2243">
        <v>8</v>
      </c>
    </row>
    <row r="2244" spans="1:3" x14ac:dyDescent="0.3">
      <c r="A2244">
        <v>72905</v>
      </c>
      <c r="B2244">
        <v>1</v>
      </c>
      <c r="C2244">
        <v>8</v>
      </c>
    </row>
    <row r="2245" spans="1:3" x14ac:dyDescent="0.3">
      <c r="A2245">
        <v>72904</v>
      </c>
      <c r="B2245">
        <v>1</v>
      </c>
      <c r="C2245">
        <v>8</v>
      </c>
    </row>
    <row r="2246" spans="1:3" x14ac:dyDescent="0.3">
      <c r="A2246">
        <v>72722</v>
      </c>
      <c r="B2246">
        <v>1</v>
      </c>
      <c r="C2246">
        <v>8</v>
      </c>
    </row>
    <row r="2247" spans="1:3" x14ac:dyDescent="0.3">
      <c r="A2247">
        <v>72721</v>
      </c>
      <c r="B2247">
        <v>1</v>
      </c>
      <c r="C2247">
        <v>8</v>
      </c>
    </row>
    <row r="2248" spans="1:3" x14ac:dyDescent="0.3">
      <c r="A2248">
        <v>72720</v>
      </c>
      <c r="B2248">
        <v>1</v>
      </c>
      <c r="C2248">
        <v>8</v>
      </c>
    </row>
    <row r="2249" spans="1:3" x14ac:dyDescent="0.3">
      <c r="A2249">
        <v>72615</v>
      </c>
      <c r="B2249">
        <v>1</v>
      </c>
      <c r="C2249">
        <v>8</v>
      </c>
    </row>
    <row r="2250" spans="1:3" x14ac:dyDescent="0.3">
      <c r="A2250">
        <v>72614</v>
      </c>
      <c r="B2250">
        <v>1</v>
      </c>
      <c r="C2250">
        <v>8</v>
      </c>
    </row>
    <row r="2251" spans="1:3" x14ac:dyDescent="0.3">
      <c r="A2251">
        <v>72613</v>
      </c>
      <c r="B2251">
        <v>1</v>
      </c>
      <c r="C2251">
        <v>8</v>
      </c>
    </row>
    <row r="2252" spans="1:3" x14ac:dyDescent="0.3">
      <c r="A2252">
        <v>72611</v>
      </c>
      <c r="B2252">
        <v>1</v>
      </c>
      <c r="C2252">
        <v>8</v>
      </c>
    </row>
    <row r="2253" spans="1:3" x14ac:dyDescent="0.3">
      <c r="A2253">
        <v>72060</v>
      </c>
      <c r="B2253">
        <v>1</v>
      </c>
      <c r="C2253">
        <v>8</v>
      </c>
    </row>
    <row r="2254" spans="1:3" x14ac:dyDescent="0.3">
      <c r="A2254">
        <v>72059</v>
      </c>
      <c r="B2254">
        <v>1</v>
      </c>
      <c r="C2254">
        <v>8</v>
      </c>
    </row>
    <row r="2255" spans="1:3" x14ac:dyDescent="0.3">
      <c r="A2255">
        <v>71924</v>
      </c>
      <c r="B2255">
        <v>1</v>
      </c>
      <c r="C2255">
        <v>8</v>
      </c>
    </row>
    <row r="2256" spans="1:3" x14ac:dyDescent="0.3">
      <c r="A2256">
        <v>71833</v>
      </c>
      <c r="B2256">
        <v>1</v>
      </c>
      <c r="C2256">
        <v>8</v>
      </c>
    </row>
    <row r="2257" spans="1:3" x14ac:dyDescent="0.3">
      <c r="A2257">
        <v>71832</v>
      </c>
      <c r="B2257">
        <v>1</v>
      </c>
      <c r="C2257">
        <v>8</v>
      </c>
    </row>
    <row r="2258" spans="1:3" x14ac:dyDescent="0.3">
      <c r="A2258">
        <v>71678</v>
      </c>
      <c r="B2258">
        <v>1</v>
      </c>
      <c r="C2258">
        <v>8</v>
      </c>
    </row>
    <row r="2259" spans="1:3" x14ac:dyDescent="0.3">
      <c r="A2259">
        <v>71618</v>
      </c>
      <c r="B2259">
        <v>1</v>
      </c>
      <c r="C2259">
        <v>8</v>
      </c>
    </row>
    <row r="2260" spans="1:3" x14ac:dyDescent="0.3">
      <c r="A2260">
        <v>71616</v>
      </c>
      <c r="B2260">
        <v>1</v>
      </c>
      <c r="C2260">
        <v>8</v>
      </c>
    </row>
    <row r="2261" spans="1:3" x14ac:dyDescent="0.3">
      <c r="A2261">
        <v>71612</v>
      </c>
      <c r="B2261">
        <v>1</v>
      </c>
      <c r="C2261">
        <v>8</v>
      </c>
    </row>
    <row r="2262" spans="1:3" x14ac:dyDescent="0.3">
      <c r="A2262">
        <v>71611</v>
      </c>
      <c r="B2262">
        <v>1</v>
      </c>
      <c r="C2262">
        <v>8</v>
      </c>
    </row>
    <row r="2263" spans="1:3" x14ac:dyDescent="0.3">
      <c r="A2263">
        <v>71610</v>
      </c>
      <c r="B2263">
        <v>1</v>
      </c>
      <c r="C2263">
        <v>8</v>
      </c>
    </row>
    <row r="2264" spans="1:3" x14ac:dyDescent="0.3">
      <c r="A2264">
        <v>71540</v>
      </c>
      <c r="B2264">
        <v>1</v>
      </c>
      <c r="C2264">
        <v>8</v>
      </c>
    </row>
    <row r="2265" spans="1:3" x14ac:dyDescent="0.3">
      <c r="A2265">
        <v>71335</v>
      </c>
      <c r="B2265">
        <v>1</v>
      </c>
      <c r="C2265">
        <v>8</v>
      </c>
    </row>
    <row r="2266" spans="1:3" x14ac:dyDescent="0.3">
      <c r="A2266">
        <v>71222</v>
      </c>
      <c r="B2266">
        <v>1</v>
      </c>
      <c r="C2266">
        <v>8</v>
      </c>
    </row>
    <row r="2267" spans="1:3" x14ac:dyDescent="0.3">
      <c r="A2267">
        <v>71221</v>
      </c>
      <c r="B2267">
        <v>1</v>
      </c>
      <c r="C2267">
        <v>8</v>
      </c>
    </row>
    <row r="2268" spans="1:3" x14ac:dyDescent="0.3">
      <c r="A2268">
        <v>71129</v>
      </c>
      <c r="B2268">
        <v>1</v>
      </c>
      <c r="C2268">
        <v>8</v>
      </c>
    </row>
    <row r="2269" spans="1:3" x14ac:dyDescent="0.3">
      <c r="A2269">
        <v>70655</v>
      </c>
      <c r="B2269">
        <v>1</v>
      </c>
      <c r="C2269">
        <v>8</v>
      </c>
    </row>
    <row r="2270" spans="1:3" x14ac:dyDescent="0.3">
      <c r="A2270">
        <v>70654</v>
      </c>
      <c r="B2270">
        <v>1</v>
      </c>
      <c r="C2270">
        <v>8</v>
      </c>
    </row>
    <row r="2271" spans="1:3" x14ac:dyDescent="0.3">
      <c r="A2271">
        <v>70652</v>
      </c>
      <c r="B2271">
        <v>1</v>
      </c>
      <c r="C2271">
        <v>8</v>
      </c>
    </row>
    <row r="2272" spans="1:3" x14ac:dyDescent="0.3">
      <c r="A2272">
        <v>70520</v>
      </c>
      <c r="B2272">
        <v>1</v>
      </c>
      <c r="C2272">
        <v>8</v>
      </c>
    </row>
    <row r="2273" spans="1:3" x14ac:dyDescent="0.3">
      <c r="A2273">
        <v>70284</v>
      </c>
      <c r="B2273">
        <v>1</v>
      </c>
      <c r="C2273">
        <v>8</v>
      </c>
    </row>
    <row r="2274" spans="1:3" x14ac:dyDescent="0.3">
      <c r="A2274">
        <v>70230</v>
      </c>
      <c r="B2274">
        <v>1</v>
      </c>
      <c r="C2274">
        <v>8</v>
      </c>
    </row>
    <row r="2275" spans="1:3" x14ac:dyDescent="0.3">
      <c r="A2275">
        <v>70229</v>
      </c>
      <c r="B2275">
        <v>1</v>
      </c>
      <c r="C2275">
        <v>8</v>
      </c>
    </row>
    <row r="2276" spans="1:3" x14ac:dyDescent="0.3">
      <c r="A2276">
        <v>70228</v>
      </c>
      <c r="B2276">
        <v>1</v>
      </c>
      <c r="C2276">
        <v>8</v>
      </c>
    </row>
    <row r="2277" spans="1:3" x14ac:dyDescent="0.3">
      <c r="A2277">
        <v>70183</v>
      </c>
      <c r="B2277">
        <v>1</v>
      </c>
      <c r="C2277">
        <v>8</v>
      </c>
    </row>
    <row r="2278" spans="1:3" x14ac:dyDescent="0.3">
      <c r="A2278">
        <v>69909</v>
      </c>
      <c r="B2278">
        <v>1</v>
      </c>
      <c r="C2278">
        <v>8</v>
      </c>
    </row>
    <row r="2279" spans="1:3" x14ac:dyDescent="0.3">
      <c r="A2279">
        <v>69908</v>
      </c>
      <c r="B2279">
        <v>1</v>
      </c>
      <c r="C2279">
        <v>8</v>
      </c>
    </row>
    <row r="2280" spans="1:3" x14ac:dyDescent="0.3">
      <c r="A2280">
        <v>69433</v>
      </c>
      <c r="B2280">
        <v>1</v>
      </c>
      <c r="C2280">
        <v>8</v>
      </c>
    </row>
    <row r="2281" spans="1:3" x14ac:dyDescent="0.3">
      <c r="A2281">
        <v>69335</v>
      </c>
      <c r="B2281">
        <v>1</v>
      </c>
      <c r="C2281">
        <v>8</v>
      </c>
    </row>
    <row r="2282" spans="1:3" x14ac:dyDescent="0.3">
      <c r="A2282">
        <v>69231</v>
      </c>
      <c r="B2282">
        <v>1</v>
      </c>
      <c r="C2282">
        <v>8</v>
      </c>
    </row>
    <row r="2283" spans="1:3" x14ac:dyDescent="0.3">
      <c r="A2283">
        <v>69177</v>
      </c>
      <c r="B2283">
        <v>1</v>
      </c>
      <c r="C2283">
        <v>8</v>
      </c>
    </row>
    <row r="2284" spans="1:3" x14ac:dyDescent="0.3">
      <c r="A2284">
        <v>69176</v>
      </c>
      <c r="B2284">
        <v>1</v>
      </c>
      <c r="C2284">
        <v>8</v>
      </c>
    </row>
    <row r="2285" spans="1:3" x14ac:dyDescent="0.3">
      <c r="A2285">
        <v>68531</v>
      </c>
      <c r="B2285">
        <v>1</v>
      </c>
      <c r="C2285">
        <v>8</v>
      </c>
    </row>
    <row r="2286" spans="1:3" x14ac:dyDescent="0.3">
      <c r="A2286">
        <v>68384</v>
      </c>
      <c r="B2286">
        <v>1</v>
      </c>
      <c r="C2286">
        <v>8</v>
      </c>
    </row>
    <row r="2287" spans="1:3" x14ac:dyDescent="0.3">
      <c r="A2287">
        <v>68383</v>
      </c>
      <c r="B2287">
        <v>1</v>
      </c>
      <c r="C2287">
        <v>8</v>
      </c>
    </row>
    <row r="2288" spans="1:3" x14ac:dyDescent="0.3">
      <c r="A2288">
        <v>68382</v>
      </c>
      <c r="B2288">
        <v>1</v>
      </c>
      <c r="C2288">
        <v>16</v>
      </c>
    </row>
    <row r="2289" spans="1:3" x14ac:dyDescent="0.3">
      <c r="A2289">
        <v>68066</v>
      </c>
      <c r="B2289">
        <v>1</v>
      </c>
      <c r="C2289">
        <v>8</v>
      </c>
    </row>
    <row r="2290" spans="1:3" x14ac:dyDescent="0.3">
      <c r="A2290">
        <v>68001</v>
      </c>
      <c r="B2290">
        <v>1</v>
      </c>
      <c r="C2290">
        <v>8</v>
      </c>
    </row>
    <row r="2291" spans="1:3" x14ac:dyDescent="0.3">
      <c r="A2291">
        <v>67824</v>
      </c>
      <c r="B2291">
        <v>1</v>
      </c>
      <c r="C2291">
        <v>8</v>
      </c>
    </row>
    <row r="2292" spans="1:3" x14ac:dyDescent="0.3">
      <c r="A2292">
        <v>67823</v>
      </c>
      <c r="B2292">
        <v>1</v>
      </c>
      <c r="C2292">
        <v>8</v>
      </c>
    </row>
    <row r="2293" spans="1:3" x14ac:dyDescent="0.3">
      <c r="A2293">
        <v>67822</v>
      </c>
      <c r="B2293">
        <v>1</v>
      </c>
      <c r="C2293">
        <v>8</v>
      </c>
    </row>
    <row r="2294" spans="1:3" x14ac:dyDescent="0.3">
      <c r="A2294">
        <v>67821</v>
      </c>
      <c r="B2294">
        <v>1</v>
      </c>
      <c r="C2294">
        <v>8</v>
      </c>
    </row>
    <row r="2295" spans="1:3" x14ac:dyDescent="0.3">
      <c r="A2295">
        <v>67768</v>
      </c>
      <c r="B2295">
        <v>1</v>
      </c>
      <c r="C2295">
        <v>8</v>
      </c>
    </row>
    <row r="2296" spans="1:3" x14ac:dyDescent="0.3">
      <c r="A2296">
        <v>67484</v>
      </c>
      <c r="B2296">
        <v>1</v>
      </c>
      <c r="C2296">
        <v>8</v>
      </c>
    </row>
    <row r="2297" spans="1:3" x14ac:dyDescent="0.3">
      <c r="A2297">
        <v>67132</v>
      </c>
      <c r="B2297">
        <v>1</v>
      </c>
      <c r="C2297">
        <v>8</v>
      </c>
    </row>
    <row r="2298" spans="1:3" x14ac:dyDescent="0.3">
      <c r="A2298">
        <v>66926</v>
      </c>
      <c r="B2298">
        <v>1</v>
      </c>
      <c r="C2298">
        <v>8</v>
      </c>
    </row>
    <row r="2299" spans="1:3" x14ac:dyDescent="0.3">
      <c r="A2299">
        <v>66925</v>
      </c>
      <c r="B2299">
        <v>1</v>
      </c>
      <c r="C2299">
        <v>16</v>
      </c>
    </row>
    <row r="2300" spans="1:3" x14ac:dyDescent="0.3">
      <c r="A2300">
        <v>66576</v>
      </c>
      <c r="B2300">
        <v>1</v>
      </c>
      <c r="C2300">
        <v>8</v>
      </c>
    </row>
    <row r="2301" spans="1:3" x14ac:dyDescent="0.3">
      <c r="A2301">
        <v>66489</v>
      </c>
      <c r="B2301">
        <v>1</v>
      </c>
      <c r="C2301">
        <v>8</v>
      </c>
    </row>
    <row r="2302" spans="1:3" x14ac:dyDescent="0.3">
      <c r="A2302">
        <v>66488</v>
      </c>
      <c r="B2302">
        <v>1</v>
      </c>
      <c r="C2302">
        <v>8</v>
      </c>
    </row>
    <row r="2303" spans="1:3" x14ac:dyDescent="0.3">
      <c r="A2303">
        <v>66092</v>
      </c>
      <c r="B2303">
        <v>1</v>
      </c>
      <c r="C2303">
        <v>8</v>
      </c>
    </row>
    <row r="2304" spans="1:3" x14ac:dyDescent="0.3">
      <c r="A2304">
        <v>65897</v>
      </c>
      <c r="B2304">
        <v>1</v>
      </c>
      <c r="C2304">
        <v>8</v>
      </c>
    </row>
    <row r="2305" spans="1:3" x14ac:dyDescent="0.3">
      <c r="A2305">
        <v>65896</v>
      </c>
      <c r="B2305">
        <v>1</v>
      </c>
      <c r="C2305">
        <v>8</v>
      </c>
    </row>
    <row r="2306" spans="1:3" x14ac:dyDescent="0.3">
      <c r="A2306">
        <v>65688</v>
      </c>
      <c r="B2306">
        <v>1</v>
      </c>
      <c r="C2306">
        <v>8</v>
      </c>
    </row>
    <row r="2307" spans="1:3" x14ac:dyDescent="0.3">
      <c r="A2307">
        <v>65618</v>
      </c>
      <c r="B2307">
        <v>1</v>
      </c>
      <c r="C2307">
        <v>8</v>
      </c>
    </row>
    <row r="2308" spans="1:3" x14ac:dyDescent="0.3">
      <c r="A2308">
        <v>65617</v>
      </c>
      <c r="B2308">
        <v>1</v>
      </c>
      <c r="C2308">
        <v>8</v>
      </c>
    </row>
    <row r="2309" spans="1:3" x14ac:dyDescent="0.3">
      <c r="A2309">
        <v>65616</v>
      </c>
      <c r="B2309">
        <v>1</v>
      </c>
      <c r="C2309">
        <v>8</v>
      </c>
    </row>
    <row r="2310" spans="1:3" x14ac:dyDescent="0.3">
      <c r="A2310">
        <v>65494</v>
      </c>
      <c r="B2310">
        <v>1</v>
      </c>
      <c r="C2310">
        <v>8</v>
      </c>
    </row>
    <row r="2311" spans="1:3" x14ac:dyDescent="0.3">
      <c r="A2311">
        <v>65493</v>
      </c>
      <c r="B2311">
        <v>1</v>
      </c>
      <c r="C2311">
        <v>8</v>
      </c>
    </row>
    <row r="2312" spans="1:3" x14ac:dyDescent="0.3">
      <c r="A2312">
        <v>65492</v>
      </c>
      <c r="B2312">
        <v>1</v>
      </c>
      <c r="C2312">
        <v>8</v>
      </c>
    </row>
    <row r="2313" spans="1:3" x14ac:dyDescent="0.3">
      <c r="A2313">
        <v>65491</v>
      </c>
      <c r="B2313">
        <v>1</v>
      </c>
      <c r="C2313">
        <v>8</v>
      </c>
    </row>
    <row r="2314" spans="1:3" x14ac:dyDescent="0.3">
      <c r="A2314">
        <v>65490</v>
      </c>
      <c r="B2314">
        <v>1</v>
      </c>
      <c r="C2314">
        <v>8</v>
      </c>
    </row>
    <row r="2315" spans="1:3" x14ac:dyDescent="0.3">
      <c r="A2315">
        <v>65384</v>
      </c>
      <c r="B2315">
        <v>1</v>
      </c>
      <c r="C2315">
        <v>8</v>
      </c>
    </row>
    <row r="2316" spans="1:3" x14ac:dyDescent="0.3">
      <c r="A2316">
        <v>65382</v>
      </c>
      <c r="B2316">
        <v>1</v>
      </c>
      <c r="C2316">
        <v>8</v>
      </c>
    </row>
    <row r="2317" spans="1:3" x14ac:dyDescent="0.3">
      <c r="A2317">
        <v>65259</v>
      </c>
      <c r="B2317">
        <v>1</v>
      </c>
      <c r="C2317">
        <v>8</v>
      </c>
    </row>
    <row r="2318" spans="1:3" x14ac:dyDescent="0.3">
      <c r="A2318">
        <v>65258</v>
      </c>
      <c r="B2318">
        <v>1</v>
      </c>
      <c r="C2318">
        <v>8</v>
      </c>
    </row>
    <row r="2319" spans="1:3" x14ac:dyDescent="0.3">
      <c r="A2319">
        <v>65062</v>
      </c>
      <c r="B2319">
        <v>1</v>
      </c>
      <c r="C2319">
        <v>8</v>
      </c>
    </row>
    <row r="2320" spans="1:3" x14ac:dyDescent="0.3">
      <c r="A2320">
        <v>64903</v>
      </c>
      <c r="B2320">
        <v>1</v>
      </c>
      <c r="C2320">
        <v>8</v>
      </c>
    </row>
    <row r="2321" spans="1:3" x14ac:dyDescent="0.3">
      <c r="A2321">
        <v>64847</v>
      </c>
      <c r="B2321">
        <v>1</v>
      </c>
      <c r="C2321">
        <v>8</v>
      </c>
    </row>
    <row r="2322" spans="1:3" x14ac:dyDescent="0.3">
      <c r="A2322">
        <v>64791</v>
      </c>
      <c r="B2322">
        <v>1</v>
      </c>
      <c r="C2322">
        <v>8</v>
      </c>
    </row>
    <row r="2323" spans="1:3" x14ac:dyDescent="0.3">
      <c r="A2323">
        <v>64787</v>
      </c>
      <c r="B2323">
        <v>1</v>
      </c>
      <c r="C2323">
        <v>8</v>
      </c>
    </row>
    <row r="2324" spans="1:3" x14ac:dyDescent="0.3">
      <c r="A2324">
        <v>64725</v>
      </c>
      <c r="B2324">
        <v>1</v>
      </c>
      <c r="C2324">
        <v>16</v>
      </c>
    </row>
    <row r="2325" spans="1:3" x14ac:dyDescent="0.3">
      <c r="A2325">
        <v>64290</v>
      </c>
      <c r="B2325">
        <v>1</v>
      </c>
      <c r="C2325">
        <v>8</v>
      </c>
    </row>
    <row r="2326" spans="1:3" x14ac:dyDescent="0.3">
      <c r="A2326">
        <v>64170</v>
      </c>
      <c r="B2326">
        <v>1</v>
      </c>
      <c r="C2326">
        <v>8</v>
      </c>
    </row>
    <row r="2327" spans="1:3" x14ac:dyDescent="0.3">
      <c r="A2327">
        <v>64169</v>
      </c>
      <c r="B2327">
        <v>1</v>
      </c>
      <c r="C2327">
        <v>8</v>
      </c>
    </row>
    <row r="2328" spans="1:3" x14ac:dyDescent="0.3">
      <c r="A2328">
        <v>63958</v>
      </c>
      <c r="B2328">
        <v>1</v>
      </c>
      <c r="C2328">
        <v>8</v>
      </c>
    </row>
    <row r="2329" spans="1:3" x14ac:dyDescent="0.3">
      <c r="A2329">
        <v>63931</v>
      </c>
      <c r="B2329">
        <v>1</v>
      </c>
      <c r="C2329">
        <v>8</v>
      </c>
    </row>
    <row r="2330" spans="1:3" x14ac:dyDescent="0.3">
      <c r="A2330">
        <v>63803</v>
      </c>
      <c r="B2330">
        <v>1</v>
      </c>
      <c r="C2330">
        <v>8</v>
      </c>
    </row>
    <row r="2331" spans="1:3" x14ac:dyDescent="0.3">
      <c r="A2331">
        <v>63457</v>
      </c>
      <c r="B2331">
        <v>1</v>
      </c>
      <c r="C2331">
        <v>8</v>
      </c>
    </row>
    <row r="2332" spans="1:3" x14ac:dyDescent="0.3">
      <c r="A2332">
        <v>63373</v>
      </c>
      <c r="B2332">
        <v>1</v>
      </c>
      <c r="C2332">
        <v>8</v>
      </c>
    </row>
    <row r="2333" spans="1:3" x14ac:dyDescent="0.3">
      <c r="A2333">
        <v>63293</v>
      </c>
      <c r="B2333">
        <v>1</v>
      </c>
      <c r="C2333">
        <v>8</v>
      </c>
    </row>
    <row r="2334" spans="1:3" x14ac:dyDescent="0.3">
      <c r="A2334">
        <v>62952</v>
      </c>
      <c r="B2334">
        <v>1</v>
      </c>
      <c r="C2334">
        <v>8</v>
      </c>
    </row>
    <row r="2335" spans="1:3" x14ac:dyDescent="0.3">
      <c r="A2335">
        <v>62896</v>
      </c>
      <c r="B2335">
        <v>1</v>
      </c>
      <c r="C2335">
        <v>8</v>
      </c>
    </row>
    <row r="2336" spans="1:3" x14ac:dyDescent="0.3">
      <c r="A2336">
        <v>62698</v>
      </c>
      <c r="B2336">
        <v>1</v>
      </c>
      <c r="C2336">
        <v>8</v>
      </c>
    </row>
    <row r="2337" spans="1:3" x14ac:dyDescent="0.3">
      <c r="A2337">
        <v>62624</v>
      </c>
      <c r="B2337">
        <v>1</v>
      </c>
      <c r="C2337">
        <v>8</v>
      </c>
    </row>
    <row r="2338" spans="1:3" x14ac:dyDescent="0.3">
      <c r="A2338">
        <v>62337</v>
      </c>
      <c r="B2338">
        <v>1</v>
      </c>
      <c r="C2338">
        <v>8</v>
      </c>
    </row>
    <row r="2339" spans="1:3" x14ac:dyDescent="0.3">
      <c r="A2339">
        <v>61224</v>
      </c>
      <c r="B2339">
        <v>1</v>
      </c>
      <c r="C2339">
        <v>8</v>
      </c>
    </row>
    <row r="2340" spans="1:3" x14ac:dyDescent="0.3">
      <c r="A2340">
        <v>60950</v>
      </c>
      <c r="B2340">
        <v>1</v>
      </c>
      <c r="C2340">
        <v>16</v>
      </c>
    </row>
    <row r="2341" spans="1:3" x14ac:dyDescent="0.3">
      <c r="A2341">
        <v>60853</v>
      </c>
      <c r="B2341">
        <v>1</v>
      </c>
      <c r="C2341">
        <v>8</v>
      </c>
    </row>
    <row r="2342" spans="1:3" x14ac:dyDescent="0.3">
      <c r="A2342">
        <v>60852</v>
      </c>
      <c r="B2342">
        <v>1</v>
      </c>
      <c r="C2342">
        <v>8</v>
      </c>
    </row>
    <row r="2343" spans="1:3" x14ac:dyDescent="0.3">
      <c r="A2343">
        <v>60494</v>
      </c>
      <c r="B2343">
        <v>1</v>
      </c>
      <c r="C2343">
        <v>8</v>
      </c>
    </row>
    <row r="2344" spans="1:3" x14ac:dyDescent="0.3">
      <c r="A2344">
        <v>60493</v>
      </c>
      <c r="B2344">
        <v>1</v>
      </c>
      <c r="C2344">
        <v>16</v>
      </c>
    </row>
    <row r="2345" spans="1:3" x14ac:dyDescent="0.3">
      <c r="A2345">
        <v>60492</v>
      </c>
      <c r="B2345">
        <v>1</v>
      </c>
      <c r="C2345">
        <v>8</v>
      </c>
    </row>
    <row r="2346" spans="1:3" x14ac:dyDescent="0.3">
      <c r="A2346">
        <v>60491</v>
      </c>
      <c r="B2346">
        <v>1</v>
      </c>
      <c r="C2346">
        <v>8</v>
      </c>
    </row>
    <row r="2347" spans="1:3" x14ac:dyDescent="0.3">
      <c r="A2347">
        <v>60490</v>
      </c>
      <c r="B2347">
        <v>1</v>
      </c>
      <c r="C2347">
        <v>8</v>
      </c>
    </row>
    <row r="2348" spans="1:3" x14ac:dyDescent="0.3">
      <c r="A2348">
        <v>60489</v>
      </c>
      <c r="B2348">
        <v>1</v>
      </c>
      <c r="C2348">
        <v>8</v>
      </c>
    </row>
    <row r="2349" spans="1:3" x14ac:dyDescent="0.3">
      <c r="A2349">
        <v>60488</v>
      </c>
      <c r="B2349">
        <v>1</v>
      </c>
      <c r="C2349">
        <v>8</v>
      </c>
    </row>
    <row r="2350" spans="1:3" x14ac:dyDescent="0.3">
      <c r="A2350">
        <v>60487</v>
      </c>
      <c r="B2350">
        <v>1</v>
      </c>
      <c r="C2350">
        <v>8</v>
      </c>
    </row>
    <row r="2351" spans="1:3" x14ac:dyDescent="0.3">
      <c r="A2351">
        <v>60379</v>
      </c>
      <c r="B2351">
        <v>1</v>
      </c>
      <c r="C2351">
        <v>8</v>
      </c>
    </row>
    <row r="2352" spans="1:3" x14ac:dyDescent="0.3">
      <c r="A2352">
        <v>60344</v>
      </c>
      <c r="B2352">
        <v>1</v>
      </c>
      <c r="C2352">
        <v>8</v>
      </c>
    </row>
    <row r="2353" spans="1:3" x14ac:dyDescent="0.3">
      <c r="A2353">
        <v>60343</v>
      </c>
      <c r="B2353">
        <v>1</v>
      </c>
      <c r="C2353">
        <v>8</v>
      </c>
    </row>
    <row r="2354" spans="1:3" x14ac:dyDescent="0.3">
      <c r="A2354">
        <v>60340</v>
      </c>
      <c r="B2354">
        <v>1</v>
      </c>
      <c r="C2354">
        <v>8</v>
      </c>
    </row>
    <row r="2355" spans="1:3" x14ac:dyDescent="0.3">
      <c r="A2355">
        <v>60338</v>
      </c>
      <c r="B2355">
        <v>1</v>
      </c>
      <c r="C2355">
        <v>8</v>
      </c>
    </row>
    <row r="2356" spans="1:3" x14ac:dyDescent="0.3">
      <c r="A2356">
        <v>60337</v>
      </c>
      <c r="B2356">
        <v>1</v>
      </c>
      <c r="C2356">
        <v>8</v>
      </c>
    </row>
    <row r="2357" spans="1:3" x14ac:dyDescent="0.3">
      <c r="A2357">
        <v>59643</v>
      </c>
      <c r="B2357">
        <v>1</v>
      </c>
      <c r="C2357">
        <v>8</v>
      </c>
    </row>
    <row r="2358" spans="1:3" x14ac:dyDescent="0.3">
      <c r="A2358">
        <v>59247</v>
      </c>
      <c r="B2358">
        <v>1</v>
      </c>
      <c r="C2358">
        <v>8</v>
      </c>
    </row>
    <row r="2359" spans="1:3" x14ac:dyDescent="0.3">
      <c r="A2359">
        <v>59163</v>
      </c>
      <c r="B2359">
        <v>1</v>
      </c>
      <c r="C2359">
        <v>8</v>
      </c>
    </row>
    <row r="2360" spans="1:3" x14ac:dyDescent="0.3">
      <c r="A2360">
        <v>59161</v>
      </c>
      <c r="B2360">
        <v>1</v>
      </c>
      <c r="C2360">
        <v>8</v>
      </c>
    </row>
    <row r="2361" spans="1:3" x14ac:dyDescent="0.3">
      <c r="A2361">
        <v>58927</v>
      </c>
      <c r="B2361">
        <v>1</v>
      </c>
      <c r="C2361">
        <v>8</v>
      </c>
    </row>
    <row r="2362" spans="1:3" x14ac:dyDescent="0.3">
      <c r="A2362">
        <v>58926</v>
      </c>
      <c r="B2362">
        <v>1</v>
      </c>
      <c r="C2362">
        <v>8</v>
      </c>
    </row>
    <row r="2363" spans="1:3" x14ac:dyDescent="0.3">
      <c r="A2363">
        <v>58925</v>
      </c>
      <c r="B2363">
        <v>1</v>
      </c>
      <c r="C2363">
        <v>8</v>
      </c>
    </row>
    <row r="2364" spans="1:3" x14ac:dyDescent="0.3">
      <c r="A2364">
        <v>58924</v>
      </c>
      <c r="B2364">
        <v>1</v>
      </c>
      <c r="C2364">
        <v>8</v>
      </c>
    </row>
    <row r="2365" spans="1:3" x14ac:dyDescent="0.3">
      <c r="A2365">
        <v>58678</v>
      </c>
      <c r="B2365">
        <v>1</v>
      </c>
      <c r="C2365">
        <v>8</v>
      </c>
    </row>
    <row r="2366" spans="1:3" x14ac:dyDescent="0.3">
      <c r="A2366">
        <v>58548</v>
      </c>
      <c r="B2366">
        <v>1</v>
      </c>
      <c r="C2366">
        <v>8</v>
      </c>
    </row>
    <row r="2367" spans="1:3" x14ac:dyDescent="0.3">
      <c r="A2367">
        <v>58546</v>
      </c>
      <c r="B2367">
        <v>1</v>
      </c>
      <c r="C2367">
        <v>8</v>
      </c>
    </row>
    <row r="2368" spans="1:3" x14ac:dyDescent="0.3">
      <c r="A2368">
        <v>58343</v>
      </c>
      <c r="B2368">
        <v>1</v>
      </c>
      <c r="C2368">
        <v>8</v>
      </c>
    </row>
    <row r="2369" spans="1:3" x14ac:dyDescent="0.3">
      <c r="A2369">
        <v>57801</v>
      </c>
      <c r="B2369">
        <v>1</v>
      </c>
      <c r="C2369">
        <v>8</v>
      </c>
    </row>
    <row r="2370" spans="1:3" x14ac:dyDescent="0.3">
      <c r="A2370">
        <v>57800</v>
      </c>
      <c r="B2370">
        <v>1</v>
      </c>
      <c r="C2370">
        <v>8</v>
      </c>
    </row>
    <row r="2371" spans="1:3" x14ac:dyDescent="0.3">
      <c r="A2371">
        <v>57798</v>
      </c>
      <c r="B2371">
        <v>1</v>
      </c>
      <c r="C2371">
        <v>16</v>
      </c>
    </row>
    <row r="2372" spans="1:3" x14ac:dyDescent="0.3">
      <c r="A2372">
        <v>57553</v>
      </c>
      <c r="B2372">
        <v>1</v>
      </c>
      <c r="C2372">
        <v>8</v>
      </c>
    </row>
    <row r="2373" spans="1:3" x14ac:dyDescent="0.3">
      <c r="A2373">
        <v>57385</v>
      </c>
      <c r="B2373">
        <v>1</v>
      </c>
      <c r="C2373">
        <v>8</v>
      </c>
    </row>
    <row r="2374" spans="1:3" x14ac:dyDescent="0.3">
      <c r="A2374">
        <v>57276</v>
      </c>
      <c r="B2374">
        <v>1</v>
      </c>
      <c r="C2374">
        <v>16</v>
      </c>
    </row>
    <row r="2375" spans="1:3" x14ac:dyDescent="0.3">
      <c r="A2375">
        <v>57275</v>
      </c>
      <c r="B2375">
        <v>1</v>
      </c>
      <c r="C2375">
        <v>16</v>
      </c>
    </row>
    <row r="2376" spans="1:3" x14ac:dyDescent="0.3">
      <c r="A2376">
        <v>57274</v>
      </c>
      <c r="B2376">
        <v>1</v>
      </c>
      <c r="C2376">
        <v>8</v>
      </c>
    </row>
    <row r="2377" spans="1:3" x14ac:dyDescent="0.3">
      <c r="A2377">
        <v>57130</v>
      </c>
      <c r="B2377">
        <v>1</v>
      </c>
      <c r="C2377">
        <v>8</v>
      </c>
    </row>
    <row r="2378" spans="1:3" x14ac:dyDescent="0.3">
      <c r="A2378">
        <v>56733</v>
      </c>
      <c r="B2378">
        <v>1</v>
      </c>
      <c r="C2378">
        <v>8</v>
      </c>
    </row>
    <row r="2379" spans="1:3" x14ac:dyDescent="0.3">
      <c r="A2379">
        <v>56122</v>
      </c>
      <c r="B2379">
        <v>1</v>
      </c>
      <c r="C2379">
        <v>8</v>
      </c>
    </row>
    <row r="2380" spans="1:3" x14ac:dyDescent="0.3">
      <c r="A2380">
        <v>55934</v>
      </c>
      <c r="B2380">
        <v>1</v>
      </c>
      <c r="C2380">
        <v>8</v>
      </c>
    </row>
    <row r="2381" spans="1:3" x14ac:dyDescent="0.3">
      <c r="A2381">
        <v>55671</v>
      </c>
      <c r="B2381">
        <v>1</v>
      </c>
      <c r="C2381">
        <v>8</v>
      </c>
    </row>
    <row r="2382" spans="1:3" x14ac:dyDescent="0.3">
      <c r="A2382">
        <v>55670</v>
      </c>
      <c r="B2382">
        <v>1</v>
      </c>
      <c r="C2382">
        <v>16</v>
      </c>
    </row>
    <row r="2383" spans="1:3" x14ac:dyDescent="0.3">
      <c r="A2383">
        <v>55338</v>
      </c>
      <c r="B2383">
        <v>1</v>
      </c>
      <c r="C2383">
        <v>8</v>
      </c>
    </row>
    <row r="2384" spans="1:3" x14ac:dyDescent="0.3">
      <c r="A2384">
        <v>54893</v>
      </c>
      <c r="B2384">
        <v>1</v>
      </c>
      <c r="C2384">
        <v>16</v>
      </c>
    </row>
    <row r="2385" spans="1:3" x14ac:dyDescent="0.3">
      <c r="A2385">
        <v>54571</v>
      </c>
      <c r="B2385">
        <v>1</v>
      </c>
      <c r="C2385">
        <v>8</v>
      </c>
    </row>
    <row r="2386" spans="1:3" x14ac:dyDescent="0.3">
      <c r="A2386">
        <v>54267</v>
      </c>
      <c r="B2386">
        <v>1</v>
      </c>
      <c r="C2386">
        <v>8</v>
      </c>
    </row>
    <row r="2387" spans="1:3" x14ac:dyDescent="0.3">
      <c r="A2387">
        <v>54089</v>
      </c>
      <c r="B2387">
        <v>1</v>
      </c>
      <c r="C2387">
        <v>8</v>
      </c>
    </row>
    <row r="2388" spans="1:3" x14ac:dyDescent="0.3">
      <c r="A2388">
        <v>53980</v>
      </c>
      <c r="B2388">
        <v>1</v>
      </c>
      <c r="C2388">
        <v>8</v>
      </c>
    </row>
    <row r="2389" spans="1:3" x14ac:dyDescent="0.3">
      <c r="A2389">
        <v>53840</v>
      </c>
      <c r="B2389">
        <v>1</v>
      </c>
      <c r="C2389">
        <v>8</v>
      </c>
    </row>
    <row r="2390" spans="1:3" x14ac:dyDescent="0.3">
      <c r="A2390">
        <v>53511</v>
      </c>
      <c r="B2390">
        <v>1</v>
      </c>
      <c r="C2390">
        <v>8</v>
      </c>
    </row>
    <row r="2391" spans="1:3" x14ac:dyDescent="0.3">
      <c r="A2391">
        <v>53508</v>
      </c>
      <c r="B2391">
        <v>1</v>
      </c>
      <c r="C2391">
        <v>8</v>
      </c>
    </row>
    <row r="2392" spans="1:3" x14ac:dyDescent="0.3">
      <c r="A2392">
        <v>53394</v>
      </c>
      <c r="B2392">
        <v>1</v>
      </c>
      <c r="C2392">
        <v>8</v>
      </c>
    </row>
    <row r="2393" spans="1:3" x14ac:dyDescent="0.3">
      <c r="A2393">
        <v>53206</v>
      </c>
      <c r="B2393">
        <v>1</v>
      </c>
      <c r="C2393">
        <v>8</v>
      </c>
    </row>
    <row r="2394" spans="1:3" x14ac:dyDescent="0.3">
      <c r="A2394">
        <v>53205</v>
      </c>
      <c r="B2394">
        <v>1</v>
      </c>
      <c r="C2394">
        <v>8</v>
      </c>
    </row>
    <row r="2395" spans="1:3" x14ac:dyDescent="0.3">
      <c r="A2395">
        <v>53030</v>
      </c>
      <c r="B2395">
        <v>1</v>
      </c>
      <c r="C2395">
        <v>8</v>
      </c>
    </row>
    <row r="2396" spans="1:3" x14ac:dyDescent="0.3">
      <c r="A2396">
        <v>52895</v>
      </c>
      <c r="B2396">
        <v>1</v>
      </c>
      <c r="C2396">
        <v>8</v>
      </c>
    </row>
    <row r="2397" spans="1:3" x14ac:dyDescent="0.3">
      <c r="A2397">
        <v>52577</v>
      </c>
      <c r="B2397">
        <v>1</v>
      </c>
      <c r="C2397">
        <v>8</v>
      </c>
    </row>
    <row r="2398" spans="1:3" x14ac:dyDescent="0.3">
      <c r="A2398">
        <v>52419</v>
      </c>
      <c r="B2398">
        <v>1</v>
      </c>
      <c r="C2398">
        <v>8</v>
      </c>
    </row>
    <row r="2399" spans="1:3" x14ac:dyDescent="0.3">
      <c r="A2399">
        <v>52313</v>
      </c>
      <c r="B2399">
        <v>1</v>
      </c>
      <c r="C2399">
        <v>8</v>
      </c>
    </row>
    <row r="2400" spans="1:3" x14ac:dyDescent="0.3">
      <c r="A2400">
        <v>52016</v>
      </c>
      <c r="B2400">
        <v>1</v>
      </c>
      <c r="C2400">
        <v>8</v>
      </c>
    </row>
    <row r="2401" spans="1:3" x14ac:dyDescent="0.3">
      <c r="A2401">
        <v>52015</v>
      </c>
      <c r="B2401">
        <v>1</v>
      </c>
      <c r="C2401">
        <v>8</v>
      </c>
    </row>
    <row r="2402" spans="1:3" x14ac:dyDescent="0.3">
      <c r="A2402" s="26">
        <v>51435</v>
      </c>
      <c r="B2402" s="26">
        <v>1</v>
      </c>
      <c r="C2402" s="26">
        <v>8</v>
      </c>
    </row>
    <row r="2403" spans="1:3" x14ac:dyDescent="0.3">
      <c r="A2403">
        <v>51434</v>
      </c>
      <c r="B2403">
        <v>1</v>
      </c>
      <c r="C2403">
        <v>8</v>
      </c>
    </row>
    <row r="2404" spans="1:3" x14ac:dyDescent="0.3">
      <c r="A2404">
        <v>51255</v>
      </c>
      <c r="B2404">
        <v>1</v>
      </c>
      <c r="C2404">
        <v>8</v>
      </c>
    </row>
    <row r="2405" spans="1:3" x14ac:dyDescent="0.3">
      <c r="A2405">
        <v>50858</v>
      </c>
      <c r="B2405">
        <v>1</v>
      </c>
      <c r="C2405">
        <v>8</v>
      </c>
    </row>
    <row r="2406" spans="1:3" x14ac:dyDescent="0.3">
      <c r="A2406">
        <v>50034</v>
      </c>
      <c r="B2406">
        <v>1</v>
      </c>
      <c r="C2406">
        <v>8</v>
      </c>
    </row>
    <row r="2407" spans="1:3" x14ac:dyDescent="0.3">
      <c r="A2407">
        <v>49790</v>
      </c>
      <c r="B2407">
        <v>1</v>
      </c>
      <c r="C2407">
        <v>8</v>
      </c>
    </row>
    <row r="2408" spans="1:3" x14ac:dyDescent="0.3">
      <c r="A2408">
        <v>48461</v>
      </c>
      <c r="B2408">
        <v>1</v>
      </c>
      <c r="C2408">
        <v>8</v>
      </c>
    </row>
    <row r="2409" spans="1:3" x14ac:dyDescent="0.3">
      <c r="A2409">
        <v>48385</v>
      </c>
      <c r="B2409">
        <v>1</v>
      </c>
      <c r="C2409">
        <v>8</v>
      </c>
    </row>
    <row r="2410" spans="1:3" x14ac:dyDescent="0.3">
      <c r="A2410">
        <v>48384</v>
      </c>
      <c r="B2410">
        <v>1</v>
      </c>
      <c r="C2410">
        <v>8</v>
      </c>
    </row>
    <row r="2411" spans="1:3" x14ac:dyDescent="0.3">
      <c r="A2411">
        <v>48382</v>
      </c>
      <c r="B2411">
        <v>1</v>
      </c>
      <c r="C2411">
        <v>8</v>
      </c>
    </row>
    <row r="2412" spans="1:3" x14ac:dyDescent="0.3">
      <c r="A2412">
        <v>48381</v>
      </c>
      <c r="B2412">
        <v>2</v>
      </c>
      <c r="C2412">
        <v>8</v>
      </c>
    </row>
    <row r="2413" spans="1:3" x14ac:dyDescent="0.3">
      <c r="A2413">
        <v>47575</v>
      </c>
      <c r="B2413">
        <v>1</v>
      </c>
      <c r="C2413">
        <v>8</v>
      </c>
    </row>
    <row r="2414" spans="1:3" x14ac:dyDescent="0.3">
      <c r="A2414">
        <v>47573</v>
      </c>
      <c r="B2414">
        <v>1</v>
      </c>
      <c r="C2414">
        <v>8</v>
      </c>
    </row>
    <row r="2415" spans="1:3" x14ac:dyDescent="0.3">
      <c r="A2415">
        <v>47569</v>
      </c>
      <c r="B2415">
        <v>1</v>
      </c>
      <c r="C2415">
        <v>8</v>
      </c>
    </row>
    <row r="2416" spans="1:3" x14ac:dyDescent="0.3">
      <c r="A2416">
        <v>47309</v>
      </c>
      <c r="B2416">
        <v>1</v>
      </c>
      <c r="C2416">
        <v>16</v>
      </c>
    </row>
    <row r="2417" spans="1:3" x14ac:dyDescent="0.3">
      <c r="A2417">
        <v>47308</v>
      </c>
      <c r="B2417">
        <v>1</v>
      </c>
      <c r="C2417">
        <v>8</v>
      </c>
    </row>
    <row r="2418" spans="1:3" x14ac:dyDescent="0.3">
      <c r="A2418">
        <v>47307</v>
      </c>
      <c r="B2418">
        <v>1</v>
      </c>
      <c r="C2418">
        <v>16</v>
      </c>
    </row>
    <row r="2419" spans="1:3" x14ac:dyDescent="0.3">
      <c r="A2419">
        <v>47138</v>
      </c>
      <c r="B2419">
        <v>1</v>
      </c>
      <c r="C2419">
        <v>8</v>
      </c>
    </row>
    <row r="2420" spans="1:3" x14ac:dyDescent="0.3">
      <c r="A2420">
        <v>47137</v>
      </c>
      <c r="B2420">
        <v>1</v>
      </c>
      <c r="C2420">
        <v>8</v>
      </c>
    </row>
    <row r="2421" spans="1:3" x14ac:dyDescent="0.3">
      <c r="A2421">
        <v>47135</v>
      </c>
      <c r="B2421">
        <v>1</v>
      </c>
      <c r="C2421">
        <v>8</v>
      </c>
    </row>
    <row r="2422" spans="1:3" x14ac:dyDescent="0.3">
      <c r="A2422">
        <v>47133</v>
      </c>
      <c r="B2422">
        <v>1</v>
      </c>
      <c r="C2422">
        <v>8</v>
      </c>
    </row>
    <row r="2423" spans="1:3" x14ac:dyDescent="0.3">
      <c r="A2423">
        <v>47130</v>
      </c>
      <c r="B2423">
        <v>1</v>
      </c>
      <c r="C2423">
        <v>8</v>
      </c>
    </row>
    <row r="2424" spans="1:3" x14ac:dyDescent="0.3">
      <c r="A2424">
        <v>47128</v>
      </c>
      <c r="B2424">
        <v>1</v>
      </c>
      <c r="C2424">
        <v>16</v>
      </c>
    </row>
    <row r="2425" spans="1:3" x14ac:dyDescent="0.3">
      <c r="A2425">
        <v>47067</v>
      </c>
      <c r="B2425">
        <v>1</v>
      </c>
      <c r="C2425">
        <v>8</v>
      </c>
    </row>
    <row r="2426" spans="1:3" x14ac:dyDescent="0.3">
      <c r="A2426">
        <v>46413</v>
      </c>
      <c r="B2426">
        <v>1</v>
      </c>
      <c r="C2426">
        <v>8</v>
      </c>
    </row>
    <row r="2427" spans="1:3" x14ac:dyDescent="0.3">
      <c r="A2427">
        <v>46411</v>
      </c>
      <c r="B2427">
        <v>1</v>
      </c>
      <c r="C2427">
        <v>8</v>
      </c>
    </row>
    <row r="2428" spans="1:3" x14ac:dyDescent="0.3">
      <c r="A2428">
        <v>46236</v>
      </c>
      <c r="B2428">
        <v>1</v>
      </c>
      <c r="C2428">
        <v>8</v>
      </c>
    </row>
    <row r="2429" spans="1:3" x14ac:dyDescent="0.3">
      <c r="A2429">
        <v>46038</v>
      </c>
      <c r="B2429">
        <v>1</v>
      </c>
      <c r="C2429">
        <v>8</v>
      </c>
    </row>
    <row r="2430" spans="1:3" x14ac:dyDescent="0.3">
      <c r="A2430">
        <v>46023</v>
      </c>
      <c r="B2430">
        <v>1</v>
      </c>
      <c r="C2430">
        <v>8</v>
      </c>
    </row>
    <row r="2431" spans="1:3" x14ac:dyDescent="0.3">
      <c r="A2431">
        <v>45676</v>
      </c>
      <c r="B2431">
        <v>1</v>
      </c>
      <c r="C2431">
        <v>8</v>
      </c>
    </row>
    <row r="2432" spans="1:3" x14ac:dyDescent="0.3">
      <c r="A2432">
        <v>45674</v>
      </c>
      <c r="B2432">
        <v>1</v>
      </c>
      <c r="C2432">
        <v>8</v>
      </c>
    </row>
    <row r="2433" spans="1:3" x14ac:dyDescent="0.3">
      <c r="A2433">
        <v>45673</v>
      </c>
      <c r="B2433">
        <v>1</v>
      </c>
      <c r="C2433">
        <v>8</v>
      </c>
    </row>
    <row r="2434" spans="1:3" x14ac:dyDescent="0.3">
      <c r="A2434">
        <v>45601</v>
      </c>
      <c r="B2434">
        <v>1</v>
      </c>
      <c r="C2434">
        <v>8</v>
      </c>
    </row>
    <row r="2435" spans="1:3" x14ac:dyDescent="0.3">
      <c r="A2435">
        <v>43431</v>
      </c>
      <c r="B2435">
        <v>1</v>
      </c>
      <c r="C2435">
        <v>8</v>
      </c>
    </row>
    <row r="2436" spans="1:3" x14ac:dyDescent="0.3">
      <c r="A2436">
        <v>43199</v>
      </c>
      <c r="B2436">
        <v>1</v>
      </c>
      <c r="C2436">
        <v>8</v>
      </c>
    </row>
    <row r="2437" spans="1:3" x14ac:dyDescent="0.3">
      <c r="A2437">
        <v>43196</v>
      </c>
      <c r="B2437">
        <v>1</v>
      </c>
      <c r="C2437">
        <v>16</v>
      </c>
    </row>
    <row r="2438" spans="1:3" x14ac:dyDescent="0.3">
      <c r="A2438">
        <v>43073</v>
      </c>
      <c r="B2438">
        <v>1</v>
      </c>
      <c r="C2438">
        <v>8</v>
      </c>
    </row>
    <row r="2439" spans="1:3" x14ac:dyDescent="0.3">
      <c r="A2439">
        <v>42238</v>
      </c>
      <c r="B2439">
        <v>1</v>
      </c>
      <c r="C2439">
        <v>8</v>
      </c>
    </row>
    <row r="2440" spans="1:3" x14ac:dyDescent="0.3">
      <c r="A2440">
        <v>42047</v>
      </c>
      <c r="B2440">
        <v>1</v>
      </c>
      <c r="C2440">
        <v>8</v>
      </c>
    </row>
    <row r="2441" spans="1:3" x14ac:dyDescent="0.3">
      <c r="A2441">
        <v>42037</v>
      </c>
      <c r="B2441">
        <v>1</v>
      </c>
      <c r="C2441">
        <v>8</v>
      </c>
    </row>
    <row r="2442" spans="1:3" x14ac:dyDescent="0.3">
      <c r="A2442">
        <v>42036</v>
      </c>
      <c r="B2442">
        <v>1</v>
      </c>
      <c r="C2442">
        <v>8</v>
      </c>
    </row>
    <row r="2443" spans="1:3" x14ac:dyDescent="0.3">
      <c r="A2443">
        <v>42032</v>
      </c>
      <c r="B2443">
        <v>1</v>
      </c>
      <c r="C2443">
        <v>8</v>
      </c>
    </row>
    <row r="2444" spans="1:3" x14ac:dyDescent="0.3">
      <c r="A2444">
        <v>41918</v>
      </c>
      <c r="B2444">
        <v>1</v>
      </c>
      <c r="C2444">
        <v>8</v>
      </c>
    </row>
    <row r="2445" spans="1:3" x14ac:dyDescent="0.3">
      <c r="A2445">
        <v>41917</v>
      </c>
      <c r="B2445">
        <v>1</v>
      </c>
      <c r="C2445">
        <v>8</v>
      </c>
    </row>
    <row r="2446" spans="1:3" x14ac:dyDescent="0.3">
      <c r="A2446">
        <v>41889</v>
      </c>
      <c r="B2446">
        <v>1</v>
      </c>
      <c r="C2446">
        <v>8</v>
      </c>
    </row>
    <row r="2447" spans="1:3" x14ac:dyDescent="0.3">
      <c r="A2447">
        <v>41855</v>
      </c>
      <c r="B2447">
        <v>1</v>
      </c>
      <c r="C2447">
        <v>8</v>
      </c>
    </row>
    <row r="2448" spans="1:3" x14ac:dyDescent="0.3">
      <c r="A2448">
        <v>41849</v>
      </c>
      <c r="B2448">
        <v>1</v>
      </c>
      <c r="C2448">
        <v>8</v>
      </c>
    </row>
    <row r="2449" spans="1:3" x14ac:dyDescent="0.3">
      <c r="A2449">
        <v>41848</v>
      </c>
      <c r="B2449">
        <v>1</v>
      </c>
      <c r="C2449">
        <v>8</v>
      </c>
    </row>
    <row r="2450" spans="1:3" x14ac:dyDescent="0.3">
      <c r="A2450">
        <v>41290</v>
      </c>
      <c r="B2450">
        <v>1</v>
      </c>
      <c r="C2450">
        <v>8</v>
      </c>
    </row>
    <row r="2451" spans="1:3" x14ac:dyDescent="0.3">
      <c r="A2451">
        <v>41289</v>
      </c>
      <c r="B2451">
        <v>1</v>
      </c>
      <c r="C2451">
        <v>8</v>
      </c>
    </row>
    <row r="2452" spans="1:3" x14ac:dyDescent="0.3">
      <c r="A2452">
        <v>40647</v>
      </c>
      <c r="B2452">
        <v>1</v>
      </c>
      <c r="C2452">
        <v>8</v>
      </c>
    </row>
    <row r="2453" spans="1:3" x14ac:dyDescent="0.3">
      <c r="A2453">
        <v>40644</v>
      </c>
      <c r="B2453">
        <v>1</v>
      </c>
      <c r="C2453">
        <v>8</v>
      </c>
    </row>
    <row r="2454" spans="1:3" x14ac:dyDescent="0.3">
      <c r="A2454">
        <v>40642</v>
      </c>
      <c r="B2454">
        <v>1</v>
      </c>
      <c r="C2454">
        <v>16</v>
      </c>
    </row>
    <row r="2455" spans="1:3" x14ac:dyDescent="0.3">
      <c r="A2455">
        <v>40084</v>
      </c>
      <c r="B2455">
        <v>1</v>
      </c>
      <c r="C2455">
        <v>8</v>
      </c>
    </row>
    <row r="2456" spans="1:3" x14ac:dyDescent="0.3">
      <c r="A2456">
        <v>40083</v>
      </c>
      <c r="B2456">
        <v>1</v>
      </c>
      <c r="C2456">
        <v>16</v>
      </c>
    </row>
    <row r="2457" spans="1:3" x14ac:dyDescent="0.3">
      <c r="A2457">
        <v>40027</v>
      </c>
      <c r="B2457">
        <v>1</v>
      </c>
      <c r="C2457">
        <v>8</v>
      </c>
    </row>
    <row r="2458" spans="1:3" x14ac:dyDescent="0.3">
      <c r="A2458">
        <v>40026</v>
      </c>
      <c r="B2458">
        <v>1</v>
      </c>
      <c r="C2458">
        <v>8</v>
      </c>
    </row>
    <row r="2459" spans="1:3" x14ac:dyDescent="0.3">
      <c r="A2459">
        <v>39515</v>
      </c>
      <c r="B2459">
        <v>1</v>
      </c>
      <c r="C2459">
        <v>8</v>
      </c>
    </row>
    <row r="2460" spans="1:3" x14ac:dyDescent="0.3">
      <c r="A2460">
        <v>39108</v>
      </c>
      <c r="B2460">
        <v>1</v>
      </c>
      <c r="C2460">
        <v>8</v>
      </c>
    </row>
    <row r="2461" spans="1:3" x14ac:dyDescent="0.3">
      <c r="A2461">
        <v>38918</v>
      </c>
      <c r="B2461">
        <v>1</v>
      </c>
      <c r="C2461">
        <v>8</v>
      </c>
    </row>
    <row r="2462" spans="1:3" x14ac:dyDescent="0.3">
      <c r="A2462">
        <v>38703</v>
      </c>
      <c r="B2462">
        <v>1</v>
      </c>
      <c r="C2462">
        <v>8</v>
      </c>
    </row>
    <row r="2463" spans="1:3" x14ac:dyDescent="0.3">
      <c r="A2463">
        <v>38502</v>
      </c>
      <c r="B2463">
        <v>1</v>
      </c>
      <c r="C2463">
        <v>8</v>
      </c>
    </row>
    <row r="2464" spans="1:3" x14ac:dyDescent="0.3">
      <c r="A2464">
        <v>38478</v>
      </c>
      <c r="B2464">
        <v>1</v>
      </c>
      <c r="C2464">
        <v>8</v>
      </c>
    </row>
    <row r="2465" spans="1:3" x14ac:dyDescent="0.3">
      <c r="A2465">
        <v>37749</v>
      </c>
      <c r="B2465">
        <v>1</v>
      </c>
      <c r="C2465">
        <v>16</v>
      </c>
    </row>
    <row r="2466" spans="1:3" x14ac:dyDescent="0.3">
      <c r="A2466">
        <v>37418</v>
      </c>
      <c r="B2466">
        <v>1</v>
      </c>
      <c r="C2466">
        <v>8</v>
      </c>
    </row>
    <row r="2467" spans="1:3" x14ac:dyDescent="0.3">
      <c r="A2467">
        <v>37005</v>
      </c>
      <c r="B2467">
        <v>1</v>
      </c>
      <c r="C2467">
        <v>8</v>
      </c>
    </row>
    <row r="2468" spans="1:3" x14ac:dyDescent="0.3">
      <c r="A2468">
        <v>36752</v>
      </c>
      <c r="B2468">
        <v>1</v>
      </c>
      <c r="C2468">
        <v>8</v>
      </c>
    </row>
    <row r="2469" spans="1:3" x14ac:dyDescent="0.3">
      <c r="A2469">
        <v>35758</v>
      </c>
      <c r="B2469">
        <v>1</v>
      </c>
      <c r="C2469">
        <v>8</v>
      </c>
    </row>
    <row r="2470" spans="1:3" x14ac:dyDescent="0.3">
      <c r="A2470">
        <v>35200</v>
      </c>
      <c r="B2470">
        <v>1</v>
      </c>
      <c r="C2470">
        <v>8</v>
      </c>
    </row>
    <row r="2471" spans="1:3" x14ac:dyDescent="0.3">
      <c r="A2471">
        <v>34858</v>
      </c>
      <c r="B2471">
        <v>1</v>
      </c>
      <c r="C2471">
        <v>16</v>
      </c>
    </row>
    <row r="2472" spans="1:3" x14ac:dyDescent="0.3">
      <c r="A2472">
        <v>34208</v>
      </c>
      <c r="B2472">
        <v>1</v>
      </c>
      <c r="C2472">
        <v>8</v>
      </c>
    </row>
    <row r="2473" spans="1:3" x14ac:dyDescent="0.3">
      <c r="A2473">
        <v>33150</v>
      </c>
      <c r="B2473">
        <v>1</v>
      </c>
      <c r="C2473">
        <v>8</v>
      </c>
    </row>
    <row r="2474" spans="1:3" x14ac:dyDescent="0.3">
      <c r="A2474">
        <v>33149</v>
      </c>
      <c r="B2474">
        <v>1</v>
      </c>
      <c r="C2474">
        <v>8</v>
      </c>
    </row>
    <row r="2475" spans="1:3" x14ac:dyDescent="0.3">
      <c r="A2475">
        <v>33005</v>
      </c>
      <c r="B2475">
        <v>1</v>
      </c>
      <c r="C2475">
        <v>8</v>
      </c>
    </row>
    <row r="2476" spans="1:3" x14ac:dyDescent="0.3">
      <c r="A2476">
        <v>31899</v>
      </c>
      <c r="B2476">
        <v>1</v>
      </c>
      <c r="C2476">
        <v>8</v>
      </c>
    </row>
    <row r="2477" spans="1:3" x14ac:dyDescent="0.3">
      <c r="A2477">
        <v>31396</v>
      </c>
      <c r="B2477">
        <v>1</v>
      </c>
      <c r="C2477">
        <v>8</v>
      </c>
    </row>
    <row r="2478" spans="1:3" x14ac:dyDescent="0.3">
      <c r="A2478">
        <v>30935</v>
      </c>
      <c r="B2478">
        <v>1</v>
      </c>
      <c r="C2478">
        <v>16</v>
      </c>
    </row>
    <row r="2479" spans="1:3" x14ac:dyDescent="0.3">
      <c r="A2479">
        <v>30670</v>
      </c>
      <c r="B2479">
        <v>1</v>
      </c>
      <c r="C2479">
        <v>16</v>
      </c>
    </row>
    <row r="2480" spans="1:3" x14ac:dyDescent="0.3">
      <c r="A2480">
        <v>30669</v>
      </c>
      <c r="B2480">
        <v>1</v>
      </c>
      <c r="C2480">
        <v>16</v>
      </c>
    </row>
    <row r="2481" spans="1:3" x14ac:dyDescent="0.3">
      <c r="A2481">
        <v>30667</v>
      </c>
      <c r="B2481">
        <v>1</v>
      </c>
      <c r="C2481">
        <v>8</v>
      </c>
    </row>
    <row r="2482" spans="1:3" x14ac:dyDescent="0.3">
      <c r="A2482">
        <v>29270</v>
      </c>
      <c r="B2482">
        <v>1</v>
      </c>
      <c r="C2482">
        <v>16</v>
      </c>
    </row>
    <row r="2483" spans="1:3" x14ac:dyDescent="0.3">
      <c r="A2483">
        <v>29039</v>
      </c>
      <c r="B2483">
        <v>1</v>
      </c>
      <c r="C2483">
        <v>8</v>
      </c>
    </row>
    <row r="2484" spans="1:3" x14ac:dyDescent="0.3">
      <c r="A2484">
        <v>28660</v>
      </c>
      <c r="B2484">
        <v>1</v>
      </c>
      <c r="C2484">
        <v>8</v>
      </c>
    </row>
    <row r="2485" spans="1:3" x14ac:dyDescent="0.3">
      <c r="A2485">
        <v>28659</v>
      </c>
      <c r="B2485">
        <v>1</v>
      </c>
      <c r="C2485">
        <v>8</v>
      </c>
    </row>
    <row r="2486" spans="1:3" x14ac:dyDescent="0.3">
      <c r="A2486">
        <v>28544</v>
      </c>
      <c r="B2486">
        <v>1</v>
      </c>
      <c r="C2486">
        <v>8</v>
      </c>
    </row>
    <row r="2487" spans="1:3" x14ac:dyDescent="0.3">
      <c r="A2487">
        <v>28172</v>
      </c>
      <c r="B2487">
        <v>1</v>
      </c>
      <c r="C2487">
        <v>8</v>
      </c>
    </row>
    <row r="2488" spans="1:3" x14ac:dyDescent="0.3">
      <c r="A2488">
        <v>27586</v>
      </c>
      <c r="B2488">
        <v>1</v>
      </c>
      <c r="C2488">
        <v>8</v>
      </c>
    </row>
    <row r="2489" spans="1:3" x14ac:dyDescent="0.3">
      <c r="A2489">
        <v>26910</v>
      </c>
      <c r="B2489">
        <v>1</v>
      </c>
      <c r="C2489">
        <v>16</v>
      </c>
    </row>
    <row r="2490" spans="1:3" x14ac:dyDescent="0.3">
      <c r="A2490">
        <v>26829</v>
      </c>
      <c r="B2490">
        <v>1</v>
      </c>
      <c r="C2490">
        <v>8</v>
      </c>
    </row>
    <row r="2491" spans="1:3" x14ac:dyDescent="0.3">
      <c r="A2491">
        <v>26384</v>
      </c>
      <c r="B2491">
        <v>1</v>
      </c>
      <c r="C2491">
        <v>16</v>
      </c>
    </row>
    <row r="2492" spans="1:3" x14ac:dyDescent="0.3">
      <c r="A2492">
        <v>24904</v>
      </c>
      <c r="B2492">
        <v>1</v>
      </c>
      <c r="C2492">
        <v>8</v>
      </c>
    </row>
    <row r="2493" spans="1:3" x14ac:dyDescent="0.3">
      <c r="A2493">
        <v>24837</v>
      </c>
      <c r="B2493">
        <v>1</v>
      </c>
      <c r="C2493">
        <v>8</v>
      </c>
    </row>
    <row r="2494" spans="1:3" x14ac:dyDescent="0.3">
      <c r="A2494">
        <v>24643</v>
      </c>
      <c r="B2494">
        <v>1</v>
      </c>
      <c r="C2494">
        <v>8</v>
      </c>
    </row>
    <row r="2495" spans="1:3" x14ac:dyDescent="0.3">
      <c r="A2495">
        <v>23448</v>
      </c>
      <c r="B2495">
        <v>1</v>
      </c>
      <c r="C2495">
        <v>8</v>
      </c>
    </row>
    <row r="2496" spans="1:3" x14ac:dyDescent="0.3">
      <c r="A2496">
        <v>22695</v>
      </c>
      <c r="B2496">
        <v>1</v>
      </c>
      <c r="C2496">
        <v>8</v>
      </c>
    </row>
    <row r="2497" spans="1:3" x14ac:dyDescent="0.3">
      <c r="A2497">
        <v>20904</v>
      </c>
      <c r="B2497">
        <v>1</v>
      </c>
      <c r="C2497">
        <v>8</v>
      </c>
    </row>
    <row r="2498" spans="1:3" x14ac:dyDescent="0.3">
      <c r="A2498">
        <v>20819</v>
      </c>
      <c r="B2498">
        <v>1</v>
      </c>
      <c r="C2498">
        <v>8</v>
      </c>
    </row>
    <row r="2499" spans="1:3" x14ac:dyDescent="0.3">
      <c r="A2499">
        <v>19724</v>
      </c>
      <c r="B2499">
        <v>1</v>
      </c>
      <c r="C2499">
        <v>16</v>
      </c>
    </row>
    <row r="2500" spans="1:3" x14ac:dyDescent="0.3">
      <c r="A2500">
        <v>18620</v>
      </c>
      <c r="B2500">
        <v>1</v>
      </c>
      <c r="C2500">
        <v>8</v>
      </c>
    </row>
    <row r="2501" spans="1:3" x14ac:dyDescent="0.3">
      <c r="A2501">
        <v>12111</v>
      </c>
      <c r="B2501">
        <v>1</v>
      </c>
      <c r="C2501">
        <v>8</v>
      </c>
    </row>
    <row r="2502" spans="1:3" x14ac:dyDescent="0.3">
      <c r="A2502">
        <v>18446</v>
      </c>
      <c r="B2502">
        <v>1</v>
      </c>
      <c r="C2502">
        <v>8</v>
      </c>
    </row>
    <row r="2503" spans="1:3" x14ac:dyDescent="0.3">
      <c r="A2503">
        <v>15712</v>
      </c>
      <c r="B2503">
        <v>1</v>
      </c>
      <c r="C2503">
        <v>16</v>
      </c>
    </row>
    <row r="2504" spans="1:3" x14ac:dyDescent="0.3">
      <c r="A2504">
        <v>15006</v>
      </c>
      <c r="B2504">
        <v>1</v>
      </c>
      <c r="C2504">
        <v>16</v>
      </c>
    </row>
    <row r="2505" spans="1:3" x14ac:dyDescent="0.3">
      <c r="A2505">
        <v>12989</v>
      </c>
      <c r="B2505">
        <v>1</v>
      </c>
      <c r="C2505">
        <v>8</v>
      </c>
    </row>
    <row r="2506" spans="1:3" x14ac:dyDescent="0.3">
      <c r="A2506">
        <v>12800</v>
      </c>
      <c r="B2506">
        <v>1</v>
      </c>
      <c r="C2506">
        <v>8</v>
      </c>
    </row>
    <row r="2507" spans="1:3" x14ac:dyDescent="0.3">
      <c r="A2507">
        <v>80724</v>
      </c>
      <c r="B2507">
        <v>1</v>
      </c>
      <c r="C2507">
        <v>8</v>
      </c>
    </row>
    <row r="2508" spans="1:3" x14ac:dyDescent="0.3">
      <c r="A2508">
        <v>80659</v>
      </c>
      <c r="B2508">
        <v>1</v>
      </c>
      <c r="C2508">
        <v>8</v>
      </c>
    </row>
    <row r="2509" spans="1:3" x14ac:dyDescent="0.3">
      <c r="A2509">
        <v>80588</v>
      </c>
      <c r="B2509">
        <v>1</v>
      </c>
      <c r="C2509">
        <v>8</v>
      </c>
    </row>
    <row r="2510" spans="1:3" x14ac:dyDescent="0.3">
      <c r="A2510">
        <v>80586</v>
      </c>
      <c r="B2510">
        <v>1</v>
      </c>
      <c r="C2510">
        <v>8</v>
      </c>
    </row>
    <row r="2511" spans="1:3" x14ac:dyDescent="0.3">
      <c r="A2511">
        <v>80443</v>
      </c>
      <c r="B2511">
        <v>1</v>
      </c>
      <c r="C2511">
        <v>8</v>
      </c>
    </row>
    <row r="2512" spans="1:3" x14ac:dyDescent="0.3">
      <c r="A2512">
        <v>80442</v>
      </c>
      <c r="B2512">
        <v>1</v>
      </c>
      <c r="C2512">
        <v>8</v>
      </c>
    </row>
    <row r="2513" spans="1:3" x14ac:dyDescent="0.3">
      <c r="A2513">
        <v>80441</v>
      </c>
      <c r="B2513">
        <v>1</v>
      </c>
      <c r="C2513">
        <v>8</v>
      </c>
    </row>
    <row r="2514" spans="1:3" x14ac:dyDescent="0.3">
      <c r="A2514">
        <v>80440</v>
      </c>
      <c r="B2514">
        <v>1</v>
      </c>
      <c r="C2514">
        <v>8</v>
      </c>
    </row>
    <row r="2515" spans="1:3" x14ac:dyDescent="0.3">
      <c r="A2515">
        <v>80439</v>
      </c>
      <c r="B2515">
        <v>1</v>
      </c>
      <c r="C2515">
        <v>8</v>
      </c>
    </row>
    <row r="2516" spans="1:3" x14ac:dyDescent="0.3">
      <c r="A2516">
        <v>80248</v>
      </c>
      <c r="B2516">
        <v>1</v>
      </c>
      <c r="C2516">
        <v>8</v>
      </c>
    </row>
    <row r="2517" spans="1:3" x14ac:dyDescent="0.3">
      <c r="A2517">
        <v>80124</v>
      </c>
      <c r="B2517">
        <v>1</v>
      </c>
      <c r="C2517">
        <v>8</v>
      </c>
    </row>
    <row r="2518" spans="1:3" x14ac:dyDescent="0.3">
      <c r="A2518">
        <v>80123</v>
      </c>
      <c r="B2518">
        <v>1</v>
      </c>
      <c r="C2518">
        <v>8</v>
      </c>
    </row>
    <row r="2519" spans="1:3" x14ac:dyDescent="0.3">
      <c r="A2519">
        <v>80122</v>
      </c>
      <c r="B2519">
        <v>1</v>
      </c>
      <c r="C2519">
        <v>8</v>
      </c>
    </row>
    <row r="2520" spans="1:3" x14ac:dyDescent="0.3">
      <c r="A2520">
        <v>79993</v>
      </c>
      <c r="B2520">
        <v>1</v>
      </c>
      <c r="C2520">
        <v>8</v>
      </c>
    </row>
    <row r="2521" spans="1:3" x14ac:dyDescent="0.3">
      <c r="A2521">
        <v>79992</v>
      </c>
      <c r="B2521">
        <v>1</v>
      </c>
      <c r="C2521">
        <v>8</v>
      </c>
    </row>
    <row r="2522" spans="1:3" x14ac:dyDescent="0.3">
      <c r="A2522">
        <v>79991</v>
      </c>
      <c r="B2522">
        <v>1</v>
      </c>
      <c r="C2522">
        <v>8</v>
      </c>
    </row>
    <row r="2523" spans="1:3" x14ac:dyDescent="0.3">
      <c r="A2523">
        <v>79989</v>
      </c>
      <c r="B2523">
        <v>1</v>
      </c>
      <c r="C2523">
        <v>8</v>
      </c>
    </row>
    <row r="2524" spans="1:3" x14ac:dyDescent="0.3">
      <c r="A2524">
        <v>79988</v>
      </c>
      <c r="B2524">
        <v>1</v>
      </c>
      <c r="C2524">
        <v>8</v>
      </c>
    </row>
    <row r="2525" spans="1:3" x14ac:dyDescent="0.3">
      <c r="A2525">
        <v>79987</v>
      </c>
      <c r="B2525">
        <v>1</v>
      </c>
      <c r="C2525">
        <v>8</v>
      </c>
    </row>
    <row r="2526" spans="1:3" x14ac:dyDescent="0.3">
      <c r="A2526">
        <v>79755</v>
      </c>
      <c r="B2526">
        <v>1</v>
      </c>
      <c r="C2526">
        <v>8</v>
      </c>
    </row>
    <row r="2527" spans="1:3" x14ac:dyDescent="0.3">
      <c r="A2527">
        <v>79754</v>
      </c>
      <c r="B2527">
        <v>1</v>
      </c>
      <c r="C2527">
        <v>8</v>
      </c>
    </row>
    <row r="2528" spans="1:3" x14ac:dyDescent="0.3">
      <c r="A2528">
        <v>10073</v>
      </c>
      <c r="B2528">
        <v>1</v>
      </c>
      <c r="C2528">
        <v>16</v>
      </c>
    </row>
    <row r="2529" spans="1:3" x14ac:dyDescent="0.3">
      <c r="A2529">
        <v>79752</v>
      </c>
      <c r="B2529">
        <v>1</v>
      </c>
      <c r="C2529">
        <v>8</v>
      </c>
    </row>
    <row r="2530" spans="1:3" x14ac:dyDescent="0.3">
      <c r="A2530">
        <v>79618</v>
      </c>
      <c r="B2530">
        <v>1</v>
      </c>
      <c r="C2530">
        <v>8</v>
      </c>
    </row>
    <row r="2531" spans="1:3" x14ac:dyDescent="0.3">
      <c r="A2531">
        <v>79617</v>
      </c>
      <c r="B2531">
        <v>1</v>
      </c>
      <c r="C2531">
        <v>8</v>
      </c>
    </row>
    <row r="2532" spans="1:3" x14ac:dyDescent="0.3">
      <c r="A2532">
        <v>79547</v>
      </c>
      <c r="B2532">
        <v>1</v>
      </c>
      <c r="C2532">
        <v>8</v>
      </c>
    </row>
    <row r="2533" spans="1:3" x14ac:dyDescent="0.3">
      <c r="A2533">
        <v>79546</v>
      </c>
      <c r="B2533">
        <v>1</v>
      </c>
      <c r="C2533">
        <v>8</v>
      </c>
    </row>
    <row r="2534" spans="1:3" x14ac:dyDescent="0.3">
      <c r="A2534">
        <v>79545</v>
      </c>
      <c r="B2534">
        <v>1</v>
      </c>
      <c r="C2534">
        <v>8</v>
      </c>
    </row>
    <row r="2535" spans="1:3" x14ac:dyDescent="0.3">
      <c r="A2535">
        <v>79364</v>
      </c>
      <c r="B2535">
        <v>1</v>
      </c>
      <c r="C2535">
        <v>8</v>
      </c>
    </row>
    <row r="2536" spans="1:3" x14ac:dyDescent="0.3">
      <c r="A2536">
        <v>79363</v>
      </c>
      <c r="B2536">
        <v>1</v>
      </c>
      <c r="C2536">
        <v>8</v>
      </c>
    </row>
    <row r="2537" spans="1:3" x14ac:dyDescent="0.3">
      <c r="A2537">
        <v>79362</v>
      </c>
      <c r="B2537">
        <v>1</v>
      </c>
      <c r="C2537">
        <v>8</v>
      </c>
    </row>
    <row r="2538" spans="1:3" x14ac:dyDescent="0.3">
      <c r="A2538">
        <v>79361</v>
      </c>
      <c r="B2538">
        <v>1</v>
      </c>
      <c r="C2538">
        <v>8</v>
      </c>
    </row>
    <row r="2539" spans="1:3" x14ac:dyDescent="0.3">
      <c r="A2539">
        <v>79360</v>
      </c>
      <c r="B2539">
        <v>1</v>
      </c>
      <c r="C2539">
        <v>8</v>
      </c>
    </row>
    <row r="2540" spans="1:3" x14ac:dyDescent="0.3">
      <c r="A2540">
        <v>79359</v>
      </c>
      <c r="B2540">
        <v>1</v>
      </c>
      <c r="C2540">
        <v>8</v>
      </c>
    </row>
    <row r="2541" spans="1:3" x14ac:dyDescent="0.3">
      <c r="A2541">
        <v>79358</v>
      </c>
      <c r="B2541">
        <v>1</v>
      </c>
      <c r="C2541">
        <v>8</v>
      </c>
    </row>
    <row r="2542" spans="1:3" x14ac:dyDescent="0.3">
      <c r="A2542">
        <v>79290</v>
      </c>
      <c r="B2542">
        <v>1</v>
      </c>
      <c r="C2542">
        <v>8</v>
      </c>
    </row>
    <row r="2543" spans="1:3" x14ac:dyDescent="0.3">
      <c r="A2543">
        <v>79181</v>
      </c>
      <c r="B2543">
        <v>1</v>
      </c>
      <c r="C2543">
        <v>8</v>
      </c>
    </row>
    <row r="2544" spans="1:3" x14ac:dyDescent="0.3">
      <c r="A2544">
        <v>79178</v>
      </c>
      <c r="B2544">
        <v>1</v>
      </c>
      <c r="C2544">
        <v>8</v>
      </c>
    </row>
    <row r="2545" spans="1:3" x14ac:dyDescent="0.3">
      <c r="A2545">
        <v>79177</v>
      </c>
      <c r="B2545">
        <v>1</v>
      </c>
      <c r="C2545">
        <v>8</v>
      </c>
    </row>
    <row r="2546" spans="1:3" x14ac:dyDescent="0.3">
      <c r="A2546">
        <v>79051</v>
      </c>
      <c r="B2546">
        <v>1</v>
      </c>
      <c r="C2546">
        <v>8</v>
      </c>
    </row>
    <row r="2547" spans="1:3" x14ac:dyDescent="0.3">
      <c r="A2547">
        <v>79050</v>
      </c>
      <c r="B2547">
        <v>1</v>
      </c>
      <c r="C2547">
        <v>8</v>
      </c>
    </row>
    <row r="2548" spans="1:3" x14ac:dyDescent="0.3">
      <c r="A2548">
        <v>79048</v>
      </c>
      <c r="B2548">
        <v>1</v>
      </c>
      <c r="C2548">
        <v>8</v>
      </c>
    </row>
    <row r="2549" spans="1:3" x14ac:dyDescent="0.3">
      <c r="A2549">
        <v>79047</v>
      </c>
      <c r="B2549">
        <v>1</v>
      </c>
      <c r="C2549">
        <v>8</v>
      </c>
    </row>
    <row r="2550" spans="1:3" x14ac:dyDescent="0.3">
      <c r="A2550">
        <v>78602</v>
      </c>
      <c r="B2550">
        <v>1</v>
      </c>
      <c r="C2550">
        <v>8</v>
      </c>
    </row>
    <row r="2551" spans="1:3" x14ac:dyDescent="0.3">
      <c r="A2551">
        <v>78601</v>
      </c>
      <c r="B2551">
        <v>1</v>
      </c>
      <c r="C2551">
        <v>8</v>
      </c>
    </row>
    <row r="2552" spans="1:3" x14ac:dyDescent="0.3">
      <c r="A2552">
        <v>78511</v>
      </c>
      <c r="B2552">
        <v>1</v>
      </c>
      <c r="C2552">
        <v>8</v>
      </c>
    </row>
    <row r="2553" spans="1:3" x14ac:dyDescent="0.3">
      <c r="A2553">
        <v>78510</v>
      </c>
      <c r="B2553">
        <v>1</v>
      </c>
      <c r="C2553">
        <v>8</v>
      </c>
    </row>
    <row r="2554" spans="1:3" x14ac:dyDescent="0.3">
      <c r="A2554">
        <v>78509</v>
      </c>
      <c r="B2554">
        <v>1</v>
      </c>
      <c r="C2554">
        <v>8</v>
      </c>
    </row>
    <row r="2555" spans="1:3" x14ac:dyDescent="0.3">
      <c r="A2555">
        <v>78508</v>
      </c>
      <c r="B2555">
        <v>1</v>
      </c>
      <c r="C2555">
        <v>8</v>
      </c>
    </row>
    <row r="2556" spans="1:3" x14ac:dyDescent="0.3">
      <c r="A2556">
        <v>78452</v>
      </c>
      <c r="B2556">
        <v>1</v>
      </c>
      <c r="C2556">
        <v>8</v>
      </c>
    </row>
    <row r="2557" spans="1:3" x14ac:dyDescent="0.3">
      <c r="A2557">
        <v>78450</v>
      </c>
      <c r="B2557">
        <v>1</v>
      </c>
      <c r="C2557">
        <v>8</v>
      </c>
    </row>
    <row r="2558" spans="1:3" x14ac:dyDescent="0.3">
      <c r="A2558">
        <v>78449</v>
      </c>
      <c r="B2558">
        <v>1</v>
      </c>
      <c r="C2558">
        <v>8</v>
      </c>
    </row>
    <row r="2559" spans="1:3" x14ac:dyDescent="0.3">
      <c r="A2559">
        <v>78417</v>
      </c>
      <c r="B2559">
        <v>1</v>
      </c>
      <c r="C2559">
        <v>8</v>
      </c>
    </row>
    <row r="2560" spans="1:3" x14ac:dyDescent="0.3">
      <c r="A2560">
        <v>78272</v>
      </c>
      <c r="B2560">
        <v>1</v>
      </c>
      <c r="C2560">
        <v>8</v>
      </c>
    </row>
    <row r="2561" spans="1:3" x14ac:dyDescent="0.3">
      <c r="A2561">
        <v>78271</v>
      </c>
      <c r="B2561">
        <v>1</v>
      </c>
      <c r="C2561">
        <v>8</v>
      </c>
    </row>
    <row r="2562" spans="1:3" x14ac:dyDescent="0.3">
      <c r="A2562">
        <v>78270</v>
      </c>
      <c r="B2562">
        <v>1</v>
      </c>
      <c r="C2562">
        <v>8</v>
      </c>
    </row>
    <row r="2563" spans="1:3" x14ac:dyDescent="0.3">
      <c r="A2563">
        <v>78269</v>
      </c>
      <c r="B2563">
        <v>1</v>
      </c>
      <c r="C2563">
        <v>8</v>
      </c>
    </row>
    <row r="2564" spans="1:3" x14ac:dyDescent="0.3">
      <c r="A2564">
        <v>78268</v>
      </c>
      <c r="B2564">
        <v>1</v>
      </c>
      <c r="C2564">
        <v>8</v>
      </c>
    </row>
    <row r="2565" spans="1:3" x14ac:dyDescent="0.3">
      <c r="A2565">
        <v>78177</v>
      </c>
      <c r="B2565">
        <v>1</v>
      </c>
      <c r="C2565">
        <v>8</v>
      </c>
    </row>
    <row r="2566" spans="1:3" x14ac:dyDescent="0.3">
      <c r="A2566">
        <v>78176</v>
      </c>
      <c r="B2566">
        <v>1</v>
      </c>
      <c r="C2566">
        <v>8</v>
      </c>
    </row>
    <row r="2567" spans="1:3" x14ac:dyDescent="0.3">
      <c r="A2567">
        <v>78175</v>
      </c>
      <c r="B2567">
        <v>1</v>
      </c>
      <c r="C2567">
        <v>8</v>
      </c>
    </row>
    <row r="2568" spans="1:3" x14ac:dyDescent="0.3">
      <c r="A2568">
        <v>77796</v>
      </c>
      <c r="B2568">
        <v>1</v>
      </c>
      <c r="C2568">
        <v>8</v>
      </c>
    </row>
    <row r="2569" spans="1:3" x14ac:dyDescent="0.3">
      <c r="A2569">
        <v>77646</v>
      </c>
      <c r="B2569">
        <v>1</v>
      </c>
      <c r="C2569">
        <v>8</v>
      </c>
    </row>
    <row r="2570" spans="1:3" x14ac:dyDescent="0.3">
      <c r="A2570">
        <v>77339</v>
      </c>
      <c r="B2570">
        <v>1</v>
      </c>
      <c r="C2570">
        <v>8</v>
      </c>
    </row>
    <row r="2571" spans="1:3" x14ac:dyDescent="0.3">
      <c r="A2571">
        <v>77219</v>
      </c>
      <c r="B2571">
        <v>1</v>
      </c>
      <c r="C2571">
        <v>8</v>
      </c>
    </row>
    <row r="2572" spans="1:3" x14ac:dyDescent="0.3">
      <c r="A2572">
        <v>77129</v>
      </c>
      <c r="B2572">
        <v>1</v>
      </c>
      <c r="C2572">
        <v>8</v>
      </c>
    </row>
    <row r="2573" spans="1:3" x14ac:dyDescent="0.3">
      <c r="A2573">
        <v>77009</v>
      </c>
      <c r="B2573">
        <v>1</v>
      </c>
      <c r="C2573">
        <v>8</v>
      </c>
    </row>
    <row r="2574" spans="1:3" x14ac:dyDescent="0.3">
      <c r="A2574">
        <v>77007</v>
      </c>
      <c r="B2574">
        <v>1</v>
      </c>
      <c r="C2574">
        <v>8</v>
      </c>
    </row>
    <row r="2575" spans="1:3" x14ac:dyDescent="0.3">
      <c r="A2575">
        <v>77006</v>
      </c>
      <c r="B2575">
        <v>1</v>
      </c>
      <c r="C2575">
        <v>8</v>
      </c>
    </row>
    <row r="2576" spans="1:3" x14ac:dyDescent="0.3">
      <c r="A2576">
        <v>77005</v>
      </c>
      <c r="B2576">
        <v>1</v>
      </c>
      <c r="C2576">
        <v>8</v>
      </c>
    </row>
    <row r="2577" spans="1:3" x14ac:dyDescent="0.3">
      <c r="A2577">
        <v>76950</v>
      </c>
      <c r="B2577">
        <v>1</v>
      </c>
      <c r="C2577">
        <v>8</v>
      </c>
    </row>
    <row r="2578" spans="1:3" x14ac:dyDescent="0.3">
      <c r="A2578">
        <v>76949</v>
      </c>
      <c r="B2578">
        <v>1</v>
      </c>
      <c r="C2578">
        <v>8</v>
      </c>
    </row>
    <row r="2579" spans="1:3" x14ac:dyDescent="0.3">
      <c r="A2579">
        <v>76886</v>
      </c>
      <c r="B2579">
        <v>1</v>
      </c>
      <c r="C2579">
        <v>8</v>
      </c>
    </row>
    <row r="2580" spans="1:3" x14ac:dyDescent="0.3">
      <c r="A2580">
        <v>76715</v>
      </c>
      <c r="B2580">
        <v>1</v>
      </c>
      <c r="C2580">
        <v>8</v>
      </c>
    </row>
    <row r="2581" spans="1:3" x14ac:dyDescent="0.3">
      <c r="A2581">
        <v>76714</v>
      </c>
      <c r="B2581">
        <v>1</v>
      </c>
      <c r="C2581">
        <v>8</v>
      </c>
    </row>
    <row r="2582" spans="1:3" x14ac:dyDescent="0.3">
      <c r="A2582">
        <v>76665</v>
      </c>
      <c r="B2582">
        <v>1</v>
      </c>
      <c r="C2582">
        <v>8</v>
      </c>
    </row>
    <row r="2583" spans="1:3" x14ac:dyDescent="0.3">
      <c r="A2583">
        <v>76633</v>
      </c>
      <c r="B2583">
        <v>1</v>
      </c>
      <c r="C2583">
        <v>8</v>
      </c>
    </row>
    <row r="2584" spans="1:3" x14ac:dyDescent="0.3">
      <c r="A2584">
        <v>76583</v>
      </c>
      <c r="B2584">
        <v>1</v>
      </c>
      <c r="C2584">
        <v>8</v>
      </c>
    </row>
    <row r="2585" spans="1:3" x14ac:dyDescent="0.3">
      <c r="A2585">
        <v>76582</v>
      </c>
      <c r="B2585">
        <v>1</v>
      </c>
      <c r="C2585">
        <v>8</v>
      </c>
    </row>
    <row r="2586" spans="1:3" x14ac:dyDescent="0.3">
      <c r="A2586">
        <v>76578</v>
      </c>
      <c r="B2586">
        <v>1</v>
      </c>
      <c r="C2586">
        <v>8</v>
      </c>
    </row>
    <row r="2587" spans="1:3" x14ac:dyDescent="0.3">
      <c r="A2587">
        <v>76440</v>
      </c>
      <c r="B2587">
        <v>1</v>
      </c>
      <c r="C2587">
        <v>8</v>
      </c>
    </row>
    <row r="2588" spans="1:3" x14ac:dyDescent="0.3">
      <c r="A2588">
        <v>76366</v>
      </c>
      <c r="B2588">
        <v>1</v>
      </c>
      <c r="C2588">
        <v>8</v>
      </c>
    </row>
    <row r="2589" spans="1:3" x14ac:dyDescent="0.3">
      <c r="A2589">
        <v>76341</v>
      </c>
      <c r="B2589">
        <v>1</v>
      </c>
      <c r="C2589">
        <v>8</v>
      </c>
    </row>
    <row r="2590" spans="1:3" x14ac:dyDescent="0.3">
      <c r="A2590">
        <v>76340</v>
      </c>
      <c r="B2590">
        <v>1</v>
      </c>
      <c r="C2590">
        <v>8</v>
      </c>
    </row>
    <row r="2591" spans="1:3" x14ac:dyDescent="0.3">
      <c r="A2591">
        <v>76301</v>
      </c>
      <c r="B2591">
        <v>1</v>
      </c>
      <c r="C2591">
        <v>8</v>
      </c>
    </row>
    <row r="2592" spans="1:3" x14ac:dyDescent="0.3">
      <c r="A2592">
        <v>76228</v>
      </c>
      <c r="B2592">
        <v>1</v>
      </c>
      <c r="C2592">
        <v>8</v>
      </c>
    </row>
    <row r="2593" spans="1:3" x14ac:dyDescent="0.3">
      <c r="A2593">
        <v>76227</v>
      </c>
      <c r="B2593">
        <v>1</v>
      </c>
      <c r="C2593">
        <v>8</v>
      </c>
    </row>
    <row r="2594" spans="1:3" x14ac:dyDescent="0.3">
      <c r="A2594">
        <v>76226</v>
      </c>
      <c r="B2594">
        <v>1</v>
      </c>
      <c r="C2594">
        <v>8</v>
      </c>
    </row>
    <row r="2595" spans="1:3" x14ac:dyDescent="0.3">
      <c r="A2595">
        <v>76186</v>
      </c>
      <c r="B2595">
        <v>1</v>
      </c>
      <c r="C2595">
        <v>8</v>
      </c>
    </row>
    <row r="2596" spans="1:3" x14ac:dyDescent="0.3">
      <c r="A2596">
        <v>76185</v>
      </c>
      <c r="B2596">
        <v>1</v>
      </c>
      <c r="C2596">
        <v>8</v>
      </c>
    </row>
    <row r="2597" spans="1:3" x14ac:dyDescent="0.3">
      <c r="A2597">
        <v>76059</v>
      </c>
      <c r="B2597">
        <v>1</v>
      </c>
      <c r="C2597">
        <v>8</v>
      </c>
    </row>
    <row r="2598" spans="1:3" x14ac:dyDescent="0.3">
      <c r="A2598">
        <v>75935</v>
      </c>
      <c r="B2598">
        <v>1</v>
      </c>
      <c r="C2598">
        <v>8</v>
      </c>
    </row>
    <row r="2599" spans="1:3" x14ac:dyDescent="0.3">
      <c r="A2599">
        <v>75782</v>
      </c>
      <c r="B2599">
        <v>1</v>
      </c>
      <c r="C2599">
        <v>8</v>
      </c>
    </row>
    <row r="2600" spans="1:3" x14ac:dyDescent="0.3">
      <c r="A2600">
        <v>75674</v>
      </c>
      <c r="B2600">
        <v>1</v>
      </c>
      <c r="C2600">
        <v>8</v>
      </c>
    </row>
    <row r="2601" spans="1:3" x14ac:dyDescent="0.3">
      <c r="A2601">
        <v>75494</v>
      </c>
      <c r="B2601">
        <v>1</v>
      </c>
      <c r="C2601">
        <v>8</v>
      </c>
    </row>
    <row r="2602" spans="1:3" x14ac:dyDescent="0.3">
      <c r="A2602">
        <v>75472</v>
      </c>
      <c r="B2602">
        <v>1</v>
      </c>
      <c r="C2602">
        <v>8</v>
      </c>
    </row>
    <row r="2603" spans="1:3" x14ac:dyDescent="0.3">
      <c r="A2603">
        <v>75325</v>
      </c>
      <c r="B2603">
        <v>1</v>
      </c>
      <c r="C2603">
        <v>8</v>
      </c>
    </row>
    <row r="2604" spans="1:3" x14ac:dyDescent="0.3">
      <c r="A2604">
        <v>75324</v>
      </c>
      <c r="B2604">
        <v>1</v>
      </c>
      <c r="C2604">
        <v>16</v>
      </c>
    </row>
    <row r="2605" spans="1:3" x14ac:dyDescent="0.3">
      <c r="A2605">
        <v>75323</v>
      </c>
      <c r="B2605">
        <v>1</v>
      </c>
      <c r="C2605">
        <v>8</v>
      </c>
    </row>
    <row r="2606" spans="1:3" x14ac:dyDescent="0.3">
      <c r="A2606">
        <v>75200</v>
      </c>
      <c r="B2606">
        <v>1</v>
      </c>
      <c r="C2606">
        <v>8</v>
      </c>
    </row>
    <row r="2607" spans="1:3" x14ac:dyDescent="0.3">
      <c r="A2607">
        <v>75138</v>
      </c>
      <c r="B2607">
        <v>1</v>
      </c>
      <c r="C2607">
        <v>8</v>
      </c>
    </row>
    <row r="2608" spans="1:3" x14ac:dyDescent="0.3">
      <c r="A2608">
        <v>75114</v>
      </c>
      <c r="B2608">
        <v>1</v>
      </c>
      <c r="C2608">
        <v>8</v>
      </c>
    </row>
    <row r="2609" spans="1:3" x14ac:dyDescent="0.3">
      <c r="A2609">
        <v>75113</v>
      </c>
      <c r="B2609">
        <v>1</v>
      </c>
      <c r="C2609">
        <v>8</v>
      </c>
    </row>
    <row r="2610" spans="1:3" x14ac:dyDescent="0.3">
      <c r="A2610">
        <v>75112</v>
      </c>
      <c r="B2610">
        <v>1</v>
      </c>
      <c r="C2610">
        <v>8</v>
      </c>
    </row>
    <row r="2611" spans="1:3" x14ac:dyDescent="0.3">
      <c r="A2611">
        <v>75109</v>
      </c>
      <c r="B2611">
        <v>1</v>
      </c>
      <c r="C2611">
        <v>8</v>
      </c>
    </row>
    <row r="2612" spans="1:3" x14ac:dyDescent="0.3">
      <c r="A2612">
        <v>75104</v>
      </c>
      <c r="B2612">
        <v>1</v>
      </c>
      <c r="C2612">
        <v>8</v>
      </c>
    </row>
    <row r="2613" spans="1:3" x14ac:dyDescent="0.3">
      <c r="A2613">
        <v>74925</v>
      </c>
      <c r="B2613">
        <v>1</v>
      </c>
      <c r="C2613">
        <v>8</v>
      </c>
    </row>
    <row r="2614" spans="1:3" x14ac:dyDescent="0.3">
      <c r="A2614">
        <v>74924</v>
      </c>
      <c r="B2614">
        <v>1</v>
      </c>
      <c r="C2614">
        <v>8</v>
      </c>
    </row>
    <row r="2615" spans="1:3" x14ac:dyDescent="0.3">
      <c r="A2615">
        <v>74804</v>
      </c>
      <c r="B2615">
        <v>1</v>
      </c>
      <c r="C2615">
        <v>8</v>
      </c>
    </row>
    <row r="2616" spans="1:3" x14ac:dyDescent="0.3">
      <c r="A2616">
        <v>74803</v>
      </c>
      <c r="B2616">
        <v>1</v>
      </c>
      <c r="C2616">
        <v>8</v>
      </c>
    </row>
    <row r="2617" spans="1:3" x14ac:dyDescent="0.3">
      <c r="A2617">
        <v>74291</v>
      </c>
      <c r="B2617">
        <v>1</v>
      </c>
      <c r="C2617">
        <v>8</v>
      </c>
    </row>
    <row r="2618" spans="1:3" x14ac:dyDescent="0.3">
      <c r="A2618">
        <v>74290</v>
      </c>
      <c r="B2618">
        <v>1</v>
      </c>
      <c r="C2618">
        <v>8</v>
      </c>
    </row>
    <row r="2619" spans="1:3" x14ac:dyDescent="0.3">
      <c r="A2619">
        <v>74288</v>
      </c>
      <c r="B2619">
        <v>1</v>
      </c>
      <c r="C2619">
        <v>8</v>
      </c>
    </row>
    <row r="2620" spans="1:3" x14ac:dyDescent="0.3">
      <c r="A2620">
        <v>74059</v>
      </c>
      <c r="B2620">
        <v>1</v>
      </c>
      <c r="C2620">
        <v>8</v>
      </c>
    </row>
    <row r="2621" spans="1:3" x14ac:dyDescent="0.3">
      <c r="A2621">
        <v>74005</v>
      </c>
      <c r="B2621">
        <v>1</v>
      </c>
      <c r="C2621">
        <v>16</v>
      </c>
    </row>
    <row r="2622" spans="1:3" x14ac:dyDescent="0.3">
      <c r="A2622">
        <v>73967</v>
      </c>
      <c r="B2622">
        <v>1</v>
      </c>
      <c r="C2622">
        <v>8</v>
      </c>
    </row>
    <row r="2623" spans="1:3" x14ac:dyDescent="0.3">
      <c r="A2623">
        <v>73964</v>
      </c>
      <c r="B2623">
        <v>1</v>
      </c>
      <c r="C2623">
        <v>8</v>
      </c>
    </row>
    <row r="2624" spans="1:3" x14ac:dyDescent="0.3">
      <c r="A2624">
        <v>73838</v>
      </c>
      <c r="B2624">
        <v>1</v>
      </c>
      <c r="C2624">
        <v>8</v>
      </c>
    </row>
    <row r="2625" spans="1:3" x14ac:dyDescent="0.3">
      <c r="A2625">
        <v>73737</v>
      </c>
      <c r="B2625">
        <v>1</v>
      </c>
      <c r="C2625">
        <v>16</v>
      </c>
    </row>
    <row r="2626" spans="1:3" x14ac:dyDescent="0.3">
      <c r="A2626">
        <v>73730</v>
      </c>
      <c r="B2626">
        <v>1</v>
      </c>
      <c r="C2626">
        <v>8</v>
      </c>
    </row>
    <row r="2627" spans="1:3" x14ac:dyDescent="0.3">
      <c r="A2627">
        <v>73708</v>
      </c>
      <c r="B2627">
        <v>1</v>
      </c>
      <c r="C2627">
        <v>8</v>
      </c>
    </row>
    <row r="2628" spans="1:3" x14ac:dyDescent="0.3">
      <c r="A2628">
        <v>73551</v>
      </c>
      <c r="B2628">
        <v>1</v>
      </c>
      <c r="C2628">
        <v>16</v>
      </c>
    </row>
    <row r="2629" spans="1:3" x14ac:dyDescent="0.3">
      <c r="A2629">
        <v>73544</v>
      </c>
      <c r="B2629">
        <v>1</v>
      </c>
      <c r="C2629">
        <v>16</v>
      </c>
    </row>
    <row r="2630" spans="1:3" x14ac:dyDescent="0.3">
      <c r="A2630">
        <v>73384</v>
      </c>
      <c r="B2630">
        <v>1</v>
      </c>
      <c r="C2630">
        <v>8</v>
      </c>
    </row>
    <row r="2631" spans="1:3" x14ac:dyDescent="0.3">
      <c r="A2631">
        <v>72975</v>
      </c>
      <c r="B2631">
        <v>1</v>
      </c>
      <c r="C2631">
        <v>8</v>
      </c>
    </row>
    <row r="2632" spans="1:3" x14ac:dyDescent="0.3">
      <c r="A2632">
        <v>72921</v>
      </c>
      <c r="B2632">
        <v>1</v>
      </c>
      <c r="C2632">
        <v>8</v>
      </c>
    </row>
    <row r="2633" spans="1:3" x14ac:dyDescent="0.3">
      <c r="A2633">
        <v>72728</v>
      </c>
      <c r="B2633">
        <v>1</v>
      </c>
      <c r="C2633">
        <v>8</v>
      </c>
    </row>
    <row r="2634" spans="1:3" x14ac:dyDescent="0.3">
      <c r="A2634">
        <v>72641</v>
      </c>
      <c r="B2634">
        <v>1</v>
      </c>
      <c r="C2634">
        <v>8</v>
      </c>
    </row>
    <row r="2635" spans="1:3" x14ac:dyDescent="0.3">
      <c r="A2635">
        <v>72640</v>
      </c>
      <c r="B2635">
        <v>1</v>
      </c>
      <c r="C2635">
        <v>8</v>
      </c>
    </row>
    <row r="2636" spans="1:3" x14ac:dyDescent="0.3">
      <c r="A2636">
        <v>72518</v>
      </c>
      <c r="B2636">
        <v>1</v>
      </c>
      <c r="C2636">
        <v>8</v>
      </c>
    </row>
    <row r="2637" spans="1:3" x14ac:dyDescent="0.3">
      <c r="A2637">
        <v>72517</v>
      </c>
      <c r="B2637">
        <v>1</v>
      </c>
      <c r="C2637">
        <v>8</v>
      </c>
    </row>
    <row r="2638" spans="1:3" x14ac:dyDescent="0.3">
      <c r="A2638">
        <v>72516</v>
      </c>
      <c r="B2638">
        <v>1</v>
      </c>
      <c r="C2638">
        <v>8</v>
      </c>
    </row>
    <row r="2639" spans="1:3" x14ac:dyDescent="0.3">
      <c r="A2639">
        <v>72515</v>
      </c>
      <c r="B2639">
        <v>1</v>
      </c>
      <c r="C2639">
        <v>8</v>
      </c>
    </row>
    <row r="2640" spans="1:3" x14ac:dyDescent="0.3">
      <c r="A2640">
        <v>72320</v>
      </c>
      <c r="B2640">
        <v>1</v>
      </c>
      <c r="C2640">
        <v>8</v>
      </c>
    </row>
    <row r="2641" spans="1:3" x14ac:dyDescent="0.3">
      <c r="A2641">
        <v>72319</v>
      </c>
      <c r="B2641">
        <v>1</v>
      </c>
      <c r="C2641">
        <v>8</v>
      </c>
    </row>
    <row r="2642" spans="1:3" x14ac:dyDescent="0.3">
      <c r="A2642">
        <v>72179</v>
      </c>
      <c r="B2642">
        <v>1</v>
      </c>
      <c r="C2642">
        <v>8</v>
      </c>
    </row>
    <row r="2643" spans="1:3" x14ac:dyDescent="0.3">
      <c r="A2643">
        <v>72178</v>
      </c>
      <c r="B2643">
        <v>1</v>
      </c>
      <c r="C2643">
        <v>8</v>
      </c>
    </row>
    <row r="2644" spans="1:3" x14ac:dyDescent="0.3">
      <c r="A2644">
        <v>72111</v>
      </c>
      <c r="B2644">
        <v>1</v>
      </c>
      <c r="C2644">
        <v>8</v>
      </c>
    </row>
    <row r="2645" spans="1:3" x14ac:dyDescent="0.3">
      <c r="A2645">
        <v>72110</v>
      </c>
      <c r="B2645">
        <v>1</v>
      </c>
      <c r="C2645">
        <v>8</v>
      </c>
    </row>
    <row r="2646" spans="1:3" x14ac:dyDescent="0.3">
      <c r="A2646">
        <v>71956</v>
      </c>
      <c r="B2646">
        <v>1</v>
      </c>
      <c r="C2646">
        <v>8</v>
      </c>
    </row>
    <row r="2647" spans="1:3" x14ac:dyDescent="0.3">
      <c r="A2647">
        <v>71849</v>
      </c>
      <c r="B2647">
        <v>1</v>
      </c>
      <c r="C2647">
        <v>16</v>
      </c>
    </row>
    <row r="2648" spans="1:3" x14ac:dyDescent="0.3">
      <c r="A2648">
        <v>71847</v>
      </c>
      <c r="B2648">
        <v>1</v>
      </c>
      <c r="C2648">
        <v>8</v>
      </c>
    </row>
    <row r="2649" spans="1:3" x14ac:dyDescent="0.3">
      <c r="A2649">
        <v>71767</v>
      </c>
      <c r="B2649">
        <v>1</v>
      </c>
      <c r="C2649">
        <v>16</v>
      </c>
    </row>
    <row r="2650" spans="1:3" x14ac:dyDescent="0.3">
      <c r="A2650">
        <v>71766</v>
      </c>
      <c r="B2650">
        <v>1</v>
      </c>
      <c r="C2650">
        <v>16</v>
      </c>
    </row>
    <row r="2651" spans="1:3" x14ac:dyDescent="0.3">
      <c r="A2651">
        <v>71642</v>
      </c>
      <c r="B2651">
        <v>1</v>
      </c>
      <c r="C2651">
        <v>8</v>
      </c>
    </row>
    <row r="2652" spans="1:3" x14ac:dyDescent="0.3">
      <c r="A2652">
        <v>71411</v>
      </c>
      <c r="B2652">
        <v>1</v>
      </c>
      <c r="C2652">
        <v>8</v>
      </c>
    </row>
    <row r="2653" spans="1:3" x14ac:dyDescent="0.3">
      <c r="A2653">
        <v>71398</v>
      </c>
      <c r="B2653">
        <v>1</v>
      </c>
      <c r="C2653">
        <v>8</v>
      </c>
    </row>
    <row r="2654" spans="1:3" x14ac:dyDescent="0.3">
      <c r="A2654">
        <v>71395</v>
      </c>
      <c r="B2654">
        <v>1</v>
      </c>
      <c r="C2654">
        <v>8</v>
      </c>
    </row>
    <row r="2655" spans="1:3" x14ac:dyDescent="0.3">
      <c r="A2655">
        <v>71394</v>
      </c>
      <c r="B2655">
        <v>1</v>
      </c>
      <c r="C2655">
        <v>8</v>
      </c>
    </row>
    <row r="2656" spans="1:3" x14ac:dyDescent="0.3">
      <c r="A2656">
        <v>71390</v>
      </c>
      <c r="B2656">
        <v>1</v>
      </c>
      <c r="C2656">
        <v>8</v>
      </c>
    </row>
    <row r="2657" spans="1:3" x14ac:dyDescent="0.3">
      <c r="A2657">
        <v>70857</v>
      </c>
      <c r="B2657">
        <v>1</v>
      </c>
      <c r="C2657">
        <v>8</v>
      </c>
    </row>
    <row r="2658" spans="1:3" x14ac:dyDescent="0.3">
      <c r="A2658">
        <v>70688</v>
      </c>
      <c r="B2658">
        <v>1</v>
      </c>
      <c r="C2658">
        <v>8</v>
      </c>
    </row>
    <row r="2659" spans="1:3" x14ac:dyDescent="0.3">
      <c r="A2659">
        <v>70687</v>
      </c>
      <c r="B2659">
        <v>1</v>
      </c>
      <c r="C2659">
        <v>8</v>
      </c>
    </row>
    <row r="2660" spans="1:3" x14ac:dyDescent="0.3">
      <c r="A2660">
        <v>70685</v>
      </c>
      <c r="B2660">
        <v>1</v>
      </c>
      <c r="C2660">
        <v>16</v>
      </c>
    </row>
    <row r="2661" spans="1:3" x14ac:dyDescent="0.3">
      <c r="A2661">
        <v>70684</v>
      </c>
      <c r="B2661">
        <v>1</v>
      </c>
      <c r="C2661">
        <v>8</v>
      </c>
    </row>
    <row r="2662" spans="1:3" x14ac:dyDescent="0.3">
      <c r="A2662">
        <v>70683</v>
      </c>
      <c r="B2662">
        <v>1</v>
      </c>
      <c r="C2662">
        <v>8</v>
      </c>
    </row>
    <row r="2663" spans="1:3" x14ac:dyDescent="0.3">
      <c r="A2663">
        <v>70682</v>
      </c>
      <c r="B2663">
        <v>1</v>
      </c>
      <c r="C2663">
        <v>16</v>
      </c>
    </row>
    <row r="2664" spans="1:3" x14ac:dyDescent="0.3">
      <c r="A2664">
        <v>70681</v>
      </c>
      <c r="B2664">
        <v>1</v>
      </c>
      <c r="C2664">
        <v>8</v>
      </c>
    </row>
    <row r="2665" spans="1:3" x14ac:dyDescent="0.3">
      <c r="A2665">
        <v>70355</v>
      </c>
      <c r="B2665">
        <v>1</v>
      </c>
      <c r="C2665">
        <v>8</v>
      </c>
    </row>
    <row r="2666" spans="1:3" x14ac:dyDescent="0.3">
      <c r="A2666">
        <v>70326</v>
      </c>
      <c r="B2666">
        <v>1</v>
      </c>
      <c r="C2666">
        <v>8</v>
      </c>
    </row>
    <row r="2667" spans="1:3" x14ac:dyDescent="0.3">
      <c r="A2667">
        <v>70323</v>
      </c>
      <c r="B2667">
        <v>1</v>
      </c>
      <c r="C2667">
        <v>8</v>
      </c>
    </row>
    <row r="2668" spans="1:3" x14ac:dyDescent="0.3">
      <c r="A2668">
        <v>69854</v>
      </c>
      <c r="B2668">
        <v>1</v>
      </c>
      <c r="C2668">
        <v>8</v>
      </c>
    </row>
    <row r="2669" spans="1:3" x14ac:dyDescent="0.3">
      <c r="A2669">
        <v>69791</v>
      </c>
      <c r="B2669">
        <v>1</v>
      </c>
      <c r="C2669">
        <v>8</v>
      </c>
    </row>
    <row r="2670" spans="1:3" x14ac:dyDescent="0.3">
      <c r="A2670">
        <v>69766</v>
      </c>
      <c r="B2670">
        <v>1</v>
      </c>
      <c r="C2670">
        <v>16</v>
      </c>
    </row>
    <row r="2671" spans="1:3" x14ac:dyDescent="0.3">
      <c r="A2671">
        <v>69744</v>
      </c>
      <c r="B2671">
        <v>1</v>
      </c>
      <c r="C2671">
        <v>16</v>
      </c>
    </row>
    <row r="2672" spans="1:3" x14ac:dyDescent="0.3">
      <c r="A2672">
        <v>69623</v>
      </c>
      <c r="B2672">
        <v>1</v>
      </c>
      <c r="C2672">
        <v>8</v>
      </c>
    </row>
    <row r="2673" spans="1:3" x14ac:dyDescent="0.3">
      <c r="A2673">
        <v>69619</v>
      </c>
      <c r="B2673">
        <v>1</v>
      </c>
      <c r="C2673">
        <v>16</v>
      </c>
    </row>
    <row r="2674" spans="1:3" x14ac:dyDescent="0.3">
      <c r="A2674">
        <v>68934</v>
      </c>
      <c r="B2674">
        <v>1</v>
      </c>
      <c r="C2674">
        <v>8</v>
      </c>
    </row>
    <row r="2675" spans="1:3" x14ac:dyDescent="0.3">
      <c r="A2675">
        <v>68895</v>
      </c>
      <c r="B2675">
        <v>1</v>
      </c>
      <c r="C2675">
        <v>16</v>
      </c>
    </row>
    <row r="2676" spans="1:3" x14ac:dyDescent="0.3">
      <c r="A2676">
        <v>68894</v>
      </c>
      <c r="B2676">
        <v>1</v>
      </c>
      <c r="C2676">
        <v>8</v>
      </c>
    </row>
    <row r="2677" spans="1:3" x14ac:dyDescent="0.3">
      <c r="A2677">
        <v>68569</v>
      </c>
      <c r="B2677">
        <v>1</v>
      </c>
      <c r="C2677">
        <v>8</v>
      </c>
    </row>
    <row r="2678" spans="1:3" x14ac:dyDescent="0.3">
      <c r="A2678">
        <v>68407</v>
      </c>
      <c r="B2678">
        <v>1</v>
      </c>
      <c r="C2678">
        <v>8</v>
      </c>
    </row>
    <row r="2679" spans="1:3" x14ac:dyDescent="0.3">
      <c r="A2679">
        <v>10575</v>
      </c>
      <c r="B2679">
        <v>1</v>
      </c>
      <c r="C2679">
        <v>8</v>
      </c>
    </row>
    <row r="2680" spans="1:3" x14ac:dyDescent="0.3">
      <c r="A2680">
        <v>68305</v>
      </c>
      <c r="B2680">
        <v>1</v>
      </c>
      <c r="C2680">
        <v>8</v>
      </c>
    </row>
    <row r="2681" spans="1:3" x14ac:dyDescent="0.3">
      <c r="A2681">
        <v>68303</v>
      </c>
      <c r="B2681">
        <v>1</v>
      </c>
      <c r="C2681">
        <v>8</v>
      </c>
    </row>
    <row r="2682" spans="1:3" x14ac:dyDescent="0.3">
      <c r="A2682">
        <v>68300</v>
      </c>
      <c r="B2682">
        <v>1</v>
      </c>
      <c r="C2682">
        <v>8</v>
      </c>
    </row>
    <row r="2683" spans="1:3" x14ac:dyDescent="0.3">
      <c r="A2683">
        <v>68299</v>
      </c>
      <c r="B2683">
        <v>1</v>
      </c>
      <c r="C2683">
        <v>8</v>
      </c>
    </row>
    <row r="2684" spans="1:3" x14ac:dyDescent="0.3">
      <c r="A2684">
        <v>68298</v>
      </c>
      <c r="B2684">
        <v>1</v>
      </c>
      <c r="C2684">
        <v>8</v>
      </c>
    </row>
    <row r="2685" spans="1:3" x14ac:dyDescent="0.3">
      <c r="A2685">
        <v>68079</v>
      </c>
      <c r="B2685">
        <v>1</v>
      </c>
      <c r="C2685">
        <v>8</v>
      </c>
    </row>
    <row r="2686" spans="1:3" x14ac:dyDescent="0.3">
      <c r="A2686">
        <v>68005</v>
      </c>
      <c r="B2686">
        <v>1</v>
      </c>
      <c r="C2686">
        <v>8</v>
      </c>
    </row>
    <row r="2687" spans="1:3" x14ac:dyDescent="0.3">
      <c r="A2687">
        <v>67626</v>
      </c>
      <c r="B2687">
        <v>1</v>
      </c>
      <c r="C2687">
        <v>16</v>
      </c>
    </row>
    <row r="2688" spans="1:3" x14ac:dyDescent="0.3">
      <c r="A2688">
        <v>67537</v>
      </c>
      <c r="B2688">
        <v>1</v>
      </c>
      <c r="C2688">
        <v>8</v>
      </c>
    </row>
    <row r="2689" spans="1:3" x14ac:dyDescent="0.3">
      <c r="A2689">
        <v>67225</v>
      </c>
      <c r="B2689">
        <v>1</v>
      </c>
      <c r="C2689">
        <v>8</v>
      </c>
    </row>
    <row r="2690" spans="1:3" x14ac:dyDescent="0.3">
      <c r="A2690">
        <v>67146</v>
      </c>
      <c r="B2690">
        <v>1</v>
      </c>
      <c r="C2690">
        <v>8</v>
      </c>
    </row>
    <row r="2691" spans="1:3" x14ac:dyDescent="0.3">
      <c r="A2691">
        <v>66775</v>
      </c>
      <c r="B2691">
        <v>1</v>
      </c>
      <c r="C2691">
        <v>8</v>
      </c>
    </row>
    <row r="2692" spans="1:3" x14ac:dyDescent="0.3">
      <c r="A2692">
        <v>66669</v>
      </c>
      <c r="B2692">
        <v>1</v>
      </c>
      <c r="C2692">
        <v>8</v>
      </c>
    </row>
    <row r="2693" spans="1:3" x14ac:dyDescent="0.3">
      <c r="A2693">
        <v>66594</v>
      </c>
      <c r="B2693">
        <v>1</v>
      </c>
      <c r="C2693">
        <v>16</v>
      </c>
    </row>
    <row r="2694" spans="1:3" x14ac:dyDescent="0.3">
      <c r="A2694">
        <v>66593</v>
      </c>
      <c r="B2694">
        <v>1</v>
      </c>
      <c r="C2694">
        <v>8</v>
      </c>
    </row>
    <row r="2695" spans="1:3" x14ac:dyDescent="0.3">
      <c r="A2695">
        <v>66450</v>
      </c>
      <c r="B2695">
        <v>1</v>
      </c>
      <c r="C2695">
        <v>8</v>
      </c>
    </row>
    <row r="2696" spans="1:3" x14ac:dyDescent="0.3">
      <c r="A2696">
        <v>66449</v>
      </c>
      <c r="B2696">
        <v>1</v>
      </c>
      <c r="C2696">
        <v>16</v>
      </c>
    </row>
    <row r="2697" spans="1:3" x14ac:dyDescent="0.3">
      <c r="A2697">
        <v>66164</v>
      </c>
      <c r="B2697">
        <v>1</v>
      </c>
      <c r="C2697">
        <v>8</v>
      </c>
    </row>
    <row r="2698" spans="1:3" x14ac:dyDescent="0.3">
      <c r="A2698">
        <v>66161</v>
      </c>
      <c r="B2698">
        <v>1</v>
      </c>
      <c r="C2698">
        <v>8</v>
      </c>
    </row>
    <row r="2699" spans="1:3" x14ac:dyDescent="0.3">
      <c r="A2699">
        <v>66101</v>
      </c>
      <c r="B2699">
        <v>1</v>
      </c>
      <c r="C2699">
        <v>8</v>
      </c>
    </row>
    <row r="2700" spans="1:3" x14ac:dyDescent="0.3">
      <c r="A2700">
        <v>64802</v>
      </c>
      <c r="B2700">
        <v>1</v>
      </c>
      <c r="C2700">
        <v>16</v>
      </c>
    </row>
    <row r="2701" spans="1:3" x14ac:dyDescent="0.3">
      <c r="A2701">
        <v>64801</v>
      </c>
      <c r="B2701">
        <v>1</v>
      </c>
      <c r="C2701">
        <v>8</v>
      </c>
    </row>
    <row r="2702" spans="1:3" x14ac:dyDescent="0.3">
      <c r="A2702">
        <v>64726</v>
      </c>
      <c r="B2702">
        <v>1</v>
      </c>
      <c r="C2702">
        <v>8</v>
      </c>
    </row>
    <row r="2703" spans="1:3" x14ac:dyDescent="0.3">
      <c r="A2703">
        <v>64327</v>
      </c>
      <c r="B2703">
        <v>1</v>
      </c>
      <c r="C2703">
        <v>8</v>
      </c>
    </row>
    <row r="2704" spans="1:3" x14ac:dyDescent="0.3">
      <c r="A2704">
        <v>64018</v>
      </c>
      <c r="B2704">
        <v>1</v>
      </c>
      <c r="C2704">
        <v>8</v>
      </c>
    </row>
    <row r="2705" spans="1:3" x14ac:dyDescent="0.3">
      <c r="A2705">
        <v>64017</v>
      </c>
      <c r="B2705">
        <v>1</v>
      </c>
      <c r="C2705">
        <v>8</v>
      </c>
    </row>
    <row r="2706" spans="1:3" x14ac:dyDescent="0.3">
      <c r="A2706">
        <v>63822</v>
      </c>
      <c r="B2706">
        <v>1</v>
      </c>
      <c r="C2706">
        <v>8</v>
      </c>
    </row>
    <row r="2707" spans="1:3" x14ac:dyDescent="0.3">
      <c r="A2707">
        <v>63819</v>
      </c>
      <c r="B2707">
        <v>1</v>
      </c>
      <c r="C2707">
        <v>8</v>
      </c>
    </row>
    <row r="2708" spans="1:3" x14ac:dyDescent="0.3">
      <c r="A2708">
        <v>62123</v>
      </c>
      <c r="B2708">
        <v>1</v>
      </c>
      <c r="C2708">
        <v>8</v>
      </c>
    </row>
    <row r="2709" spans="1:3" x14ac:dyDescent="0.3">
      <c r="A2709">
        <v>62122</v>
      </c>
      <c r="B2709">
        <v>1</v>
      </c>
      <c r="C2709">
        <v>8</v>
      </c>
    </row>
    <row r="2710" spans="1:3" x14ac:dyDescent="0.3">
      <c r="A2710">
        <v>61999</v>
      </c>
      <c r="B2710">
        <v>1</v>
      </c>
      <c r="C2710">
        <v>8</v>
      </c>
    </row>
    <row r="2711" spans="1:3" x14ac:dyDescent="0.3">
      <c r="A2711">
        <v>61896</v>
      </c>
      <c r="B2711">
        <v>1</v>
      </c>
      <c r="C2711">
        <v>8</v>
      </c>
    </row>
    <row r="2712" spans="1:3" x14ac:dyDescent="0.3">
      <c r="A2712">
        <v>60959</v>
      </c>
      <c r="B2712">
        <v>1</v>
      </c>
      <c r="C2712">
        <v>8</v>
      </c>
    </row>
    <row r="2713" spans="1:3" x14ac:dyDescent="0.3">
      <c r="A2713">
        <v>60734</v>
      </c>
      <c r="B2713">
        <v>1</v>
      </c>
      <c r="C2713">
        <v>8</v>
      </c>
    </row>
    <row r="2714" spans="1:3" x14ac:dyDescent="0.3">
      <c r="A2714">
        <v>60683</v>
      </c>
      <c r="B2714">
        <v>1</v>
      </c>
      <c r="C2714">
        <v>8</v>
      </c>
    </row>
    <row r="2715" spans="1:3" x14ac:dyDescent="0.3">
      <c r="A2715">
        <v>60607</v>
      </c>
      <c r="B2715">
        <v>1</v>
      </c>
      <c r="C2715">
        <v>8</v>
      </c>
    </row>
    <row r="2716" spans="1:3" x14ac:dyDescent="0.3">
      <c r="A2716">
        <v>60155</v>
      </c>
      <c r="B2716">
        <v>1</v>
      </c>
      <c r="C2716">
        <v>8</v>
      </c>
    </row>
    <row r="2717" spans="1:3" x14ac:dyDescent="0.3">
      <c r="A2717">
        <v>60132</v>
      </c>
      <c r="B2717">
        <v>1</v>
      </c>
      <c r="C2717">
        <v>8</v>
      </c>
    </row>
    <row r="2718" spans="1:3" x14ac:dyDescent="0.3">
      <c r="A2718">
        <v>59874</v>
      </c>
      <c r="B2718">
        <v>1</v>
      </c>
      <c r="C2718">
        <v>8</v>
      </c>
    </row>
    <row r="2719" spans="1:3" x14ac:dyDescent="0.3">
      <c r="A2719">
        <v>59390</v>
      </c>
      <c r="B2719">
        <v>1</v>
      </c>
      <c r="C2719">
        <v>16</v>
      </c>
    </row>
    <row r="2720" spans="1:3" x14ac:dyDescent="0.3">
      <c r="A2720">
        <v>10777</v>
      </c>
      <c r="B2720">
        <v>1</v>
      </c>
      <c r="C2720">
        <v>16</v>
      </c>
    </row>
    <row r="2721" spans="1:3" x14ac:dyDescent="0.3">
      <c r="A2721">
        <v>59180</v>
      </c>
      <c r="B2721">
        <v>1</v>
      </c>
      <c r="C2721">
        <v>8</v>
      </c>
    </row>
    <row r="2722" spans="1:3" x14ac:dyDescent="0.3">
      <c r="A2722">
        <v>58951</v>
      </c>
      <c r="B2722">
        <v>1</v>
      </c>
      <c r="C2722">
        <v>8</v>
      </c>
    </row>
    <row r="2723" spans="1:3" x14ac:dyDescent="0.3">
      <c r="A2723">
        <v>57564</v>
      </c>
      <c r="B2723">
        <v>1</v>
      </c>
      <c r="C2723">
        <v>8</v>
      </c>
    </row>
    <row r="2724" spans="1:3" x14ac:dyDescent="0.3">
      <c r="A2724">
        <v>57406</v>
      </c>
      <c r="B2724">
        <v>1</v>
      </c>
      <c r="C2724">
        <v>8</v>
      </c>
    </row>
    <row r="2725" spans="1:3" x14ac:dyDescent="0.3">
      <c r="A2725">
        <v>57312</v>
      </c>
      <c r="B2725">
        <v>1</v>
      </c>
      <c r="C2725">
        <v>8</v>
      </c>
    </row>
    <row r="2726" spans="1:3" x14ac:dyDescent="0.3">
      <c r="A2726">
        <v>57310</v>
      </c>
      <c r="B2726">
        <v>1</v>
      </c>
      <c r="C2726">
        <v>8</v>
      </c>
    </row>
    <row r="2727" spans="1:3" x14ac:dyDescent="0.3">
      <c r="A2727">
        <v>56867</v>
      </c>
      <c r="B2727">
        <v>1</v>
      </c>
      <c r="C2727">
        <v>16</v>
      </c>
    </row>
    <row r="2728" spans="1:3" x14ac:dyDescent="0.3">
      <c r="A2728">
        <v>56148</v>
      </c>
      <c r="B2728">
        <v>1</v>
      </c>
      <c r="C2728">
        <v>8</v>
      </c>
    </row>
    <row r="2729" spans="1:3" x14ac:dyDescent="0.3">
      <c r="A2729">
        <v>56147</v>
      </c>
      <c r="B2729">
        <v>1</v>
      </c>
      <c r="C2729">
        <v>8</v>
      </c>
    </row>
    <row r="2730" spans="1:3" x14ac:dyDescent="0.3">
      <c r="A2730">
        <v>55492</v>
      </c>
      <c r="B2730">
        <v>1</v>
      </c>
      <c r="C2730">
        <v>8</v>
      </c>
    </row>
    <row r="2731" spans="1:3" x14ac:dyDescent="0.3">
      <c r="A2731">
        <v>54474</v>
      </c>
      <c r="B2731">
        <v>1</v>
      </c>
      <c r="C2731">
        <v>8</v>
      </c>
    </row>
    <row r="2732" spans="1:3" x14ac:dyDescent="0.3">
      <c r="A2732">
        <v>54473</v>
      </c>
      <c r="B2732">
        <v>1</v>
      </c>
      <c r="C2732">
        <v>8</v>
      </c>
    </row>
    <row r="2733" spans="1:3" x14ac:dyDescent="0.3">
      <c r="A2733">
        <v>53867</v>
      </c>
      <c r="B2733">
        <v>1</v>
      </c>
      <c r="C2733">
        <v>8</v>
      </c>
    </row>
    <row r="2734" spans="1:3" x14ac:dyDescent="0.3">
      <c r="A2734">
        <v>53689</v>
      </c>
      <c r="B2734">
        <v>1</v>
      </c>
      <c r="C2734">
        <v>8</v>
      </c>
    </row>
    <row r="2735" spans="1:3" x14ac:dyDescent="0.3">
      <c r="A2735">
        <v>53509</v>
      </c>
      <c r="B2735">
        <v>1</v>
      </c>
      <c r="C2735">
        <v>16</v>
      </c>
    </row>
    <row r="2736" spans="1:3" x14ac:dyDescent="0.3">
      <c r="A2736">
        <v>53225</v>
      </c>
      <c r="B2736">
        <v>1</v>
      </c>
      <c r="C2736">
        <v>8</v>
      </c>
    </row>
    <row r="2737" spans="1:3" x14ac:dyDescent="0.3">
      <c r="A2737">
        <v>52803</v>
      </c>
      <c r="B2737">
        <v>1</v>
      </c>
      <c r="C2737">
        <v>16</v>
      </c>
    </row>
    <row r="2738" spans="1:3" x14ac:dyDescent="0.3">
      <c r="A2738">
        <v>52731</v>
      </c>
      <c r="B2738">
        <v>1</v>
      </c>
      <c r="C2738">
        <v>16</v>
      </c>
    </row>
    <row r="2739" spans="1:3" x14ac:dyDescent="0.3">
      <c r="A2739">
        <v>52517</v>
      </c>
      <c r="B2739">
        <v>1</v>
      </c>
      <c r="C2739">
        <v>8</v>
      </c>
    </row>
    <row r="2740" spans="1:3" x14ac:dyDescent="0.3">
      <c r="A2740">
        <v>52031</v>
      </c>
      <c r="B2740">
        <v>1</v>
      </c>
      <c r="C2740">
        <v>16</v>
      </c>
    </row>
    <row r="2741" spans="1:3" x14ac:dyDescent="0.3">
      <c r="A2741">
        <v>52028</v>
      </c>
      <c r="B2741">
        <v>1</v>
      </c>
      <c r="C2741">
        <v>16</v>
      </c>
    </row>
    <row r="2742" spans="1:3" x14ac:dyDescent="0.3">
      <c r="A2742">
        <v>51961</v>
      </c>
      <c r="B2742">
        <v>1</v>
      </c>
      <c r="C2742">
        <v>8</v>
      </c>
    </row>
    <row r="2743" spans="1:3" x14ac:dyDescent="0.3">
      <c r="A2743">
        <v>51205</v>
      </c>
      <c r="B2743">
        <v>1</v>
      </c>
      <c r="C2743">
        <v>8</v>
      </c>
    </row>
    <row r="2744" spans="1:3" x14ac:dyDescent="0.3">
      <c r="A2744">
        <v>50779</v>
      </c>
      <c r="B2744">
        <v>1</v>
      </c>
      <c r="C2744">
        <v>8</v>
      </c>
    </row>
    <row r="2745" spans="1:3" x14ac:dyDescent="0.3">
      <c r="A2745">
        <v>50205</v>
      </c>
      <c r="B2745">
        <v>1</v>
      </c>
      <c r="C2745">
        <v>8</v>
      </c>
    </row>
    <row r="2746" spans="1:3" x14ac:dyDescent="0.3">
      <c r="A2746">
        <v>50043</v>
      </c>
      <c r="B2746">
        <v>1</v>
      </c>
      <c r="C2746">
        <v>16</v>
      </c>
    </row>
    <row r="2747" spans="1:3" x14ac:dyDescent="0.3">
      <c r="A2747">
        <v>50037</v>
      </c>
      <c r="B2747">
        <v>1</v>
      </c>
      <c r="C2747">
        <v>16</v>
      </c>
    </row>
    <row r="2748" spans="1:3" x14ac:dyDescent="0.3">
      <c r="A2748">
        <v>49225</v>
      </c>
      <c r="B2748">
        <v>1</v>
      </c>
      <c r="C2748">
        <v>8</v>
      </c>
    </row>
    <row r="2749" spans="1:3" x14ac:dyDescent="0.3">
      <c r="A2749">
        <v>49117</v>
      </c>
      <c r="B2749">
        <v>1</v>
      </c>
      <c r="C2749">
        <v>8</v>
      </c>
    </row>
    <row r="2750" spans="1:3" x14ac:dyDescent="0.3">
      <c r="A2750">
        <v>49116</v>
      </c>
      <c r="B2750">
        <v>1</v>
      </c>
      <c r="C2750">
        <v>8</v>
      </c>
    </row>
    <row r="2751" spans="1:3" x14ac:dyDescent="0.3">
      <c r="A2751">
        <v>48859</v>
      </c>
      <c r="B2751">
        <v>1</v>
      </c>
      <c r="C2751">
        <v>8</v>
      </c>
    </row>
    <row r="2752" spans="1:3" x14ac:dyDescent="0.3">
      <c r="A2752">
        <v>47763</v>
      </c>
      <c r="B2752">
        <v>1</v>
      </c>
      <c r="C2752">
        <v>8</v>
      </c>
    </row>
    <row r="2753" spans="1:3" x14ac:dyDescent="0.3">
      <c r="A2753">
        <v>46965</v>
      </c>
      <c r="B2753">
        <v>1</v>
      </c>
      <c r="C2753">
        <v>8</v>
      </c>
    </row>
    <row r="2754" spans="1:3" x14ac:dyDescent="0.3">
      <c r="A2754">
        <v>46961</v>
      </c>
      <c r="B2754">
        <v>1</v>
      </c>
      <c r="C2754">
        <v>8</v>
      </c>
    </row>
    <row r="2755" spans="1:3" x14ac:dyDescent="0.3">
      <c r="A2755">
        <v>46957</v>
      </c>
      <c r="B2755">
        <v>1</v>
      </c>
      <c r="C2755">
        <v>8</v>
      </c>
    </row>
    <row r="2756" spans="1:3" x14ac:dyDescent="0.3">
      <c r="A2756">
        <v>46893</v>
      </c>
      <c r="B2756">
        <v>1</v>
      </c>
      <c r="C2756">
        <v>8</v>
      </c>
    </row>
    <row r="2757" spans="1:3" x14ac:dyDescent="0.3">
      <c r="A2757">
        <v>46351</v>
      </c>
      <c r="B2757">
        <v>1</v>
      </c>
      <c r="C2757">
        <v>8</v>
      </c>
    </row>
    <row r="2758" spans="1:3" x14ac:dyDescent="0.3">
      <c r="A2758">
        <v>46140</v>
      </c>
      <c r="B2758">
        <v>1</v>
      </c>
      <c r="C2758">
        <v>8</v>
      </c>
    </row>
    <row r="2759" spans="1:3" x14ac:dyDescent="0.3">
      <c r="A2759">
        <v>45363</v>
      </c>
      <c r="B2759">
        <v>1</v>
      </c>
      <c r="C2759">
        <v>8</v>
      </c>
    </row>
    <row r="2760" spans="1:3" x14ac:dyDescent="0.3">
      <c r="A2760">
        <v>43291</v>
      </c>
      <c r="B2760">
        <v>1</v>
      </c>
      <c r="C2760">
        <v>8</v>
      </c>
    </row>
    <row r="2761" spans="1:3" x14ac:dyDescent="0.3">
      <c r="A2761">
        <v>43290</v>
      </c>
      <c r="B2761">
        <v>1</v>
      </c>
      <c r="C2761">
        <v>8</v>
      </c>
    </row>
    <row r="2762" spans="1:3" x14ac:dyDescent="0.3">
      <c r="A2762">
        <v>42658</v>
      </c>
      <c r="B2762">
        <v>1</v>
      </c>
      <c r="C2762">
        <v>8</v>
      </c>
    </row>
    <row r="2763" spans="1:3" x14ac:dyDescent="0.3">
      <c r="A2763">
        <v>40569</v>
      </c>
      <c r="B2763">
        <v>1</v>
      </c>
      <c r="C2763">
        <v>8</v>
      </c>
    </row>
    <row r="2764" spans="1:3" x14ac:dyDescent="0.3">
      <c r="A2764">
        <v>40448</v>
      </c>
      <c r="B2764">
        <v>1</v>
      </c>
      <c r="C2764">
        <v>8</v>
      </c>
    </row>
    <row r="2765" spans="1:3" x14ac:dyDescent="0.3">
      <c r="A2765">
        <v>40171</v>
      </c>
      <c r="B2765">
        <v>1</v>
      </c>
      <c r="C2765">
        <v>8</v>
      </c>
    </row>
    <row r="2766" spans="1:3" x14ac:dyDescent="0.3">
      <c r="A2766">
        <v>40088</v>
      </c>
      <c r="B2766">
        <v>1</v>
      </c>
      <c r="C2766">
        <v>8</v>
      </c>
    </row>
    <row r="2767" spans="1:3" x14ac:dyDescent="0.3">
      <c r="A2767">
        <v>39423</v>
      </c>
      <c r="B2767">
        <v>1</v>
      </c>
      <c r="C2767">
        <v>8</v>
      </c>
    </row>
    <row r="2768" spans="1:3" x14ac:dyDescent="0.3">
      <c r="A2768">
        <v>39173</v>
      </c>
      <c r="B2768">
        <v>1</v>
      </c>
      <c r="C2768">
        <v>8</v>
      </c>
    </row>
    <row r="2769" spans="1:3" x14ac:dyDescent="0.3">
      <c r="A2769">
        <v>38630</v>
      </c>
      <c r="B2769">
        <v>1</v>
      </c>
      <c r="C2769">
        <v>16</v>
      </c>
    </row>
    <row r="2770" spans="1:3" x14ac:dyDescent="0.3">
      <c r="A2770">
        <v>38080</v>
      </c>
      <c r="B2770">
        <v>1</v>
      </c>
      <c r="C2770">
        <v>8</v>
      </c>
    </row>
    <row r="2771" spans="1:3" x14ac:dyDescent="0.3">
      <c r="A2771">
        <v>38077</v>
      </c>
      <c r="B2771">
        <v>1</v>
      </c>
      <c r="C2771">
        <v>8</v>
      </c>
    </row>
    <row r="2772" spans="1:3" x14ac:dyDescent="0.3">
      <c r="A2772">
        <v>37991</v>
      </c>
      <c r="B2772">
        <v>1</v>
      </c>
      <c r="C2772">
        <v>8</v>
      </c>
    </row>
    <row r="2773" spans="1:3" x14ac:dyDescent="0.3">
      <c r="A2773">
        <v>37581</v>
      </c>
      <c r="B2773">
        <v>1</v>
      </c>
      <c r="C2773">
        <v>8</v>
      </c>
    </row>
    <row r="2774" spans="1:3" x14ac:dyDescent="0.3">
      <c r="A2774">
        <v>37442</v>
      </c>
      <c r="B2774">
        <v>1</v>
      </c>
      <c r="C2774">
        <v>8</v>
      </c>
    </row>
    <row r="2775" spans="1:3" x14ac:dyDescent="0.3">
      <c r="A2775">
        <v>37441</v>
      </c>
      <c r="B2775">
        <v>1</v>
      </c>
      <c r="C2775">
        <v>8</v>
      </c>
    </row>
    <row r="2776" spans="1:3" x14ac:dyDescent="0.3">
      <c r="A2776">
        <v>36898</v>
      </c>
      <c r="B2776">
        <v>1</v>
      </c>
      <c r="C2776">
        <v>8</v>
      </c>
    </row>
    <row r="2777" spans="1:3" x14ac:dyDescent="0.3">
      <c r="A2777">
        <v>36681</v>
      </c>
      <c r="B2777">
        <v>1</v>
      </c>
      <c r="C2777">
        <v>16</v>
      </c>
    </row>
    <row r="2778" spans="1:3" x14ac:dyDescent="0.3">
      <c r="A2778">
        <v>36123</v>
      </c>
      <c r="B2778">
        <v>1</v>
      </c>
      <c r="C2778">
        <v>8</v>
      </c>
    </row>
    <row r="2779" spans="1:3" x14ac:dyDescent="0.3">
      <c r="A2779">
        <v>36122</v>
      </c>
      <c r="B2779">
        <v>1</v>
      </c>
      <c r="C2779">
        <v>8</v>
      </c>
    </row>
    <row r="2780" spans="1:3" x14ac:dyDescent="0.3">
      <c r="A2780">
        <v>36121</v>
      </c>
      <c r="B2780">
        <v>1</v>
      </c>
      <c r="C2780">
        <v>16</v>
      </c>
    </row>
    <row r="2781" spans="1:3" x14ac:dyDescent="0.3">
      <c r="A2781">
        <v>36119</v>
      </c>
      <c r="B2781">
        <v>1</v>
      </c>
      <c r="C2781">
        <v>16</v>
      </c>
    </row>
    <row r="2782" spans="1:3" x14ac:dyDescent="0.3">
      <c r="A2782">
        <v>36014</v>
      </c>
      <c r="B2782">
        <v>1</v>
      </c>
      <c r="C2782">
        <v>16</v>
      </c>
    </row>
    <row r="2783" spans="1:3" x14ac:dyDescent="0.3">
      <c r="A2783">
        <v>36013</v>
      </c>
      <c r="B2783">
        <v>1</v>
      </c>
      <c r="C2783">
        <v>8</v>
      </c>
    </row>
    <row r="2784" spans="1:3" x14ac:dyDescent="0.3">
      <c r="A2784">
        <v>35653</v>
      </c>
      <c r="B2784">
        <v>1</v>
      </c>
      <c r="C2784">
        <v>16</v>
      </c>
    </row>
    <row r="2785" spans="1:3" x14ac:dyDescent="0.3">
      <c r="A2785">
        <v>35652</v>
      </c>
      <c r="B2785">
        <v>1</v>
      </c>
      <c r="C2785">
        <v>8</v>
      </c>
    </row>
    <row r="2786" spans="1:3" x14ac:dyDescent="0.3">
      <c r="A2786">
        <v>33653</v>
      </c>
      <c r="B2786">
        <v>1</v>
      </c>
      <c r="C2786">
        <v>8</v>
      </c>
    </row>
    <row r="2787" spans="1:3" x14ac:dyDescent="0.3">
      <c r="A2787">
        <v>33651</v>
      </c>
      <c r="B2787">
        <v>1</v>
      </c>
      <c r="C2787">
        <v>8</v>
      </c>
    </row>
    <row r="2788" spans="1:3" x14ac:dyDescent="0.3">
      <c r="A2788">
        <v>33040</v>
      </c>
      <c r="B2788">
        <v>1</v>
      </c>
      <c r="C2788">
        <v>16</v>
      </c>
    </row>
    <row r="2789" spans="1:3" x14ac:dyDescent="0.3">
      <c r="A2789">
        <v>32477</v>
      </c>
      <c r="B2789">
        <v>1</v>
      </c>
      <c r="C2789">
        <v>8</v>
      </c>
    </row>
    <row r="2790" spans="1:3" x14ac:dyDescent="0.3">
      <c r="A2790">
        <v>31929</v>
      </c>
      <c r="B2790">
        <v>1</v>
      </c>
      <c r="C2790">
        <v>16</v>
      </c>
    </row>
    <row r="2791" spans="1:3" x14ac:dyDescent="0.3">
      <c r="A2791">
        <v>11043</v>
      </c>
      <c r="B2791">
        <v>1</v>
      </c>
      <c r="C2791">
        <v>16</v>
      </c>
    </row>
    <row r="2792" spans="1:3" x14ac:dyDescent="0.3">
      <c r="A2792">
        <v>31422</v>
      </c>
      <c r="B2792">
        <v>1</v>
      </c>
      <c r="C2792">
        <v>8</v>
      </c>
    </row>
    <row r="2793" spans="1:3" x14ac:dyDescent="0.3">
      <c r="A2793">
        <v>30981</v>
      </c>
      <c r="B2793">
        <v>1</v>
      </c>
      <c r="C2793">
        <v>8</v>
      </c>
    </row>
    <row r="2794" spans="1:3" x14ac:dyDescent="0.3">
      <c r="A2794">
        <v>30980</v>
      </c>
      <c r="B2794">
        <v>1</v>
      </c>
      <c r="C2794">
        <v>8</v>
      </c>
    </row>
    <row r="2795" spans="1:3" x14ac:dyDescent="0.3">
      <c r="A2795">
        <v>29995</v>
      </c>
      <c r="B2795">
        <v>1</v>
      </c>
      <c r="C2795">
        <v>8</v>
      </c>
    </row>
    <row r="2796" spans="1:3" x14ac:dyDescent="0.3">
      <c r="A2796">
        <v>29984</v>
      </c>
      <c r="B2796">
        <v>1</v>
      </c>
      <c r="C2796">
        <v>8</v>
      </c>
    </row>
    <row r="2797" spans="1:3" x14ac:dyDescent="0.3">
      <c r="A2797">
        <v>29202</v>
      </c>
      <c r="B2797">
        <v>1</v>
      </c>
      <c r="C2797">
        <v>8</v>
      </c>
    </row>
    <row r="2798" spans="1:3" x14ac:dyDescent="0.3">
      <c r="A2798">
        <v>28199</v>
      </c>
      <c r="B2798">
        <v>1</v>
      </c>
      <c r="C2798">
        <v>8</v>
      </c>
    </row>
    <row r="2799" spans="1:3" x14ac:dyDescent="0.3">
      <c r="A2799">
        <v>26841</v>
      </c>
      <c r="B2799">
        <v>1</v>
      </c>
      <c r="C2799">
        <v>8</v>
      </c>
    </row>
    <row r="2800" spans="1:3" x14ac:dyDescent="0.3">
      <c r="A2800">
        <v>26711</v>
      </c>
      <c r="B2800">
        <v>1</v>
      </c>
      <c r="C2800">
        <v>8</v>
      </c>
    </row>
    <row r="2801" spans="1:3" x14ac:dyDescent="0.3">
      <c r="A2801">
        <v>25730</v>
      </c>
      <c r="B2801">
        <v>1</v>
      </c>
      <c r="C2801">
        <v>16</v>
      </c>
    </row>
    <row r="2802" spans="1:3" x14ac:dyDescent="0.3">
      <c r="A2802" s="26">
        <v>24145</v>
      </c>
      <c r="B2802" s="26">
        <v>1</v>
      </c>
      <c r="C2802" s="26">
        <v>8</v>
      </c>
    </row>
    <row r="2803" spans="1:3" x14ac:dyDescent="0.3">
      <c r="A2803">
        <v>23480</v>
      </c>
      <c r="B2803">
        <v>1</v>
      </c>
      <c r="C2803">
        <v>16</v>
      </c>
    </row>
    <row r="2804" spans="1:3" x14ac:dyDescent="0.3">
      <c r="A2804">
        <v>23119</v>
      </c>
      <c r="B2804">
        <v>1</v>
      </c>
      <c r="C2804">
        <v>16</v>
      </c>
    </row>
    <row r="2805" spans="1:3" x14ac:dyDescent="0.3">
      <c r="A2805">
        <v>22967</v>
      </c>
      <c r="B2805">
        <v>1</v>
      </c>
      <c r="C2805">
        <v>16</v>
      </c>
    </row>
    <row r="2806" spans="1:3" x14ac:dyDescent="0.3">
      <c r="A2806">
        <v>22201</v>
      </c>
      <c r="B2806">
        <v>1</v>
      </c>
      <c r="C2806">
        <v>8</v>
      </c>
    </row>
    <row r="2807" spans="1:3" x14ac:dyDescent="0.3">
      <c r="A2807">
        <v>22045</v>
      </c>
      <c r="B2807">
        <v>1</v>
      </c>
      <c r="C2807">
        <v>8</v>
      </c>
    </row>
    <row r="2808" spans="1:3" x14ac:dyDescent="0.3">
      <c r="A2808">
        <v>21773</v>
      </c>
      <c r="B2808">
        <v>1</v>
      </c>
      <c r="C2808">
        <v>8</v>
      </c>
    </row>
    <row r="2809" spans="1:3" x14ac:dyDescent="0.3">
      <c r="A2809">
        <v>19498</v>
      </c>
      <c r="B2809">
        <v>1</v>
      </c>
      <c r="C2809">
        <v>8</v>
      </c>
    </row>
    <row r="2810" spans="1:3" x14ac:dyDescent="0.3">
      <c r="A2810">
        <v>18571</v>
      </c>
      <c r="B2810">
        <v>1</v>
      </c>
      <c r="C2810">
        <v>16</v>
      </c>
    </row>
    <row r="2811" spans="1:3" x14ac:dyDescent="0.3">
      <c r="A2811">
        <v>17708</v>
      </c>
      <c r="B2811">
        <v>1</v>
      </c>
      <c r="C2811">
        <v>8</v>
      </c>
    </row>
    <row r="2812" spans="1:3" x14ac:dyDescent="0.3">
      <c r="A2812">
        <v>17275</v>
      </c>
      <c r="B2812">
        <v>1</v>
      </c>
      <c r="C2812">
        <v>16</v>
      </c>
    </row>
    <row r="2813" spans="1:3" x14ac:dyDescent="0.3">
      <c r="A2813">
        <v>15925</v>
      </c>
      <c r="B2813">
        <v>1</v>
      </c>
      <c r="C2813">
        <v>16</v>
      </c>
    </row>
    <row r="2814" spans="1:3" x14ac:dyDescent="0.3">
      <c r="A2814">
        <v>15917</v>
      </c>
      <c r="B2814">
        <v>1</v>
      </c>
      <c r="C2814">
        <v>8</v>
      </c>
    </row>
    <row r="2815" spans="1:3" x14ac:dyDescent="0.3">
      <c r="A2815">
        <v>15662</v>
      </c>
      <c r="B2815">
        <v>1</v>
      </c>
      <c r="C2815">
        <v>8</v>
      </c>
    </row>
    <row r="2816" spans="1:3" x14ac:dyDescent="0.3">
      <c r="A2816">
        <v>14732</v>
      </c>
      <c r="B2816">
        <v>1</v>
      </c>
      <c r="C2816">
        <v>8</v>
      </c>
    </row>
    <row r="2817" spans="1:3" x14ac:dyDescent="0.3">
      <c r="A2817">
        <v>14541</v>
      </c>
      <c r="B2817">
        <v>1</v>
      </c>
      <c r="C2817">
        <v>8</v>
      </c>
    </row>
    <row r="2818" spans="1:3" x14ac:dyDescent="0.3">
      <c r="A2818">
        <v>14287</v>
      </c>
      <c r="B2818">
        <v>1</v>
      </c>
      <c r="C2818">
        <v>8</v>
      </c>
    </row>
    <row r="2819" spans="1:3" x14ac:dyDescent="0.3">
      <c r="A2819">
        <v>12998</v>
      </c>
      <c r="B2819">
        <v>1</v>
      </c>
      <c r="C2819">
        <v>8</v>
      </c>
    </row>
    <row r="2820" spans="1:3" x14ac:dyDescent="0.3">
      <c r="A2820">
        <v>12902</v>
      </c>
      <c r="B2820">
        <v>1</v>
      </c>
      <c r="C2820">
        <v>8</v>
      </c>
    </row>
    <row r="2821" spans="1:3" x14ac:dyDescent="0.3">
      <c r="A2821">
        <v>65396</v>
      </c>
      <c r="B2821">
        <v>1</v>
      </c>
      <c r="C2821">
        <v>8</v>
      </c>
    </row>
    <row r="2822" spans="1:3" x14ac:dyDescent="0.3">
      <c r="A2822">
        <v>80760</v>
      </c>
      <c r="B2822">
        <v>1</v>
      </c>
      <c r="C2822">
        <v>8</v>
      </c>
    </row>
    <row r="2823" spans="1:3" x14ac:dyDescent="0.3">
      <c r="A2823">
        <v>80706</v>
      </c>
      <c r="B2823">
        <v>1</v>
      </c>
      <c r="C2823">
        <v>8</v>
      </c>
    </row>
    <row r="2824" spans="1:3" x14ac:dyDescent="0.3">
      <c r="A2824">
        <v>80705</v>
      </c>
      <c r="B2824">
        <v>1</v>
      </c>
      <c r="C2824">
        <v>8</v>
      </c>
    </row>
    <row r="2825" spans="1:3" x14ac:dyDescent="0.3">
      <c r="A2825">
        <v>80632</v>
      </c>
      <c r="B2825">
        <v>1</v>
      </c>
      <c r="C2825">
        <v>16</v>
      </c>
    </row>
    <row r="2826" spans="1:3" x14ac:dyDescent="0.3">
      <c r="A2826">
        <v>80552</v>
      </c>
      <c r="B2826">
        <v>1</v>
      </c>
      <c r="C2826">
        <v>8</v>
      </c>
    </row>
    <row r="2827" spans="1:3" x14ac:dyDescent="0.3">
      <c r="A2827">
        <v>80551</v>
      </c>
      <c r="B2827">
        <v>1</v>
      </c>
      <c r="C2827">
        <v>8</v>
      </c>
    </row>
    <row r="2828" spans="1:3" x14ac:dyDescent="0.3">
      <c r="A2828">
        <v>80550</v>
      </c>
      <c r="B2828">
        <v>1</v>
      </c>
      <c r="C2828">
        <v>8</v>
      </c>
    </row>
    <row r="2829" spans="1:3" x14ac:dyDescent="0.3">
      <c r="A2829">
        <v>80078</v>
      </c>
      <c r="B2829">
        <v>1</v>
      </c>
      <c r="C2829">
        <v>8</v>
      </c>
    </row>
    <row r="2830" spans="1:3" x14ac:dyDescent="0.3">
      <c r="A2830">
        <v>80077</v>
      </c>
      <c r="B2830">
        <v>1</v>
      </c>
      <c r="C2830">
        <v>8</v>
      </c>
    </row>
    <row r="2831" spans="1:3" x14ac:dyDescent="0.3">
      <c r="A2831">
        <v>79961</v>
      </c>
      <c r="B2831">
        <v>1</v>
      </c>
      <c r="C2831">
        <v>8</v>
      </c>
    </row>
    <row r="2832" spans="1:3" x14ac:dyDescent="0.3">
      <c r="A2832">
        <v>79960</v>
      </c>
      <c r="B2832">
        <v>1</v>
      </c>
      <c r="C2832">
        <v>8</v>
      </c>
    </row>
    <row r="2833" spans="1:3" x14ac:dyDescent="0.3">
      <c r="A2833">
        <v>79959</v>
      </c>
      <c r="B2833">
        <v>1</v>
      </c>
      <c r="C2833">
        <v>8</v>
      </c>
    </row>
    <row r="2834" spans="1:3" x14ac:dyDescent="0.3">
      <c r="A2834">
        <v>79873</v>
      </c>
      <c r="B2834">
        <v>1</v>
      </c>
      <c r="C2834">
        <v>8</v>
      </c>
    </row>
    <row r="2835" spans="1:3" x14ac:dyDescent="0.3">
      <c r="A2835">
        <v>79872</v>
      </c>
      <c r="B2835">
        <v>1</v>
      </c>
      <c r="C2835">
        <v>8</v>
      </c>
    </row>
    <row r="2836" spans="1:3" x14ac:dyDescent="0.3">
      <c r="A2836">
        <v>79685</v>
      </c>
      <c r="B2836">
        <v>1</v>
      </c>
      <c r="C2836">
        <v>8</v>
      </c>
    </row>
    <row r="2837" spans="1:3" x14ac:dyDescent="0.3">
      <c r="A2837">
        <v>79665</v>
      </c>
      <c r="B2837">
        <v>1</v>
      </c>
      <c r="C2837">
        <v>8</v>
      </c>
    </row>
    <row r="2838" spans="1:3" x14ac:dyDescent="0.3">
      <c r="A2838">
        <v>79664</v>
      </c>
      <c r="B2838">
        <v>1</v>
      </c>
      <c r="C2838">
        <v>8</v>
      </c>
    </row>
    <row r="2839" spans="1:3" x14ac:dyDescent="0.3">
      <c r="A2839">
        <v>79663</v>
      </c>
      <c r="B2839">
        <v>1</v>
      </c>
      <c r="C2839">
        <v>8</v>
      </c>
    </row>
    <row r="2840" spans="1:3" x14ac:dyDescent="0.3">
      <c r="A2840">
        <v>79585</v>
      </c>
      <c r="B2840">
        <v>1</v>
      </c>
      <c r="C2840">
        <v>8</v>
      </c>
    </row>
    <row r="2841" spans="1:3" x14ac:dyDescent="0.3">
      <c r="A2841">
        <v>79584</v>
      </c>
      <c r="B2841">
        <v>1</v>
      </c>
      <c r="C2841">
        <v>16</v>
      </c>
    </row>
    <row r="2842" spans="1:3" x14ac:dyDescent="0.3">
      <c r="A2842">
        <v>79431</v>
      </c>
      <c r="B2842">
        <v>1</v>
      </c>
      <c r="C2842">
        <v>8</v>
      </c>
    </row>
    <row r="2843" spans="1:3" x14ac:dyDescent="0.3">
      <c r="A2843">
        <v>79430</v>
      </c>
      <c r="B2843">
        <v>1</v>
      </c>
      <c r="C2843">
        <v>8</v>
      </c>
    </row>
    <row r="2844" spans="1:3" x14ac:dyDescent="0.3">
      <c r="A2844">
        <v>79429</v>
      </c>
      <c r="B2844">
        <v>1</v>
      </c>
      <c r="C2844">
        <v>8</v>
      </c>
    </row>
    <row r="2845" spans="1:3" x14ac:dyDescent="0.3">
      <c r="A2845">
        <v>79428</v>
      </c>
      <c r="B2845">
        <v>1</v>
      </c>
      <c r="C2845">
        <v>8</v>
      </c>
    </row>
    <row r="2846" spans="1:3" x14ac:dyDescent="0.3">
      <c r="A2846">
        <v>79427</v>
      </c>
      <c r="B2846">
        <v>1</v>
      </c>
      <c r="C2846">
        <v>8</v>
      </c>
    </row>
    <row r="2847" spans="1:3" x14ac:dyDescent="0.3">
      <c r="A2847">
        <v>79203</v>
      </c>
      <c r="B2847">
        <v>1</v>
      </c>
      <c r="C2847">
        <v>8</v>
      </c>
    </row>
    <row r="2848" spans="1:3" x14ac:dyDescent="0.3">
      <c r="A2848">
        <v>79202</v>
      </c>
      <c r="B2848">
        <v>1</v>
      </c>
      <c r="C2848">
        <v>8</v>
      </c>
    </row>
    <row r="2849" spans="1:3" x14ac:dyDescent="0.3">
      <c r="A2849">
        <v>79160</v>
      </c>
      <c r="B2849">
        <v>1</v>
      </c>
      <c r="C2849">
        <v>8</v>
      </c>
    </row>
    <row r="2850" spans="1:3" x14ac:dyDescent="0.3">
      <c r="A2850">
        <v>78971</v>
      </c>
      <c r="B2850">
        <v>1</v>
      </c>
      <c r="C2850">
        <v>8</v>
      </c>
    </row>
    <row r="2851" spans="1:3" x14ac:dyDescent="0.3">
      <c r="A2851">
        <v>78923</v>
      </c>
      <c r="B2851">
        <v>1</v>
      </c>
      <c r="C2851">
        <v>8</v>
      </c>
    </row>
    <row r="2852" spans="1:3" x14ac:dyDescent="0.3">
      <c r="A2852">
        <v>78922</v>
      </c>
      <c r="B2852">
        <v>1</v>
      </c>
      <c r="C2852">
        <v>8</v>
      </c>
    </row>
    <row r="2853" spans="1:3" x14ac:dyDescent="0.3">
      <c r="A2853">
        <v>78921</v>
      </c>
      <c r="B2853">
        <v>1</v>
      </c>
      <c r="C2853">
        <v>8</v>
      </c>
    </row>
    <row r="2854" spans="1:3" x14ac:dyDescent="0.3">
      <c r="A2854">
        <v>78920</v>
      </c>
      <c r="B2854">
        <v>1</v>
      </c>
      <c r="C2854">
        <v>8</v>
      </c>
    </row>
    <row r="2855" spans="1:3" x14ac:dyDescent="0.3">
      <c r="A2855">
        <v>78919</v>
      </c>
      <c r="B2855">
        <v>1</v>
      </c>
      <c r="C2855">
        <v>8</v>
      </c>
    </row>
    <row r="2856" spans="1:3" x14ac:dyDescent="0.3">
      <c r="A2856">
        <v>78898</v>
      </c>
      <c r="B2856">
        <v>1</v>
      </c>
      <c r="C2856">
        <v>8</v>
      </c>
    </row>
    <row r="2857" spans="1:3" x14ac:dyDescent="0.3">
      <c r="A2857">
        <v>78579</v>
      </c>
      <c r="B2857">
        <v>1</v>
      </c>
      <c r="C2857">
        <v>8</v>
      </c>
    </row>
    <row r="2858" spans="1:3" x14ac:dyDescent="0.3">
      <c r="A2858">
        <v>78578</v>
      </c>
      <c r="B2858">
        <v>1</v>
      </c>
      <c r="C2858">
        <v>8</v>
      </c>
    </row>
    <row r="2859" spans="1:3" x14ac:dyDescent="0.3">
      <c r="A2859">
        <v>78577</v>
      </c>
      <c r="B2859">
        <v>1</v>
      </c>
      <c r="C2859">
        <v>8</v>
      </c>
    </row>
    <row r="2860" spans="1:3" x14ac:dyDescent="0.3">
      <c r="A2860">
        <v>78576</v>
      </c>
      <c r="B2860">
        <v>1</v>
      </c>
      <c r="C2860">
        <v>8</v>
      </c>
    </row>
    <row r="2861" spans="1:3" x14ac:dyDescent="0.3">
      <c r="A2861">
        <v>78575</v>
      </c>
      <c r="B2861">
        <v>1</v>
      </c>
      <c r="C2861">
        <v>8</v>
      </c>
    </row>
    <row r="2862" spans="1:3" x14ac:dyDescent="0.3">
      <c r="A2862">
        <v>78333</v>
      </c>
      <c r="B2862">
        <v>1</v>
      </c>
      <c r="C2862">
        <v>8</v>
      </c>
    </row>
    <row r="2863" spans="1:3" x14ac:dyDescent="0.3">
      <c r="A2863">
        <v>78332</v>
      </c>
      <c r="B2863">
        <v>1</v>
      </c>
      <c r="C2863">
        <v>8</v>
      </c>
    </row>
    <row r="2864" spans="1:3" x14ac:dyDescent="0.3">
      <c r="A2864">
        <v>78306</v>
      </c>
      <c r="B2864">
        <v>1</v>
      </c>
      <c r="C2864">
        <v>8</v>
      </c>
    </row>
    <row r="2865" spans="1:3" x14ac:dyDescent="0.3">
      <c r="A2865">
        <v>78303</v>
      </c>
      <c r="B2865">
        <v>1</v>
      </c>
      <c r="C2865">
        <v>8</v>
      </c>
    </row>
    <row r="2866" spans="1:3" x14ac:dyDescent="0.3">
      <c r="A2866">
        <v>78302</v>
      </c>
      <c r="B2866">
        <v>1</v>
      </c>
      <c r="C2866">
        <v>8</v>
      </c>
    </row>
    <row r="2867" spans="1:3" x14ac:dyDescent="0.3">
      <c r="A2867">
        <v>78301</v>
      </c>
      <c r="B2867">
        <v>1</v>
      </c>
      <c r="C2867">
        <v>8</v>
      </c>
    </row>
    <row r="2868" spans="1:3" x14ac:dyDescent="0.3">
      <c r="A2868">
        <v>78266</v>
      </c>
      <c r="B2868">
        <v>1</v>
      </c>
      <c r="C2868">
        <v>8</v>
      </c>
    </row>
    <row r="2869" spans="1:3" x14ac:dyDescent="0.3">
      <c r="A2869">
        <v>78124</v>
      </c>
      <c r="B2869">
        <v>1</v>
      </c>
      <c r="C2869">
        <v>8</v>
      </c>
    </row>
    <row r="2870" spans="1:3" x14ac:dyDescent="0.3">
      <c r="A2870">
        <v>78123</v>
      </c>
      <c r="B2870">
        <v>1</v>
      </c>
      <c r="C2870">
        <v>8</v>
      </c>
    </row>
    <row r="2871" spans="1:3" x14ac:dyDescent="0.3">
      <c r="A2871">
        <v>78029</v>
      </c>
      <c r="B2871">
        <v>1</v>
      </c>
      <c r="C2871">
        <v>8</v>
      </c>
    </row>
    <row r="2872" spans="1:3" x14ac:dyDescent="0.3">
      <c r="A2872">
        <v>78028</v>
      </c>
      <c r="B2872">
        <v>1</v>
      </c>
      <c r="C2872">
        <v>8</v>
      </c>
    </row>
    <row r="2873" spans="1:3" x14ac:dyDescent="0.3">
      <c r="A2873">
        <v>77985</v>
      </c>
      <c r="B2873">
        <v>1</v>
      </c>
      <c r="C2873">
        <v>8</v>
      </c>
    </row>
    <row r="2874" spans="1:3" x14ac:dyDescent="0.3">
      <c r="A2874">
        <v>77984</v>
      </c>
      <c r="B2874">
        <v>1</v>
      </c>
      <c r="C2874">
        <v>8</v>
      </c>
    </row>
    <row r="2875" spans="1:3" x14ac:dyDescent="0.3">
      <c r="A2875">
        <v>77983</v>
      </c>
      <c r="B2875">
        <v>1</v>
      </c>
      <c r="C2875">
        <v>8</v>
      </c>
    </row>
    <row r="2876" spans="1:3" x14ac:dyDescent="0.3">
      <c r="A2876">
        <v>77982</v>
      </c>
      <c r="B2876">
        <v>1</v>
      </c>
      <c r="C2876">
        <v>8</v>
      </c>
    </row>
    <row r="2877" spans="1:3" x14ac:dyDescent="0.3">
      <c r="A2877">
        <v>77915</v>
      </c>
      <c r="B2877">
        <v>1</v>
      </c>
      <c r="C2877">
        <v>8</v>
      </c>
    </row>
    <row r="2878" spans="1:3" x14ac:dyDescent="0.3">
      <c r="A2878">
        <v>77914</v>
      </c>
      <c r="B2878">
        <v>1</v>
      </c>
      <c r="C2878">
        <v>8</v>
      </c>
    </row>
    <row r="2879" spans="1:3" x14ac:dyDescent="0.3">
      <c r="A2879">
        <v>77812</v>
      </c>
      <c r="B2879">
        <v>1</v>
      </c>
      <c r="C2879">
        <v>8</v>
      </c>
    </row>
    <row r="2880" spans="1:3" x14ac:dyDescent="0.3">
      <c r="A2880">
        <v>77610</v>
      </c>
      <c r="B2880">
        <v>1</v>
      </c>
      <c r="C2880">
        <v>8</v>
      </c>
    </row>
    <row r="2881" spans="1:3" x14ac:dyDescent="0.3">
      <c r="A2881">
        <v>77504</v>
      </c>
      <c r="B2881">
        <v>1</v>
      </c>
      <c r="C2881">
        <v>8</v>
      </c>
    </row>
    <row r="2882" spans="1:3" x14ac:dyDescent="0.3">
      <c r="A2882">
        <v>77503</v>
      </c>
      <c r="B2882">
        <v>1</v>
      </c>
      <c r="C2882">
        <v>8</v>
      </c>
    </row>
    <row r="2883" spans="1:3" x14ac:dyDescent="0.3">
      <c r="A2883">
        <v>77502</v>
      </c>
      <c r="B2883">
        <v>1</v>
      </c>
      <c r="C2883">
        <v>8</v>
      </c>
    </row>
    <row r="2884" spans="1:3" x14ac:dyDescent="0.3">
      <c r="A2884">
        <v>77424</v>
      </c>
      <c r="B2884">
        <v>1</v>
      </c>
      <c r="C2884">
        <v>8</v>
      </c>
    </row>
    <row r="2885" spans="1:3" x14ac:dyDescent="0.3">
      <c r="A2885">
        <v>77377</v>
      </c>
      <c r="B2885">
        <v>1</v>
      </c>
      <c r="C2885">
        <v>8</v>
      </c>
    </row>
    <row r="2886" spans="1:3" x14ac:dyDescent="0.3">
      <c r="A2886">
        <v>77376</v>
      </c>
      <c r="B2886">
        <v>1</v>
      </c>
      <c r="C2886">
        <v>8</v>
      </c>
    </row>
    <row r="2887" spans="1:3" x14ac:dyDescent="0.3">
      <c r="A2887">
        <v>77265</v>
      </c>
      <c r="B2887">
        <v>1</v>
      </c>
      <c r="C2887">
        <v>8</v>
      </c>
    </row>
    <row r="2888" spans="1:3" x14ac:dyDescent="0.3">
      <c r="A2888">
        <v>77152</v>
      </c>
      <c r="B2888">
        <v>1</v>
      </c>
      <c r="C2888">
        <v>8</v>
      </c>
    </row>
    <row r="2889" spans="1:3" x14ac:dyDescent="0.3">
      <c r="A2889">
        <v>77151</v>
      </c>
      <c r="B2889">
        <v>1</v>
      </c>
      <c r="C2889">
        <v>8</v>
      </c>
    </row>
    <row r="2890" spans="1:3" x14ac:dyDescent="0.3">
      <c r="A2890">
        <v>77098</v>
      </c>
      <c r="B2890">
        <v>1</v>
      </c>
      <c r="C2890">
        <v>8</v>
      </c>
    </row>
    <row r="2891" spans="1:3" x14ac:dyDescent="0.3">
      <c r="A2891">
        <v>77045</v>
      </c>
      <c r="B2891">
        <v>1</v>
      </c>
      <c r="C2891">
        <v>8</v>
      </c>
    </row>
    <row r="2892" spans="1:3" x14ac:dyDescent="0.3">
      <c r="A2892">
        <v>76988</v>
      </c>
      <c r="B2892">
        <v>1</v>
      </c>
      <c r="C2892">
        <v>8</v>
      </c>
    </row>
    <row r="2893" spans="1:3" x14ac:dyDescent="0.3">
      <c r="A2893">
        <v>76987</v>
      </c>
      <c r="B2893">
        <v>1</v>
      </c>
      <c r="C2893">
        <v>8</v>
      </c>
    </row>
    <row r="2894" spans="1:3" x14ac:dyDescent="0.3">
      <c r="A2894">
        <v>76863</v>
      </c>
      <c r="B2894">
        <v>1</v>
      </c>
      <c r="C2894">
        <v>8</v>
      </c>
    </row>
    <row r="2895" spans="1:3" x14ac:dyDescent="0.3">
      <c r="A2895">
        <v>76778</v>
      </c>
      <c r="B2895">
        <v>1</v>
      </c>
      <c r="C2895">
        <v>8</v>
      </c>
    </row>
    <row r="2896" spans="1:3" x14ac:dyDescent="0.3">
      <c r="A2896">
        <v>76777</v>
      </c>
      <c r="B2896">
        <v>1</v>
      </c>
      <c r="C2896">
        <v>8</v>
      </c>
    </row>
    <row r="2897" spans="1:3" x14ac:dyDescent="0.3">
      <c r="A2897">
        <v>76621</v>
      </c>
      <c r="B2897">
        <v>1</v>
      </c>
      <c r="C2897">
        <v>8</v>
      </c>
    </row>
    <row r="2898" spans="1:3" x14ac:dyDescent="0.3">
      <c r="A2898">
        <v>76620</v>
      </c>
      <c r="B2898">
        <v>1</v>
      </c>
      <c r="C2898">
        <v>8</v>
      </c>
    </row>
    <row r="2899" spans="1:3" x14ac:dyDescent="0.3">
      <c r="A2899">
        <v>76520</v>
      </c>
      <c r="B2899">
        <v>1</v>
      </c>
      <c r="C2899">
        <v>8</v>
      </c>
    </row>
    <row r="2900" spans="1:3" x14ac:dyDescent="0.3">
      <c r="A2900">
        <v>76519</v>
      </c>
      <c r="B2900">
        <v>1</v>
      </c>
      <c r="C2900">
        <v>8</v>
      </c>
    </row>
    <row r="2901" spans="1:3" x14ac:dyDescent="0.3">
      <c r="A2901">
        <v>76288</v>
      </c>
      <c r="B2901">
        <v>1</v>
      </c>
      <c r="C2901">
        <v>8</v>
      </c>
    </row>
    <row r="2902" spans="1:3" x14ac:dyDescent="0.3">
      <c r="A2902">
        <v>76287</v>
      </c>
      <c r="B2902">
        <v>1</v>
      </c>
      <c r="C2902">
        <v>8</v>
      </c>
    </row>
    <row r="2903" spans="1:3" x14ac:dyDescent="0.3">
      <c r="A2903">
        <v>76216</v>
      </c>
      <c r="B2903">
        <v>1</v>
      </c>
      <c r="C2903">
        <v>8</v>
      </c>
    </row>
    <row r="2904" spans="1:3" x14ac:dyDescent="0.3">
      <c r="A2904">
        <v>76215</v>
      </c>
      <c r="B2904">
        <v>1</v>
      </c>
      <c r="C2904">
        <v>8</v>
      </c>
    </row>
    <row r="2905" spans="1:3" x14ac:dyDescent="0.3">
      <c r="A2905">
        <v>76214</v>
      </c>
      <c r="B2905">
        <v>1</v>
      </c>
      <c r="C2905">
        <v>8</v>
      </c>
    </row>
    <row r="2906" spans="1:3" x14ac:dyDescent="0.3">
      <c r="A2906">
        <v>76176</v>
      </c>
      <c r="B2906">
        <v>1</v>
      </c>
      <c r="C2906">
        <v>8</v>
      </c>
    </row>
    <row r="2907" spans="1:3" x14ac:dyDescent="0.3">
      <c r="A2907">
        <v>76174</v>
      </c>
      <c r="B2907">
        <v>1</v>
      </c>
      <c r="C2907">
        <v>8</v>
      </c>
    </row>
    <row r="2908" spans="1:3" x14ac:dyDescent="0.3">
      <c r="A2908">
        <v>76053</v>
      </c>
      <c r="B2908">
        <v>1</v>
      </c>
      <c r="C2908">
        <v>8</v>
      </c>
    </row>
    <row r="2909" spans="1:3" x14ac:dyDescent="0.3">
      <c r="A2909">
        <v>76052</v>
      </c>
      <c r="B2909">
        <v>1</v>
      </c>
      <c r="C2909">
        <v>8</v>
      </c>
    </row>
    <row r="2910" spans="1:3" x14ac:dyDescent="0.3">
      <c r="A2910">
        <v>76051</v>
      </c>
      <c r="B2910">
        <v>1</v>
      </c>
      <c r="C2910">
        <v>8</v>
      </c>
    </row>
    <row r="2911" spans="1:3" x14ac:dyDescent="0.3">
      <c r="A2911">
        <v>76050</v>
      </c>
      <c r="B2911">
        <v>1</v>
      </c>
      <c r="C2911">
        <v>8</v>
      </c>
    </row>
    <row r="2912" spans="1:3" x14ac:dyDescent="0.3">
      <c r="A2912">
        <v>75888</v>
      </c>
      <c r="B2912">
        <v>1</v>
      </c>
      <c r="C2912">
        <v>8</v>
      </c>
    </row>
    <row r="2913" spans="1:3" x14ac:dyDescent="0.3">
      <c r="A2913">
        <v>75850</v>
      </c>
      <c r="B2913">
        <v>1</v>
      </c>
      <c r="C2913">
        <v>8</v>
      </c>
    </row>
    <row r="2914" spans="1:3" x14ac:dyDescent="0.3">
      <c r="A2914">
        <v>75785</v>
      </c>
      <c r="B2914">
        <v>1</v>
      </c>
      <c r="C2914">
        <v>8</v>
      </c>
    </row>
    <row r="2915" spans="1:3" x14ac:dyDescent="0.3">
      <c r="A2915">
        <v>75775</v>
      </c>
      <c r="B2915">
        <v>1</v>
      </c>
      <c r="C2915">
        <v>8</v>
      </c>
    </row>
    <row r="2916" spans="1:3" x14ac:dyDescent="0.3">
      <c r="A2916">
        <v>75754</v>
      </c>
      <c r="B2916">
        <v>1</v>
      </c>
      <c r="C2916">
        <v>8</v>
      </c>
    </row>
    <row r="2917" spans="1:3" x14ac:dyDescent="0.3">
      <c r="A2917">
        <v>75733</v>
      </c>
      <c r="B2917">
        <v>1</v>
      </c>
      <c r="C2917">
        <v>8</v>
      </c>
    </row>
    <row r="2918" spans="1:3" x14ac:dyDescent="0.3">
      <c r="A2918">
        <v>75518</v>
      </c>
      <c r="B2918">
        <v>1</v>
      </c>
      <c r="C2918">
        <v>8</v>
      </c>
    </row>
    <row r="2919" spans="1:3" x14ac:dyDescent="0.3">
      <c r="A2919">
        <v>75426</v>
      </c>
      <c r="B2919">
        <v>1</v>
      </c>
      <c r="C2919">
        <v>8</v>
      </c>
    </row>
    <row r="2920" spans="1:3" x14ac:dyDescent="0.3">
      <c r="A2920">
        <v>75423</v>
      </c>
      <c r="B2920">
        <v>1</v>
      </c>
      <c r="C2920">
        <v>8</v>
      </c>
    </row>
    <row r="2921" spans="1:3" x14ac:dyDescent="0.3">
      <c r="A2921">
        <v>75353</v>
      </c>
      <c r="B2921">
        <v>1</v>
      </c>
      <c r="C2921">
        <v>8</v>
      </c>
    </row>
    <row r="2922" spans="1:3" x14ac:dyDescent="0.3">
      <c r="A2922">
        <v>75352</v>
      </c>
      <c r="B2922">
        <v>1</v>
      </c>
      <c r="C2922">
        <v>8</v>
      </c>
    </row>
    <row r="2923" spans="1:3" x14ac:dyDescent="0.3">
      <c r="A2923">
        <v>75336</v>
      </c>
      <c r="B2923">
        <v>1</v>
      </c>
      <c r="C2923">
        <v>8</v>
      </c>
    </row>
    <row r="2924" spans="1:3" x14ac:dyDescent="0.3">
      <c r="A2924">
        <v>75334</v>
      </c>
      <c r="B2924">
        <v>1</v>
      </c>
      <c r="C2924">
        <v>8</v>
      </c>
    </row>
    <row r="2925" spans="1:3" x14ac:dyDescent="0.3">
      <c r="A2925">
        <v>75273</v>
      </c>
      <c r="B2925">
        <v>1</v>
      </c>
      <c r="C2925">
        <v>8</v>
      </c>
    </row>
    <row r="2926" spans="1:3" x14ac:dyDescent="0.3">
      <c r="A2926">
        <v>75271</v>
      </c>
      <c r="B2926">
        <v>1</v>
      </c>
      <c r="C2926">
        <v>8</v>
      </c>
    </row>
    <row r="2927" spans="1:3" x14ac:dyDescent="0.3">
      <c r="A2927">
        <v>75082</v>
      </c>
      <c r="B2927">
        <v>1</v>
      </c>
      <c r="C2927">
        <v>8</v>
      </c>
    </row>
    <row r="2928" spans="1:3" x14ac:dyDescent="0.3">
      <c r="A2928">
        <v>75080</v>
      </c>
      <c r="B2928">
        <v>1</v>
      </c>
      <c r="C2928">
        <v>8</v>
      </c>
    </row>
    <row r="2929" spans="1:3" x14ac:dyDescent="0.3">
      <c r="A2929">
        <v>74916</v>
      </c>
      <c r="B2929">
        <v>1</v>
      </c>
      <c r="C2929">
        <v>8</v>
      </c>
    </row>
    <row r="2930" spans="1:3" x14ac:dyDescent="0.3">
      <c r="A2930">
        <v>74867</v>
      </c>
      <c r="B2930">
        <v>1</v>
      </c>
      <c r="C2930">
        <v>8</v>
      </c>
    </row>
    <row r="2931" spans="1:3" x14ac:dyDescent="0.3">
      <c r="A2931">
        <v>74866</v>
      </c>
      <c r="B2931">
        <v>1</v>
      </c>
      <c r="C2931">
        <v>8</v>
      </c>
    </row>
    <row r="2932" spans="1:3" x14ac:dyDescent="0.3">
      <c r="A2932">
        <v>74865</v>
      </c>
      <c r="B2932">
        <v>1</v>
      </c>
      <c r="C2932">
        <v>8</v>
      </c>
    </row>
    <row r="2933" spans="1:3" x14ac:dyDescent="0.3">
      <c r="A2933">
        <v>74768</v>
      </c>
      <c r="B2933">
        <v>1</v>
      </c>
      <c r="C2933">
        <v>16</v>
      </c>
    </row>
    <row r="2934" spans="1:3" x14ac:dyDescent="0.3">
      <c r="A2934">
        <v>74767</v>
      </c>
      <c r="B2934">
        <v>1</v>
      </c>
      <c r="C2934">
        <v>8</v>
      </c>
    </row>
    <row r="2935" spans="1:3" x14ac:dyDescent="0.3">
      <c r="A2935">
        <v>74587</v>
      </c>
      <c r="B2935">
        <v>1</v>
      </c>
      <c r="C2935">
        <v>8</v>
      </c>
    </row>
    <row r="2936" spans="1:3" x14ac:dyDescent="0.3">
      <c r="A2936">
        <v>74537</v>
      </c>
      <c r="B2936">
        <v>1</v>
      </c>
      <c r="C2936">
        <v>8</v>
      </c>
    </row>
    <row r="2937" spans="1:3" x14ac:dyDescent="0.3">
      <c r="A2937">
        <v>74536</v>
      </c>
      <c r="B2937">
        <v>1</v>
      </c>
      <c r="C2937">
        <v>8</v>
      </c>
    </row>
    <row r="2938" spans="1:3" x14ac:dyDescent="0.3">
      <c r="A2938">
        <v>74509</v>
      </c>
      <c r="B2938">
        <v>1</v>
      </c>
      <c r="C2938">
        <v>8</v>
      </c>
    </row>
    <row r="2939" spans="1:3" x14ac:dyDescent="0.3">
      <c r="A2939">
        <v>74473</v>
      </c>
      <c r="B2939">
        <v>1</v>
      </c>
      <c r="C2939">
        <v>8</v>
      </c>
    </row>
    <row r="2940" spans="1:3" x14ac:dyDescent="0.3">
      <c r="A2940">
        <v>74472</v>
      </c>
      <c r="B2940">
        <v>1</v>
      </c>
      <c r="C2940">
        <v>8</v>
      </c>
    </row>
    <row r="2941" spans="1:3" x14ac:dyDescent="0.3">
      <c r="A2941">
        <v>74418</v>
      </c>
      <c r="B2941">
        <v>1</v>
      </c>
      <c r="C2941">
        <v>8</v>
      </c>
    </row>
    <row r="2942" spans="1:3" x14ac:dyDescent="0.3">
      <c r="A2942">
        <v>74265</v>
      </c>
      <c r="B2942">
        <v>1</v>
      </c>
      <c r="C2942">
        <v>8</v>
      </c>
    </row>
    <row r="2943" spans="1:3" x14ac:dyDescent="0.3">
      <c r="A2943">
        <v>74217</v>
      </c>
      <c r="B2943">
        <v>1</v>
      </c>
      <c r="C2943">
        <v>16</v>
      </c>
    </row>
    <row r="2944" spans="1:3" x14ac:dyDescent="0.3">
      <c r="A2944">
        <v>74216</v>
      </c>
      <c r="B2944">
        <v>1</v>
      </c>
      <c r="C2944">
        <v>8</v>
      </c>
    </row>
    <row r="2945" spans="1:3" x14ac:dyDescent="0.3">
      <c r="A2945">
        <v>74214</v>
      </c>
      <c r="B2945">
        <v>1</v>
      </c>
      <c r="C2945">
        <v>16</v>
      </c>
    </row>
    <row r="2946" spans="1:3" x14ac:dyDescent="0.3">
      <c r="A2946">
        <v>74213</v>
      </c>
      <c r="B2946">
        <v>1</v>
      </c>
      <c r="C2946">
        <v>8</v>
      </c>
    </row>
    <row r="2947" spans="1:3" x14ac:dyDescent="0.3">
      <c r="A2947">
        <v>74211</v>
      </c>
      <c r="B2947">
        <v>1</v>
      </c>
      <c r="C2947">
        <v>8</v>
      </c>
    </row>
    <row r="2948" spans="1:3" x14ac:dyDescent="0.3">
      <c r="A2948">
        <v>74210</v>
      </c>
      <c r="B2948">
        <v>1</v>
      </c>
      <c r="C2948">
        <v>8</v>
      </c>
    </row>
    <row r="2949" spans="1:3" x14ac:dyDescent="0.3">
      <c r="A2949">
        <v>74156</v>
      </c>
      <c r="B2949">
        <v>1</v>
      </c>
      <c r="C2949">
        <v>8</v>
      </c>
    </row>
    <row r="2950" spans="1:3" x14ac:dyDescent="0.3">
      <c r="A2950">
        <v>74124</v>
      </c>
      <c r="B2950">
        <v>1</v>
      </c>
      <c r="C2950">
        <v>8</v>
      </c>
    </row>
    <row r="2951" spans="1:3" x14ac:dyDescent="0.3">
      <c r="A2951">
        <v>74111</v>
      </c>
      <c r="B2951">
        <v>1</v>
      </c>
      <c r="C2951">
        <v>8</v>
      </c>
    </row>
    <row r="2952" spans="1:3" x14ac:dyDescent="0.3">
      <c r="A2952">
        <v>74107</v>
      </c>
      <c r="B2952">
        <v>1</v>
      </c>
      <c r="C2952">
        <v>8</v>
      </c>
    </row>
    <row r="2953" spans="1:3" x14ac:dyDescent="0.3">
      <c r="A2953">
        <v>74104</v>
      </c>
      <c r="B2953">
        <v>1</v>
      </c>
      <c r="C2953">
        <v>8</v>
      </c>
    </row>
    <row r="2954" spans="1:3" x14ac:dyDescent="0.3">
      <c r="A2954">
        <v>74092</v>
      </c>
      <c r="B2954">
        <v>1</v>
      </c>
      <c r="C2954">
        <v>8</v>
      </c>
    </row>
    <row r="2955" spans="1:3" x14ac:dyDescent="0.3">
      <c r="A2955">
        <v>74090</v>
      </c>
      <c r="B2955">
        <v>1</v>
      </c>
      <c r="C2955">
        <v>8</v>
      </c>
    </row>
    <row r="2956" spans="1:3" x14ac:dyDescent="0.3">
      <c r="A2956">
        <v>73251</v>
      </c>
      <c r="B2956">
        <v>1</v>
      </c>
      <c r="C2956">
        <v>8</v>
      </c>
    </row>
    <row r="2957" spans="1:3" x14ac:dyDescent="0.3">
      <c r="A2957">
        <v>72604</v>
      </c>
      <c r="B2957">
        <v>1</v>
      </c>
      <c r="C2957">
        <v>8</v>
      </c>
    </row>
    <row r="2958" spans="1:3" x14ac:dyDescent="0.3">
      <c r="A2958">
        <v>72285</v>
      </c>
      <c r="B2958">
        <v>1</v>
      </c>
      <c r="C2958">
        <v>8</v>
      </c>
    </row>
    <row r="2959" spans="1:3" x14ac:dyDescent="0.3">
      <c r="A2959">
        <v>72284</v>
      </c>
      <c r="B2959">
        <v>1</v>
      </c>
      <c r="C2959">
        <v>8</v>
      </c>
    </row>
    <row r="2960" spans="1:3" x14ac:dyDescent="0.3">
      <c r="A2960">
        <v>72283</v>
      </c>
      <c r="B2960">
        <v>1</v>
      </c>
      <c r="C2960">
        <v>8</v>
      </c>
    </row>
    <row r="2961" spans="1:3" x14ac:dyDescent="0.3">
      <c r="A2961">
        <v>72047</v>
      </c>
      <c r="B2961">
        <v>1</v>
      </c>
      <c r="C2961">
        <v>8</v>
      </c>
    </row>
    <row r="2962" spans="1:3" x14ac:dyDescent="0.3">
      <c r="A2962">
        <v>72046</v>
      </c>
      <c r="B2962">
        <v>1</v>
      </c>
      <c r="C2962">
        <v>8</v>
      </c>
    </row>
    <row r="2963" spans="1:3" x14ac:dyDescent="0.3">
      <c r="A2963">
        <v>71920</v>
      </c>
      <c r="B2963">
        <v>1</v>
      </c>
      <c r="C2963">
        <v>8</v>
      </c>
    </row>
    <row r="2964" spans="1:3" x14ac:dyDescent="0.3">
      <c r="A2964">
        <v>71828</v>
      </c>
      <c r="B2964">
        <v>1</v>
      </c>
      <c r="C2964">
        <v>16</v>
      </c>
    </row>
    <row r="2965" spans="1:3" x14ac:dyDescent="0.3">
      <c r="A2965">
        <v>71604</v>
      </c>
      <c r="B2965">
        <v>1</v>
      </c>
      <c r="C2965">
        <v>8</v>
      </c>
    </row>
    <row r="2966" spans="1:3" x14ac:dyDescent="0.3">
      <c r="A2966">
        <v>71386</v>
      </c>
      <c r="B2966">
        <v>1</v>
      </c>
      <c r="C2966">
        <v>16</v>
      </c>
    </row>
    <row r="2967" spans="1:3" x14ac:dyDescent="0.3">
      <c r="A2967">
        <v>71326</v>
      </c>
      <c r="B2967">
        <v>1</v>
      </c>
      <c r="C2967">
        <v>8</v>
      </c>
    </row>
    <row r="2968" spans="1:3" x14ac:dyDescent="0.3">
      <c r="A2968">
        <v>71325</v>
      </c>
      <c r="B2968">
        <v>1</v>
      </c>
      <c r="C2968">
        <v>8</v>
      </c>
    </row>
    <row r="2969" spans="1:3" x14ac:dyDescent="0.3">
      <c r="A2969">
        <v>71324</v>
      </c>
      <c r="B2969">
        <v>1</v>
      </c>
      <c r="C2969">
        <v>8</v>
      </c>
    </row>
    <row r="2970" spans="1:3" x14ac:dyDescent="0.3">
      <c r="A2970">
        <v>71323</v>
      </c>
      <c r="B2970">
        <v>1</v>
      </c>
      <c r="C2970">
        <v>8</v>
      </c>
    </row>
    <row r="2971" spans="1:3" x14ac:dyDescent="0.3">
      <c r="A2971">
        <v>71209</v>
      </c>
      <c r="B2971">
        <v>1</v>
      </c>
      <c r="C2971">
        <v>8</v>
      </c>
    </row>
    <row r="2972" spans="1:3" x14ac:dyDescent="0.3">
      <c r="A2972">
        <v>70833</v>
      </c>
      <c r="B2972">
        <v>1</v>
      </c>
      <c r="C2972">
        <v>16</v>
      </c>
    </row>
    <row r="2973" spans="1:3" x14ac:dyDescent="0.3">
      <c r="A2973">
        <v>70756</v>
      </c>
      <c r="B2973">
        <v>1</v>
      </c>
      <c r="C2973">
        <v>8</v>
      </c>
    </row>
    <row r="2974" spans="1:3" x14ac:dyDescent="0.3">
      <c r="A2974">
        <v>70755</v>
      </c>
      <c r="B2974">
        <v>1</v>
      </c>
      <c r="C2974">
        <v>8</v>
      </c>
    </row>
    <row r="2975" spans="1:3" x14ac:dyDescent="0.3">
      <c r="A2975">
        <v>70754</v>
      </c>
      <c r="B2975">
        <v>1</v>
      </c>
      <c r="C2975">
        <v>8</v>
      </c>
    </row>
    <row r="2976" spans="1:3" x14ac:dyDescent="0.3">
      <c r="A2976">
        <v>70549</v>
      </c>
      <c r="B2976">
        <v>1</v>
      </c>
      <c r="C2976">
        <v>8</v>
      </c>
    </row>
    <row r="2977" spans="1:3" x14ac:dyDescent="0.3">
      <c r="A2977">
        <v>70497</v>
      </c>
      <c r="B2977">
        <v>1</v>
      </c>
      <c r="C2977">
        <v>8</v>
      </c>
    </row>
    <row r="2978" spans="1:3" x14ac:dyDescent="0.3">
      <c r="A2978">
        <v>70283</v>
      </c>
      <c r="B2978">
        <v>1</v>
      </c>
      <c r="C2978">
        <v>8</v>
      </c>
    </row>
    <row r="2979" spans="1:3" x14ac:dyDescent="0.3">
      <c r="A2979">
        <v>70250</v>
      </c>
      <c r="B2979">
        <v>1</v>
      </c>
      <c r="C2979">
        <v>8</v>
      </c>
    </row>
    <row r="2980" spans="1:3" x14ac:dyDescent="0.3">
      <c r="A2980">
        <v>70226</v>
      </c>
      <c r="B2980">
        <v>1</v>
      </c>
      <c r="C2980">
        <v>8</v>
      </c>
    </row>
    <row r="2981" spans="1:3" x14ac:dyDescent="0.3">
      <c r="A2981">
        <v>70225</v>
      </c>
      <c r="B2981">
        <v>1</v>
      </c>
      <c r="C2981">
        <v>8</v>
      </c>
    </row>
    <row r="2982" spans="1:3" x14ac:dyDescent="0.3">
      <c r="A2982">
        <v>70224</v>
      </c>
      <c r="B2982">
        <v>1</v>
      </c>
      <c r="C2982">
        <v>8</v>
      </c>
    </row>
    <row r="2983" spans="1:3" x14ac:dyDescent="0.3">
      <c r="A2983">
        <v>70175</v>
      </c>
      <c r="B2983">
        <v>1</v>
      </c>
      <c r="C2983">
        <v>8</v>
      </c>
    </row>
    <row r="2984" spans="1:3" x14ac:dyDescent="0.3">
      <c r="A2984">
        <v>70174</v>
      </c>
      <c r="B2984">
        <v>1</v>
      </c>
      <c r="C2984">
        <v>8</v>
      </c>
    </row>
    <row r="2985" spans="1:3" x14ac:dyDescent="0.3">
      <c r="A2985">
        <v>70173</v>
      </c>
      <c r="B2985">
        <v>1</v>
      </c>
      <c r="C2985">
        <v>8</v>
      </c>
    </row>
    <row r="2986" spans="1:3" x14ac:dyDescent="0.3">
      <c r="A2986">
        <v>70068</v>
      </c>
      <c r="B2986">
        <v>1</v>
      </c>
      <c r="C2986">
        <v>8</v>
      </c>
    </row>
    <row r="2987" spans="1:3" x14ac:dyDescent="0.3">
      <c r="A2987">
        <v>70067</v>
      </c>
      <c r="B2987">
        <v>1</v>
      </c>
      <c r="C2987">
        <v>8</v>
      </c>
    </row>
    <row r="2988" spans="1:3" x14ac:dyDescent="0.3">
      <c r="A2988">
        <v>70066</v>
      </c>
      <c r="B2988">
        <v>1</v>
      </c>
      <c r="C2988">
        <v>8</v>
      </c>
    </row>
    <row r="2989" spans="1:3" x14ac:dyDescent="0.3">
      <c r="A2989">
        <v>70065</v>
      </c>
      <c r="B2989">
        <v>1</v>
      </c>
      <c r="C2989">
        <v>8</v>
      </c>
    </row>
    <row r="2990" spans="1:3" x14ac:dyDescent="0.3">
      <c r="A2990">
        <v>69900</v>
      </c>
      <c r="B2990">
        <v>1</v>
      </c>
      <c r="C2990">
        <v>8</v>
      </c>
    </row>
    <row r="2991" spans="1:3" x14ac:dyDescent="0.3">
      <c r="A2991">
        <v>69697</v>
      </c>
      <c r="B2991">
        <v>1</v>
      </c>
      <c r="C2991">
        <v>8</v>
      </c>
    </row>
    <row r="2992" spans="1:3" x14ac:dyDescent="0.3">
      <c r="A2992">
        <v>69602</v>
      </c>
      <c r="B2992">
        <v>1</v>
      </c>
      <c r="C2992">
        <v>8</v>
      </c>
    </row>
    <row r="2993" spans="1:3" x14ac:dyDescent="0.3">
      <c r="A2993">
        <v>69601</v>
      </c>
      <c r="B2993">
        <v>1</v>
      </c>
      <c r="C2993">
        <v>8</v>
      </c>
    </row>
    <row r="2994" spans="1:3" x14ac:dyDescent="0.3">
      <c r="A2994">
        <v>69391</v>
      </c>
      <c r="B2994">
        <v>1</v>
      </c>
      <c r="C2994">
        <v>8</v>
      </c>
    </row>
    <row r="2995" spans="1:3" x14ac:dyDescent="0.3">
      <c r="A2995">
        <v>69390</v>
      </c>
      <c r="B2995">
        <v>1</v>
      </c>
      <c r="C2995">
        <v>8</v>
      </c>
    </row>
    <row r="2996" spans="1:3" x14ac:dyDescent="0.3">
      <c r="A2996">
        <v>69322</v>
      </c>
      <c r="B2996">
        <v>1</v>
      </c>
      <c r="C2996">
        <v>8</v>
      </c>
    </row>
    <row r="2997" spans="1:3" x14ac:dyDescent="0.3">
      <c r="A2997">
        <v>69321</v>
      </c>
      <c r="B2997">
        <v>1</v>
      </c>
      <c r="C2997">
        <v>8</v>
      </c>
    </row>
    <row r="2998" spans="1:3" x14ac:dyDescent="0.3">
      <c r="A2998">
        <v>68968</v>
      </c>
      <c r="B2998">
        <v>1</v>
      </c>
      <c r="C2998">
        <v>8</v>
      </c>
    </row>
    <row r="2999" spans="1:3" x14ac:dyDescent="0.3">
      <c r="A2999">
        <v>68825</v>
      </c>
      <c r="B2999">
        <v>1</v>
      </c>
      <c r="C2999">
        <v>8</v>
      </c>
    </row>
    <row r="3000" spans="1:3" x14ac:dyDescent="0.3">
      <c r="A3000">
        <v>68824</v>
      </c>
      <c r="B3000">
        <v>1</v>
      </c>
      <c r="C3000">
        <v>8</v>
      </c>
    </row>
    <row r="3001" spans="1:3" x14ac:dyDescent="0.3">
      <c r="A3001">
        <v>68822</v>
      </c>
      <c r="B3001">
        <v>1</v>
      </c>
      <c r="C3001">
        <v>8</v>
      </c>
    </row>
    <row r="3002" spans="1:3" x14ac:dyDescent="0.3">
      <c r="A3002">
        <v>68370</v>
      </c>
      <c r="B3002">
        <v>1</v>
      </c>
      <c r="C3002">
        <v>8</v>
      </c>
    </row>
    <row r="3003" spans="1:3" x14ac:dyDescent="0.3">
      <c r="A3003">
        <v>68329</v>
      </c>
      <c r="B3003">
        <v>1</v>
      </c>
      <c r="C3003">
        <v>8</v>
      </c>
    </row>
    <row r="3004" spans="1:3" x14ac:dyDescent="0.3">
      <c r="A3004">
        <v>67924</v>
      </c>
      <c r="B3004">
        <v>1</v>
      </c>
      <c r="C3004">
        <v>8</v>
      </c>
    </row>
    <row r="3005" spans="1:3" x14ac:dyDescent="0.3">
      <c r="A3005">
        <v>67923</v>
      </c>
      <c r="B3005">
        <v>1</v>
      </c>
      <c r="C3005">
        <v>8</v>
      </c>
    </row>
    <row r="3006" spans="1:3" x14ac:dyDescent="0.3">
      <c r="A3006">
        <v>67755</v>
      </c>
      <c r="B3006">
        <v>1</v>
      </c>
      <c r="C3006">
        <v>8</v>
      </c>
    </row>
    <row r="3007" spans="1:3" x14ac:dyDescent="0.3">
      <c r="A3007">
        <v>67754</v>
      </c>
      <c r="B3007">
        <v>1</v>
      </c>
      <c r="C3007">
        <v>8</v>
      </c>
    </row>
    <row r="3008" spans="1:3" x14ac:dyDescent="0.3">
      <c r="A3008">
        <v>67753</v>
      </c>
      <c r="B3008">
        <v>1</v>
      </c>
      <c r="C3008">
        <v>8</v>
      </c>
    </row>
    <row r="3009" spans="1:3" x14ac:dyDescent="0.3">
      <c r="A3009">
        <v>67040</v>
      </c>
      <c r="B3009">
        <v>1</v>
      </c>
      <c r="C3009">
        <v>8</v>
      </c>
    </row>
    <row r="3010" spans="1:3" x14ac:dyDescent="0.3">
      <c r="A3010">
        <v>67039</v>
      </c>
      <c r="B3010">
        <v>1</v>
      </c>
      <c r="C3010">
        <v>8</v>
      </c>
    </row>
    <row r="3011" spans="1:3" x14ac:dyDescent="0.3">
      <c r="A3011">
        <v>66910</v>
      </c>
      <c r="B3011">
        <v>1</v>
      </c>
      <c r="C3011">
        <v>8</v>
      </c>
    </row>
    <row r="3012" spans="1:3" x14ac:dyDescent="0.3">
      <c r="A3012">
        <v>66811</v>
      </c>
      <c r="B3012">
        <v>1</v>
      </c>
      <c r="C3012">
        <v>8</v>
      </c>
    </row>
    <row r="3013" spans="1:3" x14ac:dyDescent="0.3">
      <c r="A3013">
        <v>66484</v>
      </c>
      <c r="B3013">
        <v>1</v>
      </c>
      <c r="C3013">
        <v>8</v>
      </c>
    </row>
    <row r="3014" spans="1:3" x14ac:dyDescent="0.3">
      <c r="A3014">
        <v>66481</v>
      </c>
      <c r="B3014">
        <v>1</v>
      </c>
      <c r="C3014">
        <v>8</v>
      </c>
    </row>
    <row r="3015" spans="1:3" x14ac:dyDescent="0.3">
      <c r="A3015">
        <v>66480</v>
      </c>
      <c r="B3015">
        <v>1</v>
      </c>
      <c r="C3015">
        <v>8</v>
      </c>
    </row>
    <row r="3016" spans="1:3" x14ac:dyDescent="0.3">
      <c r="A3016">
        <v>66418</v>
      </c>
      <c r="B3016">
        <v>1</v>
      </c>
      <c r="C3016">
        <v>8</v>
      </c>
    </row>
    <row r="3017" spans="1:3" x14ac:dyDescent="0.3">
      <c r="A3017">
        <v>65889</v>
      </c>
      <c r="B3017">
        <v>1</v>
      </c>
      <c r="C3017">
        <v>8</v>
      </c>
    </row>
    <row r="3018" spans="1:3" x14ac:dyDescent="0.3">
      <c r="A3018">
        <v>65725</v>
      </c>
      <c r="B3018">
        <v>1</v>
      </c>
      <c r="C3018">
        <v>8</v>
      </c>
    </row>
    <row r="3019" spans="1:3" x14ac:dyDescent="0.3">
      <c r="A3019">
        <v>65608</v>
      </c>
      <c r="B3019">
        <v>1</v>
      </c>
      <c r="C3019">
        <v>8</v>
      </c>
    </row>
    <row r="3020" spans="1:3" x14ac:dyDescent="0.3">
      <c r="A3020">
        <v>65607</v>
      </c>
      <c r="B3020">
        <v>1</v>
      </c>
      <c r="C3020">
        <v>8</v>
      </c>
    </row>
    <row r="3021" spans="1:3" x14ac:dyDescent="0.3">
      <c r="A3021">
        <v>65554</v>
      </c>
      <c r="B3021">
        <v>1</v>
      </c>
      <c r="C3021">
        <v>8</v>
      </c>
    </row>
    <row r="3022" spans="1:3" x14ac:dyDescent="0.3">
      <c r="A3022">
        <v>65549</v>
      </c>
      <c r="B3022">
        <v>1</v>
      </c>
      <c r="C3022">
        <v>16</v>
      </c>
    </row>
    <row r="3023" spans="1:3" x14ac:dyDescent="0.3">
      <c r="A3023">
        <v>65292</v>
      </c>
      <c r="B3023">
        <v>1</v>
      </c>
      <c r="C3023">
        <v>8</v>
      </c>
    </row>
    <row r="3024" spans="1:3" x14ac:dyDescent="0.3">
      <c r="A3024">
        <v>65244</v>
      </c>
      <c r="B3024">
        <v>1</v>
      </c>
      <c r="C3024">
        <v>16</v>
      </c>
    </row>
    <row r="3025" spans="1:3" x14ac:dyDescent="0.3">
      <c r="A3025">
        <v>65243</v>
      </c>
      <c r="B3025">
        <v>1</v>
      </c>
      <c r="C3025">
        <v>8</v>
      </c>
    </row>
    <row r="3026" spans="1:3" x14ac:dyDescent="0.3">
      <c r="A3026">
        <v>65058</v>
      </c>
      <c r="B3026">
        <v>1</v>
      </c>
      <c r="C3026">
        <v>8</v>
      </c>
    </row>
    <row r="3027" spans="1:3" x14ac:dyDescent="0.3">
      <c r="A3027">
        <v>65057</v>
      </c>
      <c r="B3027">
        <v>1</v>
      </c>
      <c r="C3027">
        <v>8</v>
      </c>
    </row>
    <row r="3028" spans="1:3" x14ac:dyDescent="0.3">
      <c r="A3028">
        <v>65001</v>
      </c>
      <c r="B3028">
        <v>1</v>
      </c>
      <c r="C3028">
        <v>8</v>
      </c>
    </row>
    <row r="3029" spans="1:3" x14ac:dyDescent="0.3">
      <c r="A3029">
        <v>64576</v>
      </c>
      <c r="B3029">
        <v>1</v>
      </c>
      <c r="C3029">
        <v>8</v>
      </c>
    </row>
    <row r="3030" spans="1:3" x14ac:dyDescent="0.3">
      <c r="A3030">
        <v>64575</v>
      </c>
      <c r="B3030">
        <v>1</v>
      </c>
      <c r="C3030">
        <v>8</v>
      </c>
    </row>
    <row r="3031" spans="1:3" x14ac:dyDescent="0.3">
      <c r="A3031">
        <v>64574</v>
      </c>
      <c r="B3031">
        <v>1</v>
      </c>
      <c r="C3031">
        <v>8</v>
      </c>
    </row>
    <row r="3032" spans="1:3" x14ac:dyDescent="0.3">
      <c r="A3032">
        <v>64572</v>
      </c>
      <c r="B3032">
        <v>1</v>
      </c>
      <c r="C3032">
        <v>16</v>
      </c>
    </row>
    <row r="3033" spans="1:3" x14ac:dyDescent="0.3">
      <c r="A3033">
        <v>64571</v>
      </c>
      <c r="B3033">
        <v>1</v>
      </c>
      <c r="C3033">
        <v>8</v>
      </c>
    </row>
    <row r="3034" spans="1:3" x14ac:dyDescent="0.3">
      <c r="A3034">
        <v>64570</v>
      </c>
      <c r="B3034">
        <v>1</v>
      </c>
      <c r="C3034">
        <v>16</v>
      </c>
    </row>
    <row r="3035" spans="1:3" x14ac:dyDescent="0.3">
      <c r="A3035">
        <v>64568</v>
      </c>
      <c r="B3035">
        <v>1</v>
      </c>
      <c r="C3035">
        <v>8</v>
      </c>
    </row>
    <row r="3036" spans="1:3" x14ac:dyDescent="0.3">
      <c r="A3036">
        <v>64567</v>
      </c>
      <c r="B3036">
        <v>1</v>
      </c>
      <c r="C3036">
        <v>8</v>
      </c>
    </row>
    <row r="3037" spans="1:3" x14ac:dyDescent="0.3">
      <c r="A3037">
        <v>64451</v>
      </c>
      <c r="B3037">
        <v>1</v>
      </c>
      <c r="C3037">
        <v>8</v>
      </c>
    </row>
    <row r="3038" spans="1:3" x14ac:dyDescent="0.3">
      <c r="A3038">
        <v>64447</v>
      </c>
      <c r="B3038">
        <v>1</v>
      </c>
      <c r="C3038">
        <v>8</v>
      </c>
    </row>
    <row r="3039" spans="1:3" x14ac:dyDescent="0.3">
      <c r="A3039">
        <v>64344</v>
      </c>
      <c r="B3039">
        <v>1</v>
      </c>
      <c r="C3039">
        <v>8</v>
      </c>
    </row>
    <row r="3040" spans="1:3" x14ac:dyDescent="0.3">
      <c r="A3040">
        <v>64343</v>
      </c>
      <c r="B3040">
        <v>1</v>
      </c>
      <c r="C3040">
        <v>8</v>
      </c>
    </row>
    <row r="3041" spans="1:3" x14ac:dyDescent="0.3">
      <c r="A3041">
        <v>64340</v>
      </c>
      <c r="B3041">
        <v>1</v>
      </c>
      <c r="C3041">
        <v>8</v>
      </c>
    </row>
    <row r="3042" spans="1:3" x14ac:dyDescent="0.3">
      <c r="A3042">
        <v>64286</v>
      </c>
      <c r="B3042">
        <v>1</v>
      </c>
      <c r="C3042">
        <v>8</v>
      </c>
    </row>
    <row r="3043" spans="1:3" x14ac:dyDescent="0.3">
      <c r="A3043">
        <v>64252</v>
      </c>
      <c r="B3043">
        <v>1</v>
      </c>
      <c r="C3043">
        <v>16</v>
      </c>
    </row>
    <row r="3044" spans="1:3" x14ac:dyDescent="0.3">
      <c r="A3044">
        <v>64159</v>
      </c>
      <c r="B3044">
        <v>1</v>
      </c>
      <c r="C3044">
        <v>8</v>
      </c>
    </row>
    <row r="3045" spans="1:3" x14ac:dyDescent="0.3">
      <c r="A3045">
        <v>64158</v>
      </c>
      <c r="B3045">
        <v>1</v>
      </c>
      <c r="C3045">
        <v>8</v>
      </c>
    </row>
    <row r="3046" spans="1:3" x14ac:dyDescent="0.3">
      <c r="A3046">
        <v>63998</v>
      </c>
      <c r="B3046">
        <v>1</v>
      </c>
      <c r="C3046">
        <v>8</v>
      </c>
    </row>
    <row r="3047" spans="1:3" x14ac:dyDescent="0.3">
      <c r="A3047">
        <v>63997</v>
      </c>
      <c r="B3047">
        <v>1</v>
      </c>
      <c r="C3047">
        <v>8</v>
      </c>
    </row>
    <row r="3048" spans="1:3" x14ac:dyDescent="0.3">
      <c r="A3048">
        <v>63912</v>
      </c>
      <c r="B3048">
        <v>1</v>
      </c>
      <c r="C3048">
        <v>8</v>
      </c>
    </row>
    <row r="3049" spans="1:3" x14ac:dyDescent="0.3">
      <c r="A3049">
        <v>63910</v>
      </c>
      <c r="B3049">
        <v>1</v>
      </c>
      <c r="C3049">
        <v>8</v>
      </c>
    </row>
    <row r="3050" spans="1:3" x14ac:dyDescent="0.3">
      <c r="A3050">
        <v>63791</v>
      </c>
      <c r="B3050">
        <v>1</v>
      </c>
      <c r="C3050">
        <v>8</v>
      </c>
    </row>
    <row r="3051" spans="1:3" x14ac:dyDescent="0.3">
      <c r="A3051">
        <v>63790</v>
      </c>
      <c r="B3051">
        <v>1</v>
      </c>
      <c r="C3051">
        <v>8</v>
      </c>
    </row>
    <row r="3052" spans="1:3" x14ac:dyDescent="0.3">
      <c r="A3052">
        <v>63789</v>
      </c>
      <c r="B3052">
        <v>1</v>
      </c>
      <c r="C3052">
        <v>8</v>
      </c>
    </row>
    <row r="3053" spans="1:3" x14ac:dyDescent="0.3">
      <c r="A3053">
        <v>63788</v>
      </c>
      <c r="B3053">
        <v>1</v>
      </c>
      <c r="C3053">
        <v>8</v>
      </c>
    </row>
    <row r="3054" spans="1:3" x14ac:dyDescent="0.3">
      <c r="A3054">
        <v>63563</v>
      </c>
      <c r="B3054">
        <v>1</v>
      </c>
      <c r="C3054">
        <v>8</v>
      </c>
    </row>
    <row r="3055" spans="1:3" x14ac:dyDescent="0.3">
      <c r="A3055">
        <v>63561</v>
      </c>
      <c r="B3055">
        <v>1</v>
      </c>
      <c r="C3055">
        <v>8</v>
      </c>
    </row>
    <row r="3056" spans="1:3" x14ac:dyDescent="0.3">
      <c r="A3056">
        <v>63559</v>
      </c>
      <c r="B3056">
        <v>1</v>
      </c>
      <c r="C3056">
        <v>8</v>
      </c>
    </row>
    <row r="3057" spans="1:3" x14ac:dyDescent="0.3">
      <c r="A3057">
        <v>63557</v>
      </c>
      <c r="B3057">
        <v>1</v>
      </c>
      <c r="C3057">
        <v>8</v>
      </c>
    </row>
    <row r="3058" spans="1:3" x14ac:dyDescent="0.3">
      <c r="A3058">
        <v>63289</v>
      </c>
      <c r="B3058">
        <v>1</v>
      </c>
      <c r="C3058">
        <v>8</v>
      </c>
    </row>
    <row r="3059" spans="1:3" x14ac:dyDescent="0.3">
      <c r="A3059">
        <v>62837</v>
      </c>
      <c r="B3059">
        <v>1</v>
      </c>
      <c r="C3059">
        <v>8</v>
      </c>
    </row>
    <row r="3060" spans="1:3" x14ac:dyDescent="0.3">
      <c r="A3060">
        <v>62756</v>
      </c>
      <c r="B3060">
        <v>1</v>
      </c>
      <c r="C3060">
        <v>8</v>
      </c>
    </row>
    <row r="3061" spans="1:3" x14ac:dyDescent="0.3">
      <c r="A3061">
        <v>62612</v>
      </c>
      <c r="B3061">
        <v>1</v>
      </c>
      <c r="C3061">
        <v>8</v>
      </c>
    </row>
    <row r="3062" spans="1:3" x14ac:dyDescent="0.3">
      <c r="A3062">
        <v>62610</v>
      </c>
      <c r="B3062">
        <v>1</v>
      </c>
      <c r="C3062">
        <v>8</v>
      </c>
    </row>
    <row r="3063" spans="1:3" x14ac:dyDescent="0.3">
      <c r="A3063">
        <v>62324</v>
      </c>
      <c r="B3063">
        <v>1</v>
      </c>
      <c r="C3063">
        <v>8</v>
      </c>
    </row>
    <row r="3064" spans="1:3" x14ac:dyDescent="0.3">
      <c r="A3064">
        <v>62323</v>
      </c>
      <c r="B3064">
        <v>1</v>
      </c>
      <c r="C3064">
        <v>16</v>
      </c>
    </row>
    <row r="3065" spans="1:3" x14ac:dyDescent="0.3">
      <c r="A3065">
        <v>62321</v>
      </c>
      <c r="B3065">
        <v>1</v>
      </c>
      <c r="C3065">
        <v>8</v>
      </c>
    </row>
    <row r="3066" spans="1:3" x14ac:dyDescent="0.3">
      <c r="A3066">
        <v>62265</v>
      </c>
      <c r="B3066">
        <v>1</v>
      </c>
      <c r="C3066">
        <v>8</v>
      </c>
    </row>
    <row r="3067" spans="1:3" x14ac:dyDescent="0.3">
      <c r="A3067">
        <v>61979</v>
      </c>
      <c r="B3067">
        <v>1</v>
      </c>
      <c r="C3067">
        <v>8</v>
      </c>
    </row>
    <row r="3068" spans="1:3" x14ac:dyDescent="0.3">
      <c r="A3068">
        <v>61978</v>
      </c>
      <c r="B3068">
        <v>1</v>
      </c>
      <c r="C3068">
        <v>8</v>
      </c>
    </row>
    <row r="3069" spans="1:3" x14ac:dyDescent="0.3">
      <c r="A3069">
        <v>61674</v>
      </c>
      <c r="B3069">
        <v>1</v>
      </c>
      <c r="C3069">
        <v>8</v>
      </c>
    </row>
    <row r="3070" spans="1:3" x14ac:dyDescent="0.3">
      <c r="A3070">
        <v>61673</v>
      </c>
      <c r="B3070">
        <v>1</v>
      </c>
      <c r="C3070">
        <v>8</v>
      </c>
    </row>
    <row r="3071" spans="1:3" x14ac:dyDescent="0.3">
      <c r="A3071">
        <v>61593</v>
      </c>
      <c r="B3071">
        <v>1</v>
      </c>
      <c r="C3071">
        <v>8</v>
      </c>
    </row>
    <row r="3072" spans="1:3" x14ac:dyDescent="0.3">
      <c r="A3072">
        <v>61592</v>
      </c>
      <c r="B3072">
        <v>1</v>
      </c>
      <c r="C3072">
        <v>16</v>
      </c>
    </row>
    <row r="3073" spans="1:3" x14ac:dyDescent="0.3">
      <c r="A3073">
        <v>61567</v>
      </c>
      <c r="B3073">
        <v>1</v>
      </c>
      <c r="C3073">
        <v>8</v>
      </c>
    </row>
    <row r="3074" spans="1:3" x14ac:dyDescent="0.3">
      <c r="A3074">
        <v>61566</v>
      </c>
      <c r="B3074">
        <v>1</v>
      </c>
      <c r="C3074">
        <v>8</v>
      </c>
    </row>
    <row r="3075" spans="1:3" x14ac:dyDescent="0.3">
      <c r="A3075">
        <v>61447</v>
      </c>
      <c r="B3075">
        <v>1</v>
      </c>
      <c r="C3075">
        <v>8</v>
      </c>
    </row>
    <row r="3076" spans="1:3" x14ac:dyDescent="0.3">
      <c r="A3076">
        <v>60724</v>
      </c>
      <c r="B3076">
        <v>1</v>
      </c>
      <c r="C3076">
        <v>8</v>
      </c>
    </row>
    <row r="3077" spans="1:3" x14ac:dyDescent="0.3">
      <c r="A3077">
        <v>60580</v>
      </c>
      <c r="B3077">
        <v>1</v>
      </c>
      <c r="C3077">
        <v>8</v>
      </c>
    </row>
    <row r="3078" spans="1:3" x14ac:dyDescent="0.3">
      <c r="A3078">
        <v>60578</v>
      </c>
      <c r="B3078">
        <v>1</v>
      </c>
      <c r="C3078">
        <v>8</v>
      </c>
    </row>
    <row r="3079" spans="1:3" x14ac:dyDescent="0.3">
      <c r="A3079">
        <v>60577</v>
      </c>
      <c r="B3079">
        <v>1</v>
      </c>
      <c r="C3079">
        <v>16</v>
      </c>
    </row>
    <row r="3080" spans="1:3" x14ac:dyDescent="0.3">
      <c r="A3080">
        <v>60332</v>
      </c>
      <c r="B3080">
        <v>1</v>
      </c>
      <c r="C3080">
        <v>8</v>
      </c>
    </row>
    <row r="3081" spans="1:3" x14ac:dyDescent="0.3">
      <c r="A3081">
        <v>60195</v>
      </c>
      <c r="B3081">
        <v>1</v>
      </c>
      <c r="C3081">
        <v>8</v>
      </c>
    </row>
    <row r="3082" spans="1:3" x14ac:dyDescent="0.3">
      <c r="A3082">
        <v>60194</v>
      </c>
      <c r="B3082">
        <v>1</v>
      </c>
      <c r="C3082">
        <v>8</v>
      </c>
    </row>
    <row r="3083" spans="1:3" x14ac:dyDescent="0.3">
      <c r="A3083">
        <v>60094</v>
      </c>
      <c r="B3083">
        <v>1</v>
      </c>
      <c r="C3083">
        <v>8</v>
      </c>
    </row>
    <row r="3084" spans="1:3" x14ac:dyDescent="0.3">
      <c r="A3084">
        <v>60092</v>
      </c>
      <c r="B3084">
        <v>1</v>
      </c>
      <c r="C3084">
        <v>16</v>
      </c>
    </row>
    <row r="3085" spans="1:3" x14ac:dyDescent="0.3">
      <c r="A3085">
        <v>60089</v>
      </c>
      <c r="B3085">
        <v>1</v>
      </c>
      <c r="C3085">
        <v>8</v>
      </c>
    </row>
    <row r="3086" spans="1:3" x14ac:dyDescent="0.3">
      <c r="A3086">
        <v>59982</v>
      </c>
      <c r="B3086">
        <v>1</v>
      </c>
      <c r="C3086">
        <v>8</v>
      </c>
    </row>
    <row r="3087" spans="1:3" x14ac:dyDescent="0.3">
      <c r="A3087">
        <v>59550</v>
      </c>
      <c r="B3087">
        <v>1</v>
      </c>
      <c r="C3087">
        <v>8</v>
      </c>
    </row>
    <row r="3088" spans="1:3" x14ac:dyDescent="0.3">
      <c r="A3088">
        <v>59376</v>
      </c>
      <c r="B3088">
        <v>1</v>
      </c>
      <c r="C3088">
        <v>16</v>
      </c>
    </row>
    <row r="3089" spans="1:3" x14ac:dyDescent="0.3">
      <c r="A3089">
        <v>59148</v>
      </c>
      <c r="B3089">
        <v>1</v>
      </c>
      <c r="C3089">
        <v>16</v>
      </c>
    </row>
    <row r="3090" spans="1:3" x14ac:dyDescent="0.3">
      <c r="A3090">
        <v>59050</v>
      </c>
      <c r="B3090">
        <v>1</v>
      </c>
      <c r="C3090">
        <v>8</v>
      </c>
    </row>
    <row r="3091" spans="1:3" x14ac:dyDescent="0.3">
      <c r="A3091">
        <v>58534</v>
      </c>
      <c r="B3091">
        <v>1</v>
      </c>
      <c r="C3091">
        <v>8</v>
      </c>
    </row>
    <row r="3092" spans="1:3" x14ac:dyDescent="0.3">
      <c r="A3092">
        <v>58409</v>
      </c>
      <c r="B3092">
        <v>1</v>
      </c>
      <c r="C3092">
        <v>8</v>
      </c>
    </row>
    <row r="3093" spans="1:3" x14ac:dyDescent="0.3">
      <c r="A3093">
        <v>58407</v>
      </c>
      <c r="B3093">
        <v>1</v>
      </c>
      <c r="C3093">
        <v>16</v>
      </c>
    </row>
    <row r="3094" spans="1:3" x14ac:dyDescent="0.3">
      <c r="A3094">
        <v>57705</v>
      </c>
      <c r="B3094">
        <v>1</v>
      </c>
      <c r="C3094">
        <v>8</v>
      </c>
    </row>
    <row r="3095" spans="1:3" x14ac:dyDescent="0.3">
      <c r="A3095">
        <v>57704</v>
      </c>
      <c r="B3095">
        <v>1</v>
      </c>
      <c r="C3095">
        <v>8</v>
      </c>
    </row>
    <row r="3096" spans="1:3" x14ac:dyDescent="0.3">
      <c r="A3096">
        <v>57545</v>
      </c>
      <c r="B3096">
        <v>1</v>
      </c>
      <c r="C3096">
        <v>8</v>
      </c>
    </row>
    <row r="3097" spans="1:3" x14ac:dyDescent="0.3">
      <c r="A3097">
        <v>57544</v>
      </c>
      <c r="B3097">
        <v>1</v>
      </c>
      <c r="C3097">
        <v>8</v>
      </c>
    </row>
    <row r="3098" spans="1:3" x14ac:dyDescent="0.3">
      <c r="A3098">
        <v>57543</v>
      </c>
      <c r="B3098">
        <v>1</v>
      </c>
      <c r="C3098">
        <v>8</v>
      </c>
    </row>
    <row r="3099" spans="1:3" x14ac:dyDescent="0.3">
      <c r="A3099">
        <v>57262</v>
      </c>
      <c r="B3099">
        <v>1</v>
      </c>
      <c r="C3099">
        <v>8</v>
      </c>
    </row>
    <row r="3100" spans="1:3" x14ac:dyDescent="0.3">
      <c r="A3100">
        <v>57258</v>
      </c>
      <c r="B3100">
        <v>1</v>
      </c>
      <c r="C3100">
        <v>8</v>
      </c>
    </row>
    <row r="3101" spans="1:3" x14ac:dyDescent="0.3">
      <c r="A3101">
        <v>57127</v>
      </c>
      <c r="B3101">
        <v>1</v>
      </c>
      <c r="C3101">
        <v>16</v>
      </c>
    </row>
    <row r="3102" spans="1:3" x14ac:dyDescent="0.3">
      <c r="A3102">
        <v>57126</v>
      </c>
      <c r="B3102">
        <v>1</v>
      </c>
      <c r="C3102">
        <v>8</v>
      </c>
    </row>
    <row r="3103" spans="1:3" x14ac:dyDescent="0.3">
      <c r="A3103">
        <v>57059</v>
      </c>
      <c r="B3103">
        <v>1</v>
      </c>
      <c r="C3103">
        <v>8</v>
      </c>
    </row>
    <row r="3104" spans="1:3" x14ac:dyDescent="0.3">
      <c r="A3104">
        <v>56764</v>
      </c>
      <c r="B3104">
        <v>1</v>
      </c>
      <c r="C3104">
        <v>8</v>
      </c>
    </row>
    <row r="3105" spans="1:3" x14ac:dyDescent="0.3">
      <c r="A3105">
        <v>56763</v>
      </c>
      <c r="B3105">
        <v>1</v>
      </c>
      <c r="C3105">
        <v>8</v>
      </c>
    </row>
    <row r="3106" spans="1:3" x14ac:dyDescent="0.3">
      <c r="A3106">
        <v>56410</v>
      </c>
      <c r="B3106">
        <v>1</v>
      </c>
      <c r="C3106">
        <v>8</v>
      </c>
    </row>
    <row r="3107" spans="1:3" x14ac:dyDescent="0.3">
      <c r="A3107">
        <v>56409</v>
      </c>
      <c r="B3107">
        <v>1</v>
      </c>
      <c r="C3107">
        <v>16</v>
      </c>
    </row>
    <row r="3108" spans="1:3" x14ac:dyDescent="0.3">
      <c r="A3108">
        <v>56406</v>
      </c>
      <c r="B3108">
        <v>1</v>
      </c>
      <c r="C3108">
        <v>8</v>
      </c>
    </row>
    <row r="3109" spans="1:3" x14ac:dyDescent="0.3">
      <c r="A3109">
        <v>56115</v>
      </c>
      <c r="B3109">
        <v>1</v>
      </c>
      <c r="C3109">
        <v>16</v>
      </c>
    </row>
    <row r="3110" spans="1:3" x14ac:dyDescent="0.3">
      <c r="A3110">
        <v>55873</v>
      </c>
      <c r="B3110">
        <v>2</v>
      </c>
      <c r="C3110">
        <v>16</v>
      </c>
    </row>
    <row r="3111" spans="1:3" x14ac:dyDescent="0.3">
      <c r="A3111">
        <v>55062</v>
      </c>
      <c r="B3111">
        <v>1</v>
      </c>
      <c r="C3111">
        <v>8</v>
      </c>
    </row>
    <row r="3112" spans="1:3" x14ac:dyDescent="0.3">
      <c r="A3112">
        <v>54876</v>
      </c>
      <c r="B3112">
        <v>1</v>
      </c>
      <c r="C3112">
        <v>16</v>
      </c>
    </row>
    <row r="3113" spans="1:3" x14ac:dyDescent="0.3">
      <c r="A3113">
        <v>54869</v>
      </c>
      <c r="B3113">
        <v>1</v>
      </c>
      <c r="C3113">
        <v>16</v>
      </c>
    </row>
    <row r="3114" spans="1:3" x14ac:dyDescent="0.3">
      <c r="A3114">
        <v>54570</v>
      </c>
      <c r="B3114">
        <v>1</v>
      </c>
      <c r="C3114">
        <v>8</v>
      </c>
    </row>
    <row r="3115" spans="1:3" x14ac:dyDescent="0.3">
      <c r="A3115">
        <v>54569</v>
      </c>
      <c r="B3115">
        <v>1</v>
      </c>
      <c r="C3115">
        <v>16</v>
      </c>
    </row>
    <row r="3116" spans="1:3" x14ac:dyDescent="0.3">
      <c r="A3116">
        <v>54456</v>
      </c>
      <c r="B3116">
        <v>1</v>
      </c>
      <c r="C3116">
        <v>8</v>
      </c>
    </row>
    <row r="3117" spans="1:3" x14ac:dyDescent="0.3">
      <c r="A3117">
        <v>53865</v>
      </c>
      <c r="B3117">
        <v>1</v>
      </c>
      <c r="C3117">
        <v>8</v>
      </c>
    </row>
    <row r="3118" spans="1:3" x14ac:dyDescent="0.3">
      <c r="A3118">
        <v>53854</v>
      </c>
      <c r="B3118">
        <v>1</v>
      </c>
      <c r="C3118">
        <v>8</v>
      </c>
    </row>
    <row r="3119" spans="1:3" x14ac:dyDescent="0.3">
      <c r="A3119">
        <v>66166</v>
      </c>
      <c r="B3119">
        <v>1</v>
      </c>
      <c r="C3119">
        <v>8</v>
      </c>
    </row>
    <row r="3120" spans="1:3" x14ac:dyDescent="0.3">
      <c r="A3120">
        <v>53439</v>
      </c>
      <c r="B3120">
        <v>1</v>
      </c>
      <c r="C3120">
        <v>8</v>
      </c>
    </row>
    <row r="3121" spans="1:3" x14ac:dyDescent="0.3">
      <c r="A3121">
        <v>53389</v>
      </c>
      <c r="B3121">
        <v>1</v>
      </c>
      <c r="C3121">
        <v>16</v>
      </c>
    </row>
    <row r="3122" spans="1:3" x14ac:dyDescent="0.3">
      <c r="A3122">
        <v>53199</v>
      </c>
      <c r="B3122">
        <v>1</v>
      </c>
      <c r="C3122">
        <v>8</v>
      </c>
    </row>
    <row r="3123" spans="1:3" x14ac:dyDescent="0.3">
      <c r="A3123">
        <v>53135</v>
      </c>
      <c r="B3123">
        <v>1</v>
      </c>
      <c r="C3123">
        <v>8</v>
      </c>
    </row>
    <row r="3124" spans="1:3" x14ac:dyDescent="0.3">
      <c r="A3124">
        <v>53028</v>
      </c>
      <c r="B3124">
        <v>1</v>
      </c>
      <c r="C3124">
        <v>8</v>
      </c>
    </row>
    <row r="3125" spans="1:3" x14ac:dyDescent="0.3">
      <c r="A3125">
        <v>52933</v>
      </c>
      <c r="B3125">
        <v>1</v>
      </c>
      <c r="C3125">
        <v>8</v>
      </c>
    </row>
    <row r="3126" spans="1:3" x14ac:dyDescent="0.3">
      <c r="A3126">
        <v>52409</v>
      </c>
      <c r="B3126">
        <v>1</v>
      </c>
      <c r="C3126">
        <v>16</v>
      </c>
    </row>
    <row r="3127" spans="1:3" x14ac:dyDescent="0.3">
      <c r="A3127">
        <v>52405</v>
      </c>
      <c r="B3127">
        <v>1</v>
      </c>
      <c r="C3127">
        <v>16</v>
      </c>
    </row>
    <row r="3128" spans="1:3" x14ac:dyDescent="0.3">
      <c r="A3128">
        <v>51898</v>
      </c>
      <c r="B3128">
        <v>1</v>
      </c>
      <c r="C3128">
        <v>8</v>
      </c>
    </row>
    <row r="3129" spans="1:3" x14ac:dyDescent="0.3">
      <c r="A3129">
        <v>51766</v>
      </c>
      <c r="B3129">
        <v>1</v>
      </c>
      <c r="C3129">
        <v>8</v>
      </c>
    </row>
    <row r="3130" spans="1:3" x14ac:dyDescent="0.3">
      <c r="A3130">
        <v>51764</v>
      </c>
      <c r="B3130">
        <v>1</v>
      </c>
      <c r="C3130">
        <v>16</v>
      </c>
    </row>
    <row r="3131" spans="1:3" x14ac:dyDescent="0.3">
      <c r="A3131">
        <v>51714</v>
      </c>
      <c r="B3131">
        <v>1</v>
      </c>
      <c r="C3131">
        <v>8</v>
      </c>
    </row>
    <row r="3132" spans="1:3" x14ac:dyDescent="0.3">
      <c r="A3132">
        <v>51712</v>
      </c>
      <c r="B3132">
        <v>1</v>
      </c>
      <c r="C3132">
        <v>8</v>
      </c>
    </row>
    <row r="3133" spans="1:3" x14ac:dyDescent="0.3">
      <c r="A3133">
        <v>51465</v>
      </c>
      <c r="B3133">
        <v>1</v>
      </c>
      <c r="C3133">
        <v>16</v>
      </c>
    </row>
    <row r="3134" spans="1:3" x14ac:dyDescent="0.3">
      <c r="A3134">
        <v>51421</v>
      </c>
      <c r="B3134">
        <v>1</v>
      </c>
      <c r="C3134">
        <v>8</v>
      </c>
    </row>
    <row r="3135" spans="1:3" x14ac:dyDescent="0.3">
      <c r="A3135">
        <v>51401</v>
      </c>
      <c r="B3135">
        <v>1</v>
      </c>
      <c r="C3135">
        <v>8</v>
      </c>
    </row>
    <row r="3136" spans="1:3" x14ac:dyDescent="0.3">
      <c r="A3136">
        <v>51400</v>
      </c>
      <c r="B3136">
        <v>1</v>
      </c>
      <c r="C3136">
        <v>8</v>
      </c>
    </row>
    <row r="3137" spans="1:3" x14ac:dyDescent="0.3">
      <c r="A3137">
        <v>51307</v>
      </c>
      <c r="B3137">
        <v>1</v>
      </c>
      <c r="C3137">
        <v>8</v>
      </c>
    </row>
    <row r="3138" spans="1:3" x14ac:dyDescent="0.3">
      <c r="A3138">
        <v>51306</v>
      </c>
      <c r="B3138">
        <v>1</v>
      </c>
      <c r="C3138">
        <v>8</v>
      </c>
    </row>
    <row r="3139" spans="1:3" x14ac:dyDescent="0.3">
      <c r="A3139">
        <v>50989</v>
      </c>
      <c r="B3139">
        <v>1</v>
      </c>
      <c r="C3139">
        <v>8</v>
      </c>
    </row>
    <row r="3140" spans="1:3" x14ac:dyDescent="0.3">
      <c r="A3140">
        <v>50986</v>
      </c>
      <c r="B3140">
        <v>1</v>
      </c>
      <c r="C3140">
        <v>8</v>
      </c>
    </row>
    <row r="3141" spans="1:3" x14ac:dyDescent="0.3">
      <c r="A3141">
        <v>50985</v>
      </c>
      <c r="B3141">
        <v>1</v>
      </c>
      <c r="C3141">
        <v>8</v>
      </c>
    </row>
    <row r="3142" spans="1:3" x14ac:dyDescent="0.3">
      <c r="A3142">
        <v>50922</v>
      </c>
      <c r="B3142">
        <v>1</v>
      </c>
      <c r="C3142">
        <v>16</v>
      </c>
    </row>
    <row r="3143" spans="1:3" x14ac:dyDescent="0.3">
      <c r="A3143">
        <v>50590</v>
      </c>
      <c r="B3143">
        <v>1</v>
      </c>
      <c r="C3143">
        <v>8</v>
      </c>
    </row>
    <row r="3144" spans="1:3" x14ac:dyDescent="0.3">
      <c r="A3144">
        <v>50502</v>
      </c>
      <c r="B3144">
        <v>1</v>
      </c>
      <c r="C3144">
        <v>16</v>
      </c>
    </row>
    <row r="3145" spans="1:3" x14ac:dyDescent="0.3">
      <c r="A3145">
        <v>50501</v>
      </c>
      <c r="B3145">
        <v>1</v>
      </c>
      <c r="C3145">
        <v>8</v>
      </c>
    </row>
    <row r="3146" spans="1:3" x14ac:dyDescent="0.3">
      <c r="A3146">
        <v>50253</v>
      </c>
      <c r="B3146">
        <v>1</v>
      </c>
      <c r="C3146">
        <v>16</v>
      </c>
    </row>
    <row r="3147" spans="1:3" x14ac:dyDescent="0.3">
      <c r="A3147">
        <v>50123</v>
      </c>
      <c r="B3147">
        <v>1</v>
      </c>
      <c r="C3147">
        <v>8</v>
      </c>
    </row>
    <row r="3148" spans="1:3" x14ac:dyDescent="0.3">
      <c r="A3148">
        <v>50121</v>
      </c>
      <c r="B3148">
        <v>1</v>
      </c>
      <c r="C3148">
        <v>8</v>
      </c>
    </row>
    <row r="3149" spans="1:3" x14ac:dyDescent="0.3">
      <c r="A3149">
        <v>50119</v>
      </c>
      <c r="B3149">
        <v>1</v>
      </c>
      <c r="C3149">
        <v>8</v>
      </c>
    </row>
    <row r="3150" spans="1:3" x14ac:dyDescent="0.3">
      <c r="A3150">
        <v>50118</v>
      </c>
      <c r="B3150">
        <v>1</v>
      </c>
      <c r="C3150">
        <v>8</v>
      </c>
    </row>
    <row r="3151" spans="1:3" x14ac:dyDescent="0.3">
      <c r="A3151">
        <v>50105</v>
      </c>
      <c r="B3151">
        <v>1</v>
      </c>
      <c r="C3151">
        <v>8</v>
      </c>
    </row>
    <row r="3152" spans="1:3" x14ac:dyDescent="0.3">
      <c r="A3152">
        <v>49103</v>
      </c>
      <c r="B3152">
        <v>1</v>
      </c>
      <c r="C3152">
        <v>8</v>
      </c>
    </row>
    <row r="3153" spans="1:3" x14ac:dyDescent="0.3">
      <c r="A3153">
        <v>49102</v>
      </c>
      <c r="B3153">
        <v>1</v>
      </c>
      <c r="C3153">
        <v>16</v>
      </c>
    </row>
    <row r="3154" spans="1:3" x14ac:dyDescent="0.3">
      <c r="A3154">
        <v>49098</v>
      </c>
      <c r="B3154">
        <v>1</v>
      </c>
      <c r="C3154">
        <v>8</v>
      </c>
    </row>
    <row r="3155" spans="1:3" x14ac:dyDescent="0.3">
      <c r="A3155">
        <v>49097</v>
      </c>
      <c r="B3155">
        <v>1</v>
      </c>
      <c r="C3155">
        <v>8</v>
      </c>
    </row>
    <row r="3156" spans="1:3" x14ac:dyDescent="0.3">
      <c r="A3156">
        <v>49096</v>
      </c>
      <c r="B3156">
        <v>1</v>
      </c>
      <c r="C3156">
        <v>8</v>
      </c>
    </row>
    <row r="3157" spans="1:3" x14ac:dyDescent="0.3">
      <c r="A3157">
        <v>49095</v>
      </c>
      <c r="B3157">
        <v>1</v>
      </c>
      <c r="C3157">
        <v>8</v>
      </c>
    </row>
    <row r="3158" spans="1:3" x14ac:dyDescent="0.3">
      <c r="A3158">
        <v>48540</v>
      </c>
      <c r="B3158">
        <v>1</v>
      </c>
      <c r="C3158">
        <v>8</v>
      </c>
    </row>
    <row r="3159" spans="1:3" x14ac:dyDescent="0.3">
      <c r="A3159">
        <v>48539</v>
      </c>
      <c r="B3159">
        <v>1</v>
      </c>
      <c r="C3159">
        <v>8</v>
      </c>
    </row>
    <row r="3160" spans="1:3" x14ac:dyDescent="0.3">
      <c r="A3160">
        <v>48536</v>
      </c>
      <c r="B3160">
        <v>1</v>
      </c>
      <c r="C3160">
        <v>8</v>
      </c>
    </row>
    <row r="3161" spans="1:3" x14ac:dyDescent="0.3">
      <c r="A3161">
        <v>48458</v>
      </c>
      <c r="B3161">
        <v>1</v>
      </c>
      <c r="C3161">
        <v>8</v>
      </c>
    </row>
    <row r="3162" spans="1:3" x14ac:dyDescent="0.3">
      <c r="A3162">
        <v>48457</v>
      </c>
      <c r="B3162">
        <v>1</v>
      </c>
      <c r="C3162">
        <v>8</v>
      </c>
    </row>
    <row r="3163" spans="1:3" x14ac:dyDescent="0.3">
      <c r="A3163">
        <v>47798</v>
      </c>
      <c r="B3163">
        <v>1</v>
      </c>
      <c r="C3163">
        <v>8</v>
      </c>
    </row>
    <row r="3164" spans="1:3" x14ac:dyDescent="0.3">
      <c r="A3164">
        <v>47562</v>
      </c>
      <c r="B3164">
        <v>1</v>
      </c>
      <c r="C3164">
        <v>8</v>
      </c>
    </row>
    <row r="3165" spans="1:3" x14ac:dyDescent="0.3">
      <c r="A3165">
        <v>47291</v>
      </c>
      <c r="B3165">
        <v>1</v>
      </c>
      <c r="C3165">
        <v>8</v>
      </c>
    </row>
    <row r="3166" spans="1:3" x14ac:dyDescent="0.3">
      <c r="A3166">
        <v>47290</v>
      </c>
      <c r="B3166">
        <v>1</v>
      </c>
      <c r="C3166">
        <v>8</v>
      </c>
    </row>
    <row r="3167" spans="1:3" x14ac:dyDescent="0.3">
      <c r="A3167">
        <v>47289</v>
      </c>
      <c r="B3167">
        <v>1</v>
      </c>
      <c r="C3167">
        <v>8</v>
      </c>
    </row>
    <row r="3168" spans="1:3" x14ac:dyDescent="0.3">
      <c r="A3168">
        <v>47288</v>
      </c>
      <c r="B3168">
        <v>1</v>
      </c>
      <c r="C3168">
        <v>8</v>
      </c>
    </row>
    <row r="3169" spans="1:3" x14ac:dyDescent="0.3">
      <c r="A3169">
        <v>47211</v>
      </c>
      <c r="B3169">
        <v>1</v>
      </c>
      <c r="C3169">
        <v>8</v>
      </c>
    </row>
    <row r="3170" spans="1:3" x14ac:dyDescent="0.3">
      <c r="A3170">
        <v>43732</v>
      </c>
      <c r="B3170">
        <v>1</v>
      </c>
      <c r="C3170">
        <v>16</v>
      </c>
    </row>
    <row r="3171" spans="1:3" x14ac:dyDescent="0.3">
      <c r="A3171">
        <v>43685</v>
      </c>
      <c r="B3171">
        <v>1</v>
      </c>
      <c r="C3171">
        <v>8</v>
      </c>
    </row>
    <row r="3172" spans="1:3" x14ac:dyDescent="0.3">
      <c r="A3172">
        <v>43186</v>
      </c>
      <c r="B3172">
        <v>1</v>
      </c>
      <c r="C3172">
        <v>8</v>
      </c>
    </row>
    <row r="3173" spans="1:3" x14ac:dyDescent="0.3">
      <c r="A3173">
        <v>43185</v>
      </c>
      <c r="B3173">
        <v>1</v>
      </c>
      <c r="C3173">
        <v>8</v>
      </c>
    </row>
    <row r="3174" spans="1:3" x14ac:dyDescent="0.3">
      <c r="A3174">
        <v>42293</v>
      </c>
      <c r="B3174">
        <v>1</v>
      </c>
      <c r="C3174">
        <v>8</v>
      </c>
    </row>
    <row r="3175" spans="1:3" x14ac:dyDescent="0.3">
      <c r="A3175">
        <v>42235</v>
      </c>
      <c r="B3175">
        <v>1</v>
      </c>
      <c r="C3175">
        <v>8</v>
      </c>
    </row>
    <row r="3176" spans="1:3" x14ac:dyDescent="0.3">
      <c r="A3176">
        <v>42229</v>
      </c>
      <c r="B3176">
        <v>1</v>
      </c>
      <c r="C3176">
        <v>16</v>
      </c>
    </row>
    <row r="3177" spans="1:3" x14ac:dyDescent="0.3">
      <c r="A3177">
        <v>41908</v>
      </c>
      <c r="B3177">
        <v>1</v>
      </c>
      <c r="C3177">
        <v>16</v>
      </c>
    </row>
    <row r="3178" spans="1:3" x14ac:dyDescent="0.3">
      <c r="A3178">
        <v>41404</v>
      </c>
      <c r="B3178">
        <v>1</v>
      </c>
      <c r="C3178">
        <v>8</v>
      </c>
    </row>
    <row r="3179" spans="1:3" x14ac:dyDescent="0.3">
      <c r="A3179">
        <v>41234</v>
      </c>
      <c r="B3179">
        <v>1</v>
      </c>
      <c r="C3179">
        <v>16</v>
      </c>
    </row>
    <row r="3180" spans="1:3" x14ac:dyDescent="0.3">
      <c r="A3180">
        <v>40877</v>
      </c>
      <c r="B3180">
        <v>1</v>
      </c>
      <c r="C3180">
        <v>8</v>
      </c>
    </row>
    <row r="3181" spans="1:3" x14ac:dyDescent="0.3">
      <c r="A3181">
        <v>40638</v>
      </c>
      <c r="B3181">
        <v>1</v>
      </c>
      <c r="C3181">
        <v>8</v>
      </c>
    </row>
    <row r="3182" spans="1:3" x14ac:dyDescent="0.3">
      <c r="A3182">
        <v>40414</v>
      </c>
      <c r="B3182">
        <v>1</v>
      </c>
      <c r="C3182">
        <v>8</v>
      </c>
    </row>
    <row r="3183" spans="1:3" x14ac:dyDescent="0.3">
      <c r="A3183">
        <v>39915</v>
      </c>
      <c r="B3183">
        <v>1</v>
      </c>
      <c r="C3183">
        <v>8</v>
      </c>
    </row>
    <row r="3184" spans="1:3" x14ac:dyDescent="0.3">
      <c r="A3184">
        <v>39669</v>
      </c>
      <c r="B3184">
        <v>1</v>
      </c>
      <c r="C3184">
        <v>8</v>
      </c>
    </row>
    <row r="3185" spans="1:3" x14ac:dyDescent="0.3">
      <c r="A3185">
        <v>37744</v>
      </c>
      <c r="B3185">
        <v>1</v>
      </c>
      <c r="C3185">
        <v>8</v>
      </c>
    </row>
    <row r="3186" spans="1:3" x14ac:dyDescent="0.3">
      <c r="A3186">
        <v>37503</v>
      </c>
      <c r="B3186">
        <v>1</v>
      </c>
      <c r="C3186">
        <v>8</v>
      </c>
    </row>
    <row r="3187" spans="1:3" x14ac:dyDescent="0.3">
      <c r="A3187">
        <v>37330</v>
      </c>
      <c r="B3187">
        <v>1</v>
      </c>
      <c r="C3187">
        <v>8</v>
      </c>
    </row>
    <row r="3188" spans="1:3" x14ac:dyDescent="0.3">
      <c r="A3188">
        <v>37329</v>
      </c>
      <c r="B3188">
        <v>1</v>
      </c>
      <c r="C3188">
        <v>8</v>
      </c>
    </row>
    <row r="3189" spans="1:3" x14ac:dyDescent="0.3">
      <c r="A3189">
        <v>36486</v>
      </c>
      <c r="B3189">
        <v>1</v>
      </c>
      <c r="C3189">
        <v>8</v>
      </c>
    </row>
    <row r="3190" spans="1:3" x14ac:dyDescent="0.3">
      <c r="A3190">
        <v>35024</v>
      </c>
      <c r="B3190">
        <v>1</v>
      </c>
      <c r="C3190">
        <v>8</v>
      </c>
    </row>
    <row r="3191" spans="1:3" x14ac:dyDescent="0.3">
      <c r="A3191">
        <v>34630</v>
      </c>
      <c r="B3191">
        <v>1</v>
      </c>
      <c r="C3191">
        <v>8</v>
      </c>
    </row>
    <row r="3192" spans="1:3" x14ac:dyDescent="0.3">
      <c r="A3192">
        <v>34463</v>
      </c>
      <c r="B3192">
        <v>1</v>
      </c>
      <c r="C3192">
        <v>16</v>
      </c>
    </row>
    <row r="3193" spans="1:3" x14ac:dyDescent="0.3">
      <c r="A3193">
        <v>34201</v>
      </c>
      <c r="B3193">
        <v>1</v>
      </c>
      <c r="C3193">
        <v>16</v>
      </c>
    </row>
    <row r="3194" spans="1:3" x14ac:dyDescent="0.3">
      <c r="A3194">
        <v>33733</v>
      </c>
      <c r="B3194">
        <v>1</v>
      </c>
      <c r="C3194">
        <v>8</v>
      </c>
    </row>
    <row r="3195" spans="1:3" x14ac:dyDescent="0.3">
      <c r="A3195">
        <v>33386</v>
      </c>
      <c r="B3195">
        <v>1</v>
      </c>
      <c r="C3195">
        <v>8</v>
      </c>
    </row>
    <row r="3196" spans="1:3" x14ac:dyDescent="0.3">
      <c r="A3196">
        <v>32995</v>
      </c>
      <c r="B3196">
        <v>1</v>
      </c>
      <c r="C3196">
        <v>16</v>
      </c>
    </row>
    <row r="3197" spans="1:3" x14ac:dyDescent="0.3">
      <c r="A3197">
        <v>32994</v>
      </c>
      <c r="B3197">
        <v>1</v>
      </c>
      <c r="C3197">
        <v>16</v>
      </c>
    </row>
    <row r="3198" spans="1:3" x14ac:dyDescent="0.3">
      <c r="A3198">
        <v>31800</v>
      </c>
      <c r="B3198">
        <v>1</v>
      </c>
      <c r="C3198">
        <v>8</v>
      </c>
    </row>
    <row r="3199" spans="1:3" x14ac:dyDescent="0.3">
      <c r="A3199">
        <v>31185</v>
      </c>
      <c r="B3199">
        <v>1</v>
      </c>
      <c r="C3199">
        <v>8</v>
      </c>
    </row>
    <row r="3200" spans="1:3" x14ac:dyDescent="0.3">
      <c r="A3200">
        <v>30658</v>
      </c>
      <c r="B3200">
        <v>1</v>
      </c>
      <c r="C3200">
        <v>8</v>
      </c>
    </row>
    <row r="3201" spans="1:3" x14ac:dyDescent="0.3">
      <c r="A3201">
        <v>29694</v>
      </c>
      <c r="B3201">
        <v>1</v>
      </c>
      <c r="C3201">
        <v>8</v>
      </c>
    </row>
    <row r="3202" spans="1:3" x14ac:dyDescent="0.3">
      <c r="A3202" s="26">
        <v>29339</v>
      </c>
      <c r="B3202" s="26">
        <v>1</v>
      </c>
      <c r="C3202" s="26">
        <v>16</v>
      </c>
    </row>
    <row r="3203" spans="1:3" x14ac:dyDescent="0.3">
      <c r="A3203">
        <v>29338</v>
      </c>
      <c r="B3203">
        <v>1</v>
      </c>
      <c r="C3203">
        <v>16</v>
      </c>
    </row>
    <row r="3204" spans="1:3" x14ac:dyDescent="0.3">
      <c r="A3204">
        <v>29171</v>
      </c>
      <c r="B3204">
        <v>1</v>
      </c>
      <c r="C3204">
        <v>16</v>
      </c>
    </row>
    <row r="3205" spans="1:3" x14ac:dyDescent="0.3">
      <c r="A3205">
        <v>28907</v>
      </c>
      <c r="B3205">
        <v>1</v>
      </c>
      <c r="C3205">
        <v>8</v>
      </c>
    </row>
    <row r="3206" spans="1:3" x14ac:dyDescent="0.3">
      <c r="A3206">
        <v>28537</v>
      </c>
      <c r="B3206">
        <v>1</v>
      </c>
      <c r="C3206">
        <v>16</v>
      </c>
    </row>
    <row r="3207" spans="1:3" x14ac:dyDescent="0.3">
      <c r="A3207">
        <v>28429</v>
      </c>
      <c r="B3207">
        <v>1</v>
      </c>
      <c r="C3207">
        <v>8</v>
      </c>
    </row>
    <row r="3208" spans="1:3" x14ac:dyDescent="0.3">
      <c r="A3208">
        <v>27883</v>
      </c>
      <c r="B3208">
        <v>1</v>
      </c>
      <c r="C3208">
        <v>8</v>
      </c>
    </row>
    <row r="3209" spans="1:3" x14ac:dyDescent="0.3">
      <c r="A3209">
        <v>27882</v>
      </c>
      <c r="B3209">
        <v>1</v>
      </c>
      <c r="C3209">
        <v>8</v>
      </c>
    </row>
    <row r="3210" spans="1:3" x14ac:dyDescent="0.3">
      <c r="A3210">
        <v>27364</v>
      </c>
      <c r="B3210">
        <v>1</v>
      </c>
      <c r="C3210">
        <v>16</v>
      </c>
    </row>
    <row r="3211" spans="1:3" x14ac:dyDescent="0.3">
      <c r="A3211">
        <v>27260</v>
      </c>
      <c r="B3211">
        <v>1</v>
      </c>
      <c r="C3211">
        <v>16</v>
      </c>
    </row>
    <row r="3212" spans="1:3" x14ac:dyDescent="0.3">
      <c r="A3212">
        <v>27259</v>
      </c>
      <c r="B3212">
        <v>1</v>
      </c>
      <c r="C3212">
        <v>8</v>
      </c>
    </row>
    <row r="3213" spans="1:3" x14ac:dyDescent="0.3">
      <c r="A3213">
        <v>27037</v>
      </c>
      <c r="B3213">
        <v>1</v>
      </c>
      <c r="C3213">
        <v>8</v>
      </c>
    </row>
    <row r="3214" spans="1:3" x14ac:dyDescent="0.3">
      <c r="A3214">
        <v>26748</v>
      </c>
      <c r="B3214">
        <v>1</v>
      </c>
      <c r="C3214">
        <v>8</v>
      </c>
    </row>
    <row r="3215" spans="1:3" x14ac:dyDescent="0.3">
      <c r="A3215">
        <v>26578</v>
      </c>
      <c r="B3215">
        <v>1</v>
      </c>
      <c r="C3215">
        <v>16</v>
      </c>
    </row>
    <row r="3216" spans="1:3" x14ac:dyDescent="0.3">
      <c r="A3216">
        <v>26001</v>
      </c>
      <c r="B3216">
        <v>1</v>
      </c>
      <c r="C3216">
        <v>8</v>
      </c>
    </row>
    <row r="3217" spans="1:3" x14ac:dyDescent="0.3">
      <c r="A3217">
        <v>25999</v>
      </c>
      <c r="B3217">
        <v>1</v>
      </c>
      <c r="C3217">
        <v>8</v>
      </c>
    </row>
    <row r="3218" spans="1:3" x14ac:dyDescent="0.3">
      <c r="A3218">
        <v>25467</v>
      </c>
      <c r="B3218">
        <v>1</v>
      </c>
      <c r="C3218">
        <v>16</v>
      </c>
    </row>
    <row r="3219" spans="1:3" x14ac:dyDescent="0.3">
      <c r="A3219">
        <v>25077</v>
      </c>
      <c r="B3219">
        <v>1</v>
      </c>
      <c r="C3219">
        <v>8</v>
      </c>
    </row>
    <row r="3220" spans="1:3" x14ac:dyDescent="0.3">
      <c r="A3220">
        <v>24987</v>
      </c>
      <c r="B3220">
        <v>1</v>
      </c>
      <c r="C3220">
        <v>16</v>
      </c>
    </row>
    <row r="3221" spans="1:3" x14ac:dyDescent="0.3">
      <c r="A3221">
        <v>24918</v>
      </c>
      <c r="B3221">
        <v>1</v>
      </c>
      <c r="C3221">
        <v>8</v>
      </c>
    </row>
    <row r="3222" spans="1:3" x14ac:dyDescent="0.3">
      <c r="A3222">
        <v>24783</v>
      </c>
      <c r="B3222">
        <v>1</v>
      </c>
      <c r="C3222">
        <v>8</v>
      </c>
    </row>
    <row r="3223" spans="1:3" x14ac:dyDescent="0.3">
      <c r="A3223">
        <v>23556</v>
      </c>
      <c r="B3223">
        <v>1</v>
      </c>
      <c r="C3223">
        <v>8</v>
      </c>
    </row>
    <row r="3224" spans="1:3" x14ac:dyDescent="0.3">
      <c r="A3224">
        <v>22179</v>
      </c>
      <c r="B3224">
        <v>1</v>
      </c>
      <c r="C3224">
        <v>8</v>
      </c>
    </row>
    <row r="3225" spans="1:3" x14ac:dyDescent="0.3">
      <c r="A3225">
        <v>21744</v>
      </c>
      <c r="B3225">
        <v>1</v>
      </c>
      <c r="C3225">
        <v>8</v>
      </c>
    </row>
    <row r="3226" spans="1:3" x14ac:dyDescent="0.3">
      <c r="A3226">
        <v>21171</v>
      </c>
      <c r="B3226">
        <v>1</v>
      </c>
      <c r="C3226">
        <v>8</v>
      </c>
    </row>
    <row r="3227" spans="1:3" x14ac:dyDescent="0.3">
      <c r="A3227">
        <v>20514</v>
      </c>
      <c r="B3227">
        <v>1</v>
      </c>
      <c r="C3227">
        <v>8</v>
      </c>
    </row>
    <row r="3228" spans="1:3" x14ac:dyDescent="0.3">
      <c r="A3228">
        <v>20513</v>
      </c>
      <c r="B3228">
        <v>1</v>
      </c>
      <c r="C3228">
        <v>8</v>
      </c>
    </row>
    <row r="3229" spans="1:3" x14ac:dyDescent="0.3">
      <c r="A3229">
        <v>19741</v>
      </c>
      <c r="B3229">
        <v>1</v>
      </c>
      <c r="C3229">
        <v>8</v>
      </c>
    </row>
    <row r="3230" spans="1:3" x14ac:dyDescent="0.3">
      <c r="A3230">
        <v>18529</v>
      </c>
      <c r="B3230">
        <v>1</v>
      </c>
      <c r="C3230">
        <v>8</v>
      </c>
    </row>
    <row r="3231" spans="1:3" x14ac:dyDescent="0.3">
      <c r="A3231">
        <v>16290</v>
      </c>
      <c r="B3231">
        <v>1</v>
      </c>
      <c r="C3231">
        <v>8</v>
      </c>
    </row>
    <row r="3232" spans="1:3" x14ac:dyDescent="0.3">
      <c r="A3232">
        <v>16036</v>
      </c>
      <c r="B3232">
        <v>1</v>
      </c>
      <c r="C3232">
        <v>8</v>
      </c>
    </row>
    <row r="3233" spans="1:3" x14ac:dyDescent="0.3">
      <c r="A3233">
        <v>15654</v>
      </c>
      <c r="B3233">
        <v>1</v>
      </c>
      <c r="C3233">
        <v>8</v>
      </c>
    </row>
    <row r="3234" spans="1:3" x14ac:dyDescent="0.3">
      <c r="A3234">
        <v>14801</v>
      </c>
      <c r="B3234">
        <v>1</v>
      </c>
      <c r="C3234">
        <v>16</v>
      </c>
    </row>
    <row r="3235" spans="1:3" x14ac:dyDescent="0.3">
      <c r="A3235">
        <v>13777</v>
      </c>
      <c r="B3235">
        <v>1</v>
      </c>
      <c r="C3235">
        <v>16</v>
      </c>
    </row>
    <row r="3236" spans="1:3" x14ac:dyDescent="0.3">
      <c r="A3236">
        <v>13573</v>
      </c>
      <c r="B3236">
        <v>1</v>
      </c>
      <c r="C3236">
        <v>8</v>
      </c>
    </row>
    <row r="3237" spans="1:3" x14ac:dyDescent="0.3">
      <c r="A3237">
        <v>12668</v>
      </c>
      <c r="B3237">
        <v>1</v>
      </c>
      <c r="C3237">
        <v>16</v>
      </c>
    </row>
    <row r="3238" spans="1:3" x14ac:dyDescent="0.3">
      <c r="A3238">
        <v>80341</v>
      </c>
      <c r="B3238">
        <v>1</v>
      </c>
      <c r="C3238">
        <v>8</v>
      </c>
    </row>
    <row r="3239" spans="1:3" x14ac:dyDescent="0.3">
      <c r="A3239">
        <v>79598</v>
      </c>
      <c r="B3239">
        <v>1</v>
      </c>
      <c r="C3239">
        <v>8</v>
      </c>
    </row>
    <row r="3240" spans="1:3" x14ac:dyDescent="0.3">
      <c r="A3240">
        <v>79037</v>
      </c>
      <c r="B3240">
        <v>1</v>
      </c>
      <c r="C3240">
        <v>8</v>
      </c>
    </row>
    <row r="3241" spans="1:3" x14ac:dyDescent="0.3">
      <c r="A3241">
        <v>78784</v>
      </c>
      <c r="B3241">
        <v>1</v>
      </c>
      <c r="C3241">
        <v>8</v>
      </c>
    </row>
    <row r="3242" spans="1:3" x14ac:dyDescent="0.3">
      <c r="A3242">
        <v>78783</v>
      </c>
      <c r="B3242">
        <v>1</v>
      </c>
      <c r="C3242">
        <v>8</v>
      </c>
    </row>
    <row r="3243" spans="1:3" x14ac:dyDescent="0.3">
      <c r="A3243">
        <v>78781</v>
      </c>
      <c r="B3243">
        <v>1</v>
      </c>
      <c r="C3243">
        <v>8</v>
      </c>
    </row>
    <row r="3244" spans="1:3" x14ac:dyDescent="0.3">
      <c r="A3244">
        <v>78780</v>
      </c>
      <c r="B3244">
        <v>1</v>
      </c>
      <c r="C3244">
        <v>8</v>
      </c>
    </row>
    <row r="3245" spans="1:3" x14ac:dyDescent="0.3">
      <c r="A3245">
        <v>78777</v>
      </c>
      <c r="B3245">
        <v>2</v>
      </c>
      <c r="C3245">
        <v>8</v>
      </c>
    </row>
    <row r="3246" spans="1:3" x14ac:dyDescent="0.3">
      <c r="A3246">
        <v>78500</v>
      </c>
      <c r="B3246">
        <v>1</v>
      </c>
      <c r="C3246">
        <v>8</v>
      </c>
    </row>
    <row r="3247" spans="1:3" x14ac:dyDescent="0.3">
      <c r="A3247">
        <v>78311</v>
      </c>
      <c r="B3247">
        <v>1</v>
      </c>
      <c r="C3247">
        <v>8</v>
      </c>
    </row>
    <row r="3248" spans="1:3" x14ac:dyDescent="0.3">
      <c r="A3248">
        <v>78064</v>
      </c>
      <c r="B3248">
        <v>1</v>
      </c>
      <c r="C3248">
        <v>8</v>
      </c>
    </row>
    <row r="3249" spans="1:3" x14ac:dyDescent="0.3">
      <c r="A3249">
        <v>77995</v>
      </c>
      <c r="B3249">
        <v>1</v>
      </c>
      <c r="C3249">
        <v>8</v>
      </c>
    </row>
    <row r="3250" spans="1:3" x14ac:dyDescent="0.3">
      <c r="A3250">
        <v>77516</v>
      </c>
      <c r="B3250">
        <v>1</v>
      </c>
      <c r="C3250">
        <v>16</v>
      </c>
    </row>
    <row r="3251" spans="1:3" x14ac:dyDescent="0.3">
      <c r="A3251">
        <v>77514</v>
      </c>
      <c r="B3251">
        <v>1</v>
      </c>
      <c r="C3251">
        <v>16</v>
      </c>
    </row>
    <row r="3252" spans="1:3" x14ac:dyDescent="0.3">
      <c r="A3252">
        <v>77298</v>
      </c>
      <c r="B3252">
        <v>1</v>
      </c>
      <c r="C3252">
        <v>8</v>
      </c>
    </row>
    <row r="3253" spans="1:3" x14ac:dyDescent="0.3">
      <c r="A3253">
        <v>77270</v>
      </c>
      <c r="B3253">
        <v>1</v>
      </c>
      <c r="C3253">
        <v>8</v>
      </c>
    </row>
    <row r="3254" spans="1:3" x14ac:dyDescent="0.3">
      <c r="A3254">
        <v>77215</v>
      </c>
      <c r="B3254">
        <v>1</v>
      </c>
      <c r="C3254">
        <v>16</v>
      </c>
    </row>
    <row r="3255" spans="1:3" x14ac:dyDescent="0.3">
      <c r="A3255">
        <v>77195</v>
      </c>
      <c r="B3255">
        <v>1</v>
      </c>
      <c r="C3255">
        <v>8</v>
      </c>
    </row>
    <row r="3256" spans="1:3" x14ac:dyDescent="0.3">
      <c r="A3256">
        <v>77194</v>
      </c>
      <c r="B3256">
        <v>1</v>
      </c>
      <c r="C3256">
        <v>8</v>
      </c>
    </row>
    <row r="3257" spans="1:3" x14ac:dyDescent="0.3">
      <c r="A3257">
        <v>77193</v>
      </c>
      <c r="B3257">
        <v>1</v>
      </c>
      <c r="C3257">
        <v>8</v>
      </c>
    </row>
    <row r="3258" spans="1:3" x14ac:dyDescent="0.3">
      <c r="A3258">
        <v>76876</v>
      </c>
      <c r="B3258">
        <v>1</v>
      </c>
      <c r="C3258">
        <v>8</v>
      </c>
    </row>
    <row r="3259" spans="1:3" x14ac:dyDescent="0.3">
      <c r="A3259">
        <v>75889</v>
      </c>
      <c r="B3259">
        <v>1</v>
      </c>
      <c r="C3259">
        <v>8</v>
      </c>
    </row>
    <row r="3260" spans="1:3" x14ac:dyDescent="0.3">
      <c r="A3260">
        <v>75412</v>
      </c>
      <c r="B3260">
        <v>1</v>
      </c>
      <c r="C3260">
        <v>8</v>
      </c>
    </row>
    <row r="3261" spans="1:3" x14ac:dyDescent="0.3">
      <c r="A3261">
        <v>75397</v>
      </c>
      <c r="B3261">
        <v>1</v>
      </c>
      <c r="C3261">
        <v>8</v>
      </c>
    </row>
    <row r="3262" spans="1:3" x14ac:dyDescent="0.3">
      <c r="A3262">
        <v>11476</v>
      </c>
      <c r="B3262">
        <v>2</v>
      </c>
      <c r="C3262">
        <v>16</v>
      </c>
    </row>
    <row r="3263" spans="1:3" x14ac:dyDescent="0.3">
      <c r="A3263">
        <v>75042</v>
      </c>
      <c r="B3263">
        <v>1</v>
      </c>
      <c r="C3263">
        <v>8</v>
      </c>
    </row>
    <row r="3264" spans="1:3" x14ac:dyDescent="0.3">
      <c r="A3264">
        <v>74522</v>
      </c>
      <c r="B3264">
        <v>1</v>
      </c>
      <c r="C3264">
        <v>8</v>
      </c>
    </row>
    <row r="3265" spans="1:3" x14ac:dyDescent="0.3">
      <c r="A3265">
        <v>74251</v>
      </c>
      <c r="B3265">
        <v>1</v>
      </c>
      <c r="C3265">
        <v>8</v>
      </c>
    </row>
    <row r="3266" spans="1:3" x14ac:dyDescent="0.3">
      <c r="A3266">
        <v>74140</v>
      </c>
      <c r="B3266">
        <v>1</v>
      </c>
      <c r="C3266">
        <v>8</v>
      </c>
    </row>
    <row r="3267" spans="1:3" x14ac:dyDescent="0.3">
      <c r="A3267">
        <v>74121</v>
      </c>
      <c r="B3267">
        <v>1</v>
      </c>
      <c r="C3267">
        <v>8</v>
      </c>
    </row>
    <row r="3268" spans="1:3" x14ac:dyDescent="0.3">
      <c r="A3268">
        <v>73801</v>
      </c>
      <c r="B3268">
        <v>1</v>
      </c>
      <c r="C3268">
        <v>8</v>
      </c>
    </row>
    <row r="3269" spans="1:3" x14ac:dyDescent="0.3">
      <c r="A3269">
        <v>73101</v>
      </c>
      <c r="B3269">
        <v>2</v>
      </c>
      <c r="C3269">
        <v>16</v>
      </c>
    </row>
    <row r="3270" spans="1:3" x14ac:dyDescent="0.3">
      <c r="A3270">
        <v>12253</v>
      </c>
      <c r="B3270">
        <v>1</v>
      </c>
      <c r="C3270">
        <v>8</v>
      </c>
    </row>
    <row r="3271" spans="1:3" x14ac:dyDescent="0.3">
      <c r="A3271">
        <v>12328</v>
      </c>
      <c r="B3271">
        <v>1</v>
      </c>
      <c r="C3271">
        <v>8</v>
      </c>
    </row>
    <row r="3272" spans="1:3" x14ac:dyDescent="0.3">
      <c r="A3272">
        <v>70915</v>
      </c>
      <c r="B3272">
        <v>1</v>
      </c>
      <c r="C3272">
        <v>8</v>
      </c>
    </row>
    <row r="3273" spans="1:3" x14ac:dyDescent="0.3">
      <c r="A3273">
        <v>70266</v>
      </c>
      <c r="B3273">
        <v>1</v>
      </c>
      <c r="C3273">
        <v>8</v>
      </c>
    </row>
    <row r="3274" spans="1:3" x14ac:dyDescent="0.3">
      <c r="A3274">
        <v>70142</v>
      </c>
      <c r="B3274">
        <v>1</v>
      </c>
      <c r="C3274">
        <v>8</v>
      </c>
    </row>
    <row r="3275" spans="1:3" x14ac:dyDescent="0.3">
      <c r="A3275">
        <v>69991</v>
      </c>
      <c r="B3275">
        <v>1</v>
      </c>
      <c r="C3275">
        <v>16</v>
      </c>
    </row>
    <row r="3276" spans="1:3" x14ac:dyDescent="0.3">
      <c r="A3276">
        <v>69804</v>
      </c>
      <c r="B3276">
        <v>1</v>
      </c>
      <c r="C3276">
        <v>8</v>
      </c>
    </row>
    <row r="3277" spans="1:3" x14ac:dyDescent="0.3">
      <c r="A3277">
        <v>69302</v>
      </c>
      <c r="B3277">
        <v>1</v>
      </c>
      <c r="C3277">
        <v>8</v>
      </c>
    </row>
    <row r="3278" spans="1:3" x14ac:dyDescent="0.3">
      <c r="A3278">
        <v>69230</v>
      </c>
      <c r="B3278">
        <v>1</v>
      </c>
      <c r="C3278">
        <v>8</v>
      </c>
    </row>
    <row r="3279" spans="1:3" x14ac:dyDescent="0.3">
      <c r="A3279">
        <v>69017</v>
      </c>
      <c r="B3279">
        <v>1</v>
      </c>
      <c r="C3279">
        <v>8</v>
      </c>
    </row>
    <row r="3280" spans="1:3" x14ac:dyDescent="0.3">
      <c r="A3280">
        <v>69016</v>
      </c>
      <c r="B3280">
        <v>1</v>
      </c>
      <c r="C3280">
        <v>8</v>
      </c>
    </row>
    <row r="3281" spans="1:3" x14ac:dyDescent="0.3">
      <c r="A3281">
        <v>68959</v>
      </c>
      <c r="B3281">
        <v>1</v>
      </c>
      <c r="C3281">
        <v>8</v>
      </c>
    </row>
    <row r="3282" spans="1:3" x14ac:dyDescent="0.3">
      <c r="A3282">
        <v>67792</v>
      </c>
      <c r="B3282">
        <v>1</v>
      </c>
      <c r="C3282">
        <v>8</v>
      </c>
    </row>
    <row r="3283" spans="1:3" x14ac:dyDescent="0.3">
      <c r="A3283">
        <v>66702</v>
      </c>
      <c r="B3283">
        <v>1</v>
      </c>
      <c r="C3283">
        <v>16</v>
      </c>
    </row>
    <row r="3284" spans="1:3" x14ac:dyDescent="0.3">
      <c r="A3284">
        <v>65596</v>
      </c>
      <c r="B3284">
        <v>2</v>
      </c>
      <c r="C3284">
        <v>16</v>
      </c>
    </row>
    <row r="3285" spans="1:3" x14ac:dyDescent="0.3">
      <c r="A3285">
        <v>65596</v>
      </c>
      <c r="B3285">
        <v>2</v>
      </c>
      <c r="C3285">
        <v>16</v>
      </c>
    </row>
    <row r="3286" spans="1:3" x14ac:dyDescent="0.3">
      <c r="A3286">
        <v>65207</v>
      </c>
      <c r="B3286">
        <v>1</v>
      </c>
      <c r="C3286">
        <v>8</v>
      </c>
    </row>
    <row r="3287" spans="1:3" x14ac:dyDescent="0.3">
      <c r="A3287">
        <v>64402</v>
      </c>
      <c r="B3287">
        <v>3</v>
      </c>
      <c r="C3287">
        <v>16</v>
      </c>
    </row>
    <row r="3288" spans="1:3" x14ac:dyDescent="0.3">
      <c r="A3288">
        <v>63348</v>
      </c>
      <c r="B3288">
        <v>1</v>
      </c>
      <c r="C3288">
        <v>8</v>
      </c>
    </row>
    <row r="3289" spans="1:3" x14ac:dyDescent="0.3">
      <c r="A3289">
        <v>63256</v>
      </c>
      <c r="B3289">
        <v>1</v>
      </c>
      <c r="C3289">
        <v>8</v>
      </c>
    </row>
    <row r="3290" spans="1:3" x14ac:dyDescent="0.3">
      <c r="A3290">
        <v>62667</v>
      </c>
      <c r="B3290">
        <v>1</v>
      </c>
      <c r="C3290">
        <v>8</v>
      </c>
    </row>
    <row r="3291" spans="1:3" x14ac:dyDescent="0.3">
      <c r="A3291">
        <v>62147</v>
      </c>
      <c r="B3291">
        <v>1</v>
      </c>
      <c r="C3291">
        <v>8</v>
      </c>
    </row>
    <row r="3292" spans="1:3" x14ac:dyDescent="0.3">
      <c r="A3292">
        <v>60978</v>
      </c>
      <c r="B3292">
        <v>1</v>
      </c>
      <c r="C3292">
        <v>8</v>
      </c>
    </row>
    <row r="3293" spans="1:3" x14ac:dyDescent="0.3">
      <c r="A3293">
        <v>60977</v>
      </c>
      <c r="B3293">
        <v>1</v>
      </c>
      <c r="C3293">
        <v>8</v>
      </c>
    </row>
    <row r="3294" spans="1:3" x14ac:dyDescent="0.3">
      <c r="A3294">
        <v>60301</v>
      </c>
      <c r="B3294">
        <v>1</v>
      </c>
      <c r="C3294">
        <v>8</v>
      </c>
    </row>
    <row r="3295" spans="1:3" x14ac:dyDescent="0.3">
      <c r="A3295">
        <v>59489</v>
      </c>
      <c r="B3295">
        <v>1</v>
      </c>
      <c r="C3295">
        <v>8</v>
      </c>
    </row>
    <row r="3296" spans="1:3" x14ac:dyDescent="0.3">
      <c r="A3296">
        <v>59345</v>
      </c>
      <c r="B3296">
        <v>2</v>
      </c>
      <c r="C3296">
        <v>16</v>
      </c>
    </row>
    <row r="3297" spans="1:3" x14ac:dyDescent="0.3">
      <c r="A3297">
        <v>59345</v>
      </c>
      <c r="B3297">
        <v>2</v>
      </c>
      <c r="C3297">
        <v>16</v>
      </c>
    </row>
    <row r="3298" spans="1:3" x14ac:dyDescent="0.3">
      <c r="A3298">
        <v>55294</v>
      </c>
      <c r="B3298">
        <v>1</v>
      </c>
      <c r="C3298">
        <v>8</v>
      </c>
    </row>
    <row r="3299" spans="1:3" x14ac:dyDescent="0.3">
      <c r="A3299">
        <v>54423</v>
      </c>
      <c r="B3299">
        <v>1</v>
      </c>
      <c r="C3299">
        <v>8</v>
      </c>
    </row>
    <row r="3300" spans="1:3" x14ac:dyDescent="0.3">
      <c r="A3300">
        <v>52363</v>
      </c>
      <c r="B3300">
        <v>1</v>
      </c>
      <c r="C3300">
        <v>16</v>
      </c>
    </row>
    <row r="3301" spans="1:3" x14ac:dyDescent="0.3">
      <c r="A3301">
        <v>51688</v>
      </c>
      <c r="B3301">
        <v>1</v>
      </c>
      <c r="C3301">
        <v>8</v>
      </c>
    </row>
    <row r="3302" spans="1:3" x14ac:dyDescent="0.3">
      <c r="A3302">
        <v>16739</v>
      </c>
      <c r="B3302">
        <v>1</v>
      </c>
      <c r="C3302">
        <v>8</v>
      </c>
    </row>
    <row r="3303" spans="1:3" x14ac:dyDescent="0.3">
      <c r="A3303">
        <v>51286</v>
      </c>
      <c r="B3303">
        <v>1</v>
      </c>
      <c r="C3303">
        <v>8</v>
      </c>
    </row>
    <row r="3304" spans="1:3" x14ac:dyDescent="0.3">
      <c r="A3304">
        <v>51072</v>
      </c>
      <c r="B3304">
        <v>3</v>
      </c>
      <c r="C3304">
        <v>16</v>
      </c>
    </row>
    <row r="3305" spans="1:3" x14ac:dyDescent="0.3">
      <c r="A3305">
        <v>51068</v>
      </c>
      <c r="B3305">
        <v>1</v>
      </c>
      <c r="C3305">
        <v>16</v>
      </c>
    </row>
    <row r="3306" spans="1:3" x14ac:dyDescent="0.3">
      <c r="A3306">
        <v>50827</v>
      </c>
      <c r="B3306">
        <v>2</v>
      </c>
      <c r="C3306">
        <v>16</v>
      </c>
    </row>
    <row r="3307" spans="1:3" x14ac:dyDescent="0.3">
      <c r="A3307">
        <v>50675</v>
      </c>
      <c r="B3307">
        <v>1</v>
      </c>
      <c r="C3307">
        <v>8</v>
      </c>
    </row>
    <row r="3308" spans="1:3" x14ac:dyDescent="0.3">
      <c r="A3308">
        <v>50447</v>
      </c>
      <c r="B3308">
        <v>1</v>
      </c>
      <c r="C3308">
        <v>8</v>
      </c>
    </row>
    <row r="3309" spans="1:3" x14ac:dyDescent="0.3">
      <c r="A3309">
        <v>17034</v>
      </c>
      <c r="B3309">
        <v>1</v>
      </c>
      <c r="C3309">
        <v>16</v>
      </c>
    </row>
    <row r="3310" spans="1:3" x14ac:dyDescent="0.3">
      <c r="A3310">
        <v>49857</v>
      </c>
      <c r="B3310">
        <v>1</v>
      </c>
      <c r="C3310">
        <v>8</v>
      </c>
    </row>
    <row r="3311" spans="1:3" x14ac:dyDescent="0.3">
      <c r="A3311">
        <v>17104</v>
      </c>
      <c r="B3311">
        <v>2</v>
      </c>
      <c r="C3311">
        <v>16</v>
      </c>
    </row>
    <row r="3312" spans="1:3" x14ac:dyDescent="0.3">
      <c r="A3312">
        <v>49308</v>
      </c>
      <c r="B3312">
        <v>2</v>
      </c>
      <c r="C3312">
        <v>16</v>
      </c>
    </row>
    <row r="3313" spans="1:3" x14ac:dyDescent="0.3">
      <c r="A3313">
        <v>48102</v>
      </c>
      <c r="B3313">
        <v>2</v>
      </c>
      <c r="C3313">
        <v>16</v>
      </c>
    </row>
    <row r="3314" spans="1:3" x14ac:dyDescent="0.3">
      <c r="A3314">
        <v>47811</v>
      </c>
      <c r="B3314">
        <v>1</v>
      </c>
      <c r="C3314">
        <v>8</v>
      </c>
    </row>
    <row r="3315" spans="1:3" x14ac:dyDescent="0.3">
      <c r="A3315">
        <v>47533</v>
      </c>
      <c r="B3315">
        <v>1</v>
      </c>
      <c r="C3315">
        <v>16</v>
      </c>
    </row>
    <row r="3316" spans="1:3" x14ac:dyDescent="0.3">
      <c r="A3316">
        <v>47100</v>
      </c>
      <c r="B3316">
        <v>1</v>
      </c>
      <c r="C3316">
        <v>8</v>
      </c>
    </row>
    <row r="3317" spans="1:3" x14ac:dyDescent="0.3">
      <c r="A3317">
        <v>46935</v>
      </c>
      <c r="B3317">
        <v>1</v>
      </c>
      <c r="C3317">
        <v>8</v>
      </c>
    </row>
    <row r="3318" spans="1:3" x14ac:dyDescent="0.3">
      <c r="A3318">
        <v>46387</v>
      </c>
      <c r="B3318">
        <v>1</v>
      </c>
      <c r="C3318">
        <v>8</v>
      </c>
    </row>
    <row r="3319" spans="1:3" x14ac:dyDescent="0.3">
      <c r="A3319">
        <v>43972</v>
      </c>
      <c r="B3319">
        <v>1</v>
      </c>
      <c r="C3319">
        <v>8</v>
      </c>
    </row>
    <row r="3320" spans="1:3" x14ac:dyDescent="0.3">
      <c r="A3320">
        <v>42426</v>
      </c>
      <c r="B3320">
        <v>1</v>
      </c>
      <c r="C3320">
        <v>8</v>
      </c>
    </row>
    <row r="3321" spans="1:3" x14ac:dyDescent="0.3">
      <c r="A3321">
        <v>41819</v>
      </c>
      <c r="B3321">
        <v>1</v>
      </c>
      <c r="C3321">
        <v>8</v>
      </c>
    </row>
    <row r="3322" spans="1:3" x14ac:dyDescent="0.3">
      <c r="A3322">
        <v>41636</v>
      </c>
      <c r="B3322">
        <v>1</v>
      </c>
      <c r="C3322">
        <v>16</v>
      </c>
    </row>
    <row r="3323" spans="1:3" x14ac:dyDescent="0.3">
      <c r="A3323">
        <v>41635</v>
      </c>
      <c r="B3323">
        <v>1</v>
      </c>
      <c r="C3323">
        <v>16</v>
      </c>
    </row>
    <row r="3324" spans="1:3" x14ac:dyDescent="0.3">
      <c r="A3324">
        <v>41611</v>
      </c>
      <c r="B3324">
        <v>1</v>
      </c>
      <c r="C3324">
        <v>8</v>
      </c>
    </row>
    <row r="3325" spans="1:3" x14ac:dyDescent="0.3">
      <c r="A3325">
        <v>41413</v>
      </c>
      <c r="B3325">
        <v>1</v>
      </c>
      <c r="C3325">
        <v>8</v>
      </c>
    </row>
    <row r="3326" spans="1:3" x14ac:dyDescent="0.3">
      <c r="A3326">
        <v>39774</v>
      </c>
      <c r="B3326">
        <v>1</v>
      </c>
      <c r="C3326">
        <v>16</v>
      </c>
    </row>
    <row r="3327" spans="1:3" x14ac:dyDescent="0.3">
      <c r="A3327">
        <v>39036</v>
      </c>
      <c r="B3327">
        <v>1</v>
      </c>
      <c r="C3327">
        <v>8</v>
      </c>
    </row>
    <row r="3328" spans="1:3" x14ac:dyDescent="0.3">
      <c r="A3328">
        <v>36662</v>
      </c>
      <c r="B3328">
        <v>1</v>
      </c>
      <c r="C3328">
        <v>8</v>
      </c>
    </row>
    <row r="3329" spans="1:3" x14ac:dyDescent="0.3">
      <c r="A3329">
        <v>36054</v>
      </c>
      <c r="B3329">
        <v>3</v>
      </c>
      <c r="C3329">
        <v>16</v>
      </c>
    </row>
    <row r="3330" spans="1:3" x14ac:dyDescent="0.3">
      <c r="A3330">
        <v>34792</v>
      </c>
      <c r="B3330">
        <v>1</v>
      </c>
      <c r="C3330">
        <v>8</v>
      </c>
    </row>
    <row r="3331" spans="1:3" x14ac:dyDescent="0.3">
      <c r="A3331">
        <v>34790</v>
      </c>
      <c r="B3331">
        <v>1</v>
      </c>
      <c r="C3331">
        <v>8</v>
      </c>
    </row>
    <row r="3332" spans="1:3" x14ac:dyDescent="0.3">
      <c r="A3332">
        <v>34278</v>
      </c>
      <c r="B3332">
        <v>1</v>
      </c>
      <c r="C3332">
        <v>8</v>
      </c>
    </row>
    <row r="3333" spans="1:3" x14ac:dyDescent="0.3">
      <c r="A3333">
        <v>34044</v>
      </c>
      <c r="B3333">
        <v>1</v>
      </c>
      <c r="C3333">
        <v>8</v>
      </c>
    </row>
    <row r="3334" spans="1:3" x14ac:dyDescent="0.3">
      <c r="A3334">
        <v>18786</v>
      </c>
      <c r="B3334">
        <v>2</v>
      </c>
      <c r="C3334">
        <v>16</v>
      </c>
    </row>
    <row r="3335" spans="1:3" x14ac:dyDescent="0.3">
      <c r="A3335">
        <v>18786</v>
      </c>
      <c r="B3335">
        <v>2</v>
      </c>
      <c r="C3335">
        <v>16</v>
      </c>
    </row>
    <row r="3336" spans="1:3" x14ac:dyDescent="0.3">
      <c r="A3336">
        <v>31549</v>
      </c>
      <c r="B3336">
        <v>1</v>
      </c>
      <c r="C3336">
        <v>8</v>
      </c>
    </row>
    <row r="3337" spans="1:3" x14ac:dyDescent="0.3">
      <c r="A3337">
        <v>31285</v>
      </c>
      <c r="B3337">
        <v>2</v>
      </c>
      <c r="C3337">
        <v>16</v>
      </c>
    </row>
    <row r="3338" spans="1:3" x14ac:dyDescent="0.3">
      <c r="A3338">
        <v>31155</v>
      </c>
      <c r="B3338">
        <v>2</v>
      </c>
      <c r="C3338">
        <v>8</v>
      </c>
    </row>
    <row r="3339" spans="1:3" x14ac:dyDescent="0.3">
      <c r="A3339">
        <v>31155</v>
      </c>
      <c r="B3339">
        <v>2</v>
      </c>
      <c r="C3339">
        <v>8</v>
      </c>
    </row>
    <row r="3340" spans="1:3" x14ac:dyDescent="0.3">
      <c r="A3340">
        <v>30324</v>
      </c>
      <c r="B3340">
        <v>1</v>
      </c>
      <c r="C3340">
        <v>8</v>
      </c>
    </row>
    <row r="3341" spans="1:3" x14ac:dyDescent="0.3">
      <c r="A3341">
        <v>29787</v>
      </c>
      <c r="B3341">
        <v>1</v>
      </c>
      <c r="C3341">
        <v>8</v>
      </c>
    </row>
    <row r="3342" spans="1:3" x14ac:dyDescent="0.3">
      <c r="A3342">
        <v>28367</v>
      </c>
      <c r="B3342">
        <v>2</v>
      </c>
      <c r="C3342">
        <v>8</v>
      </c>
    </row>
    <row r="3343" spans="1:3" x14ac:dyDescent="0.3">
      <c r="A3343">
        <v>28366</v>
      </c>
      <c r="B3343">
        <v>1</v>
      </c>
      <c r="C3343">
        <v>8</v>
      </c>
    </row>
    <row r="3344" spans="1:3" x14ac:dyDescent="0.3">
      <c r="A3344">
        <v>27937</v>
      </c>
      <c r="B3344">
        <v>3</v>
      </c>
      <c r="C3344">
        <v>16</v>
      </c>
    </row>
    <row r="3345" spans="1:3" x14ac:dyDescent="0.3">
      <c r="A3345">
        <v>27871</v>
      </c>
      <c r="B3345">
        <v>4</v>
      </c>
      <c r="C3345">
        <v>16</v>
      </c>
    </row>
    <row r="3346" spans="1:3" x14ac:dyDescent="0.3">
      <c r="A3346">
        <v>26447</v>
      </c>
      <c r="B3346">
        <v>1</v>
      </c>
      <c r="C3346">
        <v>8</v>
      </c>
    </row>
    <row r="3347" spans="1:3" x14ac:dyDescent="0.3">
      <c r="A3347">
        <v>25541</v>
      </c>
      <c r="B3347">
        <v>1</v>
      </c>
      <c r="C3347">
        <v>8</v>
      </c>
    </row>
    <row r="3348" spans="1:3" x14ac:dyDescent="0.3">
      <c r="A3348">
        <v>20656</v>
      </c>
      <c r="B3348">
        <v>1</v>
      </c>
      <c r="C3348">
        <v>16</v>
      </c>
    </row>
    <row r="3349" spans="1:3" x14ac:dyDescent="0.3">
      <c r="A3349">
        <v>24341</v>
      </c>
      <c r="B3349">
        <v>1</v>
      </c>
      <c r="C3349">
        <v>8</v>
      </c>
    </row>
    <row r="3350" spans="1:3" x14ac:dyDescent="0.3">
      <c r="A3350">
        <v>23975</v>
      </c>
      <c r="B3350">
        <v>1</v>
      </c>
      <c r="C3350">
        <v>16</v>
      </c>
    </row>
    <row r="3351" spans="1:3" x14ac:dyDescent="0.3">
      <c r="A3351">
        <v>22876</v>
      </c>
      <c r="B3351">
        <v>1</v>
      </c>
      <c r="C3351">
        <v>16</v>
      </c>
    </row>
    <row r="3352" spans="1:3" x14ac:dyDescent="0.3">
      <c r="A3352">
        <v>10028</v>
      </c>
      <c r="B3352">
        <v>1</v>
      </c>
      <c r="C3352">
        <v>8</v>
      </c>
    </row>
    <row r="3353" spans="1:3" x14ac:dyDescent="0.3">
      <c r="A3353">
        <v>80342</v>
      </c>
      <c r="B3353">
        <v>1</v>
      </c>
      <c r="C3353">
        <v>8</v>
      </c>
    </row>
    <row r="3354" spans="1:3" x14ac:dyDescent="0.3">
      <c r="A3354">
        <v>79975</v>
      </c>
      <c r="B3354">
        <v>1</v>
      </c>
      <c r="C3354">
        <v>8</v>
      </c>
    </row>
    <row r="3355" spans="1:3" x14ac:dyDescent="0.3">
      <c r="A3355">
        <v>79930</v>
      </c>
      <c r="B3355">
        <v>1</v>
      </c>
      <c r="C3355">
        <v>8</v>
      </c>
    </row>
    <row r="3356" spans="1:3" x14ac:dyDescent="0.3">
      <c r="A3356">
        <v>79855</v>
      </c>
      <c r="B3356">
        <v>1</v>
      </c>
      <c r="C3356">
        <v>8</v>
      </c>
    </row>
    <row r="3357" spans="1:3" x14ac:dyDescent="0.3">
      <c r="A3357">
        <v>79841</v>
      </c>
      <c r="B3357">
        <v>1</v>
      </c>
      <c r="C3357">
        <v>8</v>
      </c>
    </row>
    <row r="3358" spans="1:3" x14ac:dyDescent="0.3">
      <c r="A3358">
        <v>79840</v>
      </c>
      <c r="B3358">
        <v>1</v>
      </c>
      <c r="C3358">
        <v>8</v>
      </c>
    </row>
    <row r="3359" spans="1:3" x14ac:dyDescent="0.3">
      <c r="A3359">
        <v>79739</v>
      </c>
      <c r="B3359">
        <v>1</v>
      </c>
      <c r="C3359">
        <v>8</v>
      </c>
    </row>
    <row r="3360" spans="1:3" x14ac:dyDescent="0.3">
      <c r="A3360">
        <v>79738</v>
      </c>
      <c r="B3360">
        <v>1</v>
      </c>
      <c r="C3360">
        <v>8</v>
      </c>
    </row>
    <row r="3361" spans="1:3" x14ac:dyDescent="0.3">
      <c r="A3361">
        <v>79737</v>
      </c>
      <c r="B3361">
        <v>1</v>
      </c>
      <c r="C3361">
        <v>8</v>
      </c>
    </row>
    <row r="3362" spans="1:3" x14ac:dyDescent="0.3">
      <c r="A3362">
        <v>79736</v>
      </c>
      <c r="B3362">
        <v>1</v>
      </c>
      <c r="C3362">
        <v>8</v>
      </c>
    </row>
    <row r="3363" spans="1:3" x14ac:dyDescent="0.3">
      <c r="A3363">
        <v>79597</v>
      </c>
      <c r="B3363">
        <v>1</v>
      </c>
      <c r="C3363">
        <v>8</v>
      </c>
    </row>
    <row r="3364" spans="1:3" x14ac:dyDescent="0.3">
      <c r="A3364">
        <v>79503</v>
      </c>
      <c r="B3364">
        <v>1</v>
      </c>
      <c r="C3364">
        <v>8</v>
      </c>
    </row>
    <row r="3365" spans="1:3" x14ac:dyDescent="0.3">
      <c r="A3365">
        <v>79502</v>
      </c>
      <c r="B3365">
        <v>1</v>
      </c>
      <c r="C3365">
        <v>8</v>
      </c>
    </row>
    <row r="3366" spans="1:3" x14ac:dyDescent="0.3">
      <c r="A3366">
        <v>79343</v>
      </c>
      <c r="B3366">
        <v>1</v>
      </c>
      <c r="C3366">
        <v>8</v>
      </c>
    </row>
    <row r="3367" spans="1:3" x14ac:dyDescent="0.3">
      <c r="A3367">
        <v>79039</v>
      </c>
      <c r="B3367">
        <v>1</v>
      </c>
      <c r="C3367">
        <v>8</v>
      </c>
    </row>
    <row r="3368" spans="1:3" x14ac:dyDescent="0.3">
      <c r="A3368">
        <v>79038</v>
      </c>
      <c r="B3368">
        <v>1</v>
      </c>
      <c r="C3368">
        <v>8</v>
      </c>
    </row>
    <row r="3369" spans="1:3" x14ac:dyDescent="0.3">
      <c r="A3369">
        <v>78945</v>
      </c>
      <c r="B3369">
        <v>1</v>
      </c>
      <c r="C3369">
        <v>8</v>
      </c>
    </row>
    <row r="3370" spans="1:3" x14ac:dyDescent="0.3">
      <c r="A3370">
        <v>78944</v>
      </c>
      <c r="B3370">
        <v>1</v>
      </c>
      <c r="C3370">
        <v>8</v>
      </c>
    </row>
    <row r="3371" spans="1:3" x14ac:dyDescent="0.3">
      <c r="A3371">
        <v>78943</v>
      </c>
      <c r="B3371">
        <v>1</v>
      </c>
      <c r="C3371">
        <v>8</v>
      </c>
    </row>
    <row r="3372" spans="1:3" x14ac:dyDescent="0.3">
      <c r="A3372">
        <v>78785</v>
      </c>
      <c r="B3372">
        <v>1</v>
      </c>
      <c r="C3372">
        <v>8</v>
      </c>
    </row>
    <row r="3373" spans="1:3" x14ac:dyDescent="0.3">
      <c r="A3373">
        <v>78782</v>
      </c>
      <c r="B3373">
        <v>1</v>
      </c>
      <c r="C3373">
        <v>8</v>
      </c>
    </row>
    <row r="3374" spans="1:3" x14ac:dyDescent="0.3">
      <c r="A3374">
        <v>78779</v>
      </c>
      <c r="B3374">
        <v>1</v>
      </c>
      <c r="C3374">
        <v>8</v>
      </c>
    </row>
    <row r="3375" spans="1:3" x14ac:dyDescent="0.3">
      <c r="A3375">
        <v>78778</v>
      </c>
      <c r="B3375">
        <v>1</v>
      </c>
      <c r="C3375">
        <v>8</v>
      </c>
    </row>
    <row r="3376" spans="1:3" x14ac:dyDescent="0.3">
      <c r="A3376">
        <v>78502</v>
      </c>
      <c r="B3376">
        <v>1</v>
      </c>
      <c r="C3376">
        <v>8</v>
      </c>
    </row>
    <row r="3377" spans="1:3" x14ac:dyDescent="0.3">
      <c r="A3377">
        <v>78501</v>
      </c>
      <c r="B3377">
        <v>1</v>
      </c>
      <c r="C3377">
        <v>8</v>
      </c>
    </row>
    <row r="3378" spans="1:3" x14ac:dyDescent="0.3">
      <c r="A3378">
        <v>78412</v>
      </c>
      <c r="B3378">
        <v>1</v>
      </c>
      <c r="C3378">
        <v>8</v>
      </c>
    </row>
    <row r="3379" spans="1:3" x14ac:dyDescent="0.3">
      <c r="A3379">
        <v>78066</v>
      </c>
      <c r="B3379">
        <v>1</v>
      </c>
      <c r="C3379">
        <v>8</v>
      </c>
    </row>
    <row r="3380" spans="1:3" x14ac:dyDescent="0.3">
      <c r="A3380">
        <v>78065</v>
      </c>
      <c r="B3380">
        <v>1</v>
      </c>
      <c r="C3380">
        <v>8</v>
      </c>
    </row>
    <row r="3381" spans="1:3" x14ac:dyDescent="0.3">
      <c r="A3381">
        <v>77916</v>
      </c>
      <c r="B3381">
        <v>1</v>
      </c>
      <c r="C3381">
        <v>8</v>
      </c>
    </row>
    <row r="3382" spans="1:3" x14ac:dyDescent="0.3">
      <c r="A3382">
        <v>77888</v>
      </c>
      <c r="B3382">
        <v>1</v>
      </c>
      <c r="C3382">
        <v>8</v>
      </c>
    </row>
    <row r="3383" spans="1:3" x14ac:dyDescent="0.3">
      <c r="A3383">
        <v>77793</v>
      </c>
      <c r="B3383">
        <v>1</v>
      </c>
      <c r="C3383">
        <v>8</v>
      </c>
    </row>
    <row r="3384" spans="1:3" x14ac:dyDescent="0.3">
      <c r="A3384">
        <v>77643</v>
      </c>
      <c r="B3384">
        <v>1</v>
      </c>
      <c r="C3384">
        <v>8</v>
      </c>
    </row>
    <row r="3385" spans="1:3" x14ac:dyDescent="0.3">
      <c r="A3385">
        <v>77597</v>
      </c>
      <c r="B3385">
        <v>1</v>
      </c>
      <c r="C3385">
        <v>8</v>
      </c>
    </row>
    <row r="3386" spans="1:3" x14ac:dyDescent="0.3">
      <c r="A3386">
        <v>77517</v>
      </c>
      <c r="B3386">
        <v>1</v>
      </c>
      <c r="C3386">
        <v>8</v>
      </c>
    </row>
    <row r="3387" spans="1:3" x14ac:dyDescent="0.3">
      <c r="A3387">
        <v>77515</v>
      </c>
      <c r="B3387">
        <v>1</v>
      </c>
      <c r="C3387">
        <v>8</v>
      </c>
    </row>
    <row r="3388" spans="1:3" x14ac:dyDescent="0.3">
      <c r="A3388">
        <v>77437</v>
      </c>
      <c r="B3388">
        <v>1</v>
      </c>
      <c r="C3388">
        <v>16</v>
      </c>
    </row>
    <row r="3389" spans="1:3" x14ac:dyDescent="0.3">
      <c r="A3389">
        <v>77436</v>
      </c>
      <c r="B3389">
        <v>1</v>
      </c>
      <c r="C3389">
        <v>8</v>
      </c>
    </row>
    <row r="3390" spans="1:3" x14ac:dyDescent="0.3">
      <c r="A3390">
        <v>77435</v>
      </c>
      <c r="B3390">
        <v>1</v>
      </c>
      <c r="C3390">
        <v>8</v>
      </c>
    </row>
    <row r="3391" spans="1:3" x14ac:dyDescent="0.3">
      <c r="A3391">
        <v>77335</v>
      </c>
      <c r="B3391">
        <v>1</v>
      </c>
      <c r="C3391">
        <v>8</v>
      </c>
    </row>
    <row r="3392" spans="1:3" x14ac:dyDescent="0.3">
      <c r="A3392">
        <v>77156</v>
      </c>
      <c r="B3392">
        <v>1</v>
      </c>
      <c r="C3392">
        <v>8</v>
      </c>
    </row>
    <row r="3393" spans="1:3" x14ac:dyDescent="0.3">
      <c r="A3393">
        <v>77155</v>
      </c>
      <c r="B3393">
        <v>1</v>
      </c>
      <c r="C3393">
        <v>8</v>
      </c>
    </row>
    <row r="3394" spans="1:3" x14ac:dyDescent="0.3">
      <c r="A3394">
        <v>76929</v>
      </c>
      <c r="B3394">
        <v>1</v>
      </c>
      <c r="C3394">
        <v>8</v>
      </c>
    </row>
    <row r="3395" spans="1:3" x14ac:dyDescent="0.3">
      <c r="A3395">
        <v>76875</v>
      </c>
      <c r="B3395">
        <v>1</v>
      </c>
      <c r="C3395">
        <v>8</v>
      </c>
    </row>
    <row r="3396" spans="1:3" x14ac:dyDescent="0.3">
      <c r="A3396">
        <v>76874</v>
      </c>
      <c r="B3396">
        <v>1</v>
      </c>
      <c r="C3396">
        <v>8</v>
      </c>
    </row>
    <row r="3397" spans="1:3" x14ac:dyDescent="0.3">
      <c r="A3397">
        <v>76758</v>
      </c>
      <c r="B3397">
        <v>1</v>
      </c>
      <c r="C3397">
        <v>8</v>
      </c>
    </row>
    <row r="3398" spans="1:3" x14ac:dyDescent="0.3">
      <c r="A3398">
        <v>76757</v>
      </c>
      <c r="B3398">
        <v>1</v>
      </c>
      <c r="C3398">
        <v>8</v>
      </c>
    </row>
    <row r="3399" spans="1:3" x14ac:dyDescent="0.3">
      <c r="A3399">
        <v>76629</v>
      </c>
      <c r="B3399">
        <v>1</v>
      </c>
      <c r="C3399">
        <v>8</v>
      </c>
    </row>
    <row r="3400" spans="1:3" x14ac:dyDescent="0.3">
      <c r="A3400">
        <v>76575</v>
      </c>
      <c r="B3400">
        <v>1</v>
      </c>
      <c r="C3400">
        <v>8</v>
      </c>
    </row>
    <row r="3401" spans="1:3" x14ac:dyDescent="0.3">
      <c r="A3401">
        <v>76248</v>
      </c>
      <c r="B3401">
        <v>1</v>
      </c>
      <c r="C3401">
        <v>8</v>
      </c>
    </row>
    <row r="3402" spans="1:3" x14ac:dyDescent="0.3">
      <c r="A3402">
        <v>76102</v>
      </c>
      <c r="B3402">
        <v>1</v>
      </c>
      <c r="C3402">
        <v>8</v>
      </c>
    </row>
    <row r="3403" spans="1:3" x14ac:dyDescent="0.3">
      <c r="A3403">
        <v>75981</v>
      </c>
      <c r="B3403">
        <v>1</v>
      </c>
      <c r="C3403">
        <v>16</v>
      </c>
    </row>
    <row r="3404" spans="1:3" x14ac:dyDescent="0.3">
      <c r="A3404">
        <v>75890</v>
      </c>
      <c r="B3404">
        <v>1</v>
      </c>
      <c r="C3404">
        <v>8</v>
      </c>
    </row>
    <row r="3405" spans="1:3" x14ac:dyDescent="0.3">
      <c r="A3405">
        <v>75844</v>
      </c>
      <c r="B3405">
        <v>1</v>
      </c>
      <c r="C3405">
        <v>8</v>
      </c>
    </row>
    <row r="3406" spans="1:3" x14ac:dyDescent="0.3">
      <c r="A3406">
        <v>75578</v>
      </c>
      <c r="B3406">
        <v>1</v>
      </c>
      <c r="C3406">
        <v>8</v>
      </c>
    </row>
    <row r="3407" spans="1:3" x14ac:dyDescent="0.3">
      <c r="A3407">
        <v>75570</v>
      </c>
      <c r="B3407">
        <v>1</v>
      </c>
      <c r="C3407">
        <v>8</v>
      </c>
    </row>
    <row r="3408" spans="1:3" x14ac:dyDescent="0.3">
      <c r="A3408">
        <v>75564</v>
      </c>
      <c r="B3408">
        <v>1</v>
      </c>
      <c r="C3408">
        <v>8</v>
      </c>
    </row>
    <row r="3409" spans="1:3" x14ac:dyDescent="0.3">
      <c r="A3409">
        <v>75562</v>
      </c>
      <c r="B3409">
        <v>1</v>
      </c>
      <c r="C3409">
        <v>8</v>
      </c>
    </row>
    <row r="3410" spans="1:3" x14ac:dyDescent="0.3">
      <c r="A3410">
        <v>75247</v>
      </c>
      <c r="B3410">
        <v>1</v>
      </c>
      <c r="C3410">
        <v>8</v>
      </c>
    </row>
    <row r="3411" spans="1:3" x14ac:dyDescent="0.3">
      <c r="A3411">
        <v>75041</v>
      </c>
      <c r="B3411">
        <v>1</v>
      </c>
      <c r="C3411">
        <v>8</v>
      </c>
    </row>
    <row r="3412" spans="1:3" x14ac:dyDescent="0.3">
      <c r="A3412">
        <v>74934</v>
      </c>
      <c r="B3412">
        <v>1</v>
      </c>
      <c r="C3412">
        <v>8</v>
      </c>
    </row>
    <row r="3413" spans="1:3" x14ac:dyDescent="0.3">
      <c r="A3413">
        <v>74725</v>
      </c>
      <c r="B3413">
        <v>1</v>
      </c>
      <c r="C3413">
        <v>8</v>
      </c>
    </row>
    <row r="3414" spans="1:3" x14ac:dyDescent="0.3">
      <c r="A3414">
        <v>74724</v>
      </c>
      <c r="B3414">
        <v>1</v>
      </c>
      <c r="C3414">
        <v>8</v>
      </c>
    </row>
    <row r="3415" spans="1:3" x14ac:dyDescent="0.3">
      <c r="A3415">
        <v>74524</v>
      </c>
      <c r="B3415">
        <v>1</v>
      </c>
      <c r="C3415">
        <v>16</v>
      </c>
    </row>
    <row r="3416" spans="1:3" x14ac:dyDescent="0.3">
      <c r="A3416">
        <v>74523</v>
      </c>
      <c r="B3416">
        <v>1</v>
      </c>
      <c r="C3416">
        <v>8</v>
      </c>
    </row>
    <row r="3417" spans="1:3" x14ac:dyDescent="0.3">
      <c r="A3417">
        <v>74363</v>
      </c>
      <c r="B3417">
        <v>1</v>
      </c>
      <c r="C3417">
        <v>8</v>
      </c>
    </row>
    <row r="3418" spans="1:3" x14ac:dyDescent="0.3">
      <c r="A3418">
        <v>74362</v>
      </c>
      <c r="B3418">
        <v>1</v>
      </c>
      <c r="C3418">
        <v>8</v>
      </c>
    </row>
    <row r="3419" spans="1:3" x14ac:dyDescent="0.3">
      <c r="A3419">
        <v>74126</v>
      </c>
      <c r="B3419">
        <v>1</v>
      </c>
      <c r="C3419">
        <v>16</v>
      </c>
    </row>
    <row r="3420" spans="1:3" x14ac:dyDescent="0.3">
      <c r="A3420">
        <v>74122</v>
      </c>
      <c r="B3420">
        <v>1</v>
      </c>
      <c r="C3420">
        <v>8</v>
      </c>
    </row>
    <row r="3421" spans="1:3" x14ac:dyDescent="0.3">
      <c r="A3421">
        <v>74113</v>
      </c>
      <c r="B3421">
        <v>1</v>
      </c>
      <c r="C3421">
        <v>16</v>
      </c>
    </row>
    <row r="3422" spans="1:3" x14ac:dyDescent="0.3">
      <c r="A3422">
        <v>74045</v>
      </c>
      <c r="B3422">
        <v>1</v>
      </c>
      <c r="C3422">
        <v>8</v>
      </c>
    </row>
    <row r="3423" spans="1:3" x14ac:dyDescent="0.3">
      <c r="A3423">
        <v>73931</v>
      </c>
      <c r="B3423">
        <v>1</v>
      </c>
      <c r="C3423">
        <v>8</v>
      </c>
    </row>
    <row r="3424" spans="1:3" x14ac:dyDescent="0.3">
      <c r="A3424">
        <v>73803</v>
      </c>
      <c r="B3424">
        <v>1</v>
      </c>
      <c r="C3424">
        <v>8</v>
      </c>
    </row>
    <row r="3425" spans="1:3" x14ac:dyDescent="0.3">
      <c r="A3425">
        <v>73802</v>
      </c>
      <c r="B3425">
        <v>1</v>
      </c>
      <c r="C3425">
        <v>8</v>
      </c>
    </row>
    <row r="3426" spans="1:3" x14ac:dyDescent="0.3">
      <c r="A3426">
        <v>73313</v>
      </c>
      <c r="B3426">
        <v>1</v>
      </c>
      <c r="C3426">
        <v>8</v>
      </c>
    </row>
    <row r="3427" spans="1:3" x14ac:dyDescent="0.3">
      <c r="A3427">
        <v>73247</v>
      </c>
      <c r="B3427">
        <v>1</v>
      </c>
      <c r="C3427">
        <v>8</v>
      </c>
    </row>
    <row r="3428" spans="1:3" x14ac:dyDescent="0.3">
      <c r="A3428">
        <v>73195</v>
      </c>
      <c r="B3428">
        <v>1</v>
      </c>
      <c r="C3428">
        <v>8</v>
      </c>
    </row>
    <row r="3429" spans="1:3" x14ac:dyDescent="0.3">
      <c r="A3429">
        <v>73153</v>
      </c>
      <c r="B3429">
        <v>1</v>
      </c>
      <c r="C3429">
        <v>8</v>
      </c>
    </row>
    <row r="3430" spans="1:3" x14ac:dyDescent="0.3">
      <c r="A3430">
        <v>73152</v>
      </c>
      <c r="B3430">
        <v>1</v>
      </c>
      <c r="C3430">
        <v>8</v>
      </c>
    </row>
    <row r="3431" spans="1:3" x14ac:dyDescent="0.3">
      <c r="A3431">
        <v>72934</v>
      </c>
      <c r="B3431">
        <v>1</v>
      </c>
      <c r="C3431">
        <v>8</v>
      </c>
    </row>
    <row r="3432" spans="1:3" x14ac:dyDescent="0.3">
      <c r="A3432">
        <v>72240</v>
      </c>
      <c r="B3432">
        <v>1</v>
      </c>
      <c r="C3432">
        <v>8</v>
      </c>
    </row>
    <row r="3433" spans="1:3" x14ac:dyDescent="0.3">
      <c r="A3433">
        <v>72134</v>
      </c>
      <c r="B3433">
        <v>1</v>
      </c>
      <c r="C3433">
        <v>8</v>
      </c>
    </row>
    <row r="3434" spans="1:3" x14ac:dyDescent="0.3">
      <c r="A3434">
        <v>72022</v>
      </c>
      <c r="B3434">
        <v>1</v>
      </c>
      <c r="C3434">
        <v>8</v>
      </c>
    </row>
    <row r="3435" spans="1:3" x14ac:dyDescent="0.3">
      <c r="A3435">
        <v>71377</v>
      </c>
      <c r="B3435">
        <v>1</v>
      </c>
      <c r="C3435">
        <v>16</v>
      </c>
    </row>
    <row r="3436" spans="1:3" x14ac:dyDescent="0.3">
      <c r="A3436">
        <v>71301</v>
      </c>
      <c r="B3436">
        <v>1</v>
      </c>
      <c r="C3436">
        <v>8</v>
      </c>
    </row>
    <row r="3437" spans="1:3" x14ac:dyDescent="0.3">
      <c r="A3437">
        <v>71300</v>
      </c>
      <c r="B3437">
        <v>1</v>
      </c>
      <c r="C3437">
        <v>8</v>
      </c>
    </row>
    <row r="3438" spans="1:3" x14ac:dyDescent="0.3">
      <c r="A3438">
        <v>70607</v>
      </c>
      <c r="B3438">
        <v>1</v>
      </c>
      <c r="C3438">
        <v>8</v>
      </c>
    </row>
    <row r="3439" spans="1:3" x14ac:dyDescent="0.3">
      <c r="A3439">
        <v>69009</v>
      </c>
      <c r="B3439">
        <v>1</v>
      </c>
      <c r="C3439">
        <v>16</v>
      </c>
    </row>
    <row r="3440" spans="1:3" x14ac:dyDescent="0.3">
      <c r="A3440">
        <v>70241</v>
      </c>
      <c r="B3440">
        <v>1</v>
      </c>
      <c r="C3440">
        <v>8</v>
      </c>
    </row>
    <row r="3441" spans="1:3" x14ac:dyDescent="0.3">
      <c r="A3441">
        <v>70240</v>
      </c>
      <c r="B3441">
        <v>1</v>
      </c>
      <c r="C3441">
        <v>8</v>
      </c>
    </row>
    <row r="3442" spans="1:3" x14ac:dyDescent="0.3">
      <c r="A3442">
        <v>70219</v>
      </c>
      <c r="B3442">
        <v>1</v>
      </c>
      <c r="C3442">
        <v>8</v>
      </c>
    </row>
    <row r="3443" spans="1:3" x14ac:dyDescent="0.3">
      <c r="A3443">
        <v>70043</v>
      </c>
      <c r="B3443">
        <v>1</v>
      </c>
      <c r="C3443">
        <v>8</v>
      </c>
    </row>
    <row r="3444" spans="1:3" x14ac:dyDescent="0.3">
      <c r="A3444">
        <v>69990</v>
      </c>
      <c r="B3444">
        <v>1</v>
      </c>
      <c r="C3444">
        <v>8</v>
      </c>
    </row>
    <row r="3445" spans="1:3" x14ac:dyDescent="0.3">
      <c r="A3445">
        <v>69988</v>
      </c>
      <c r="B3445">
        <v>1</v>
      </c>
      <c r="C3445">
        <v>8</v>
      </c>
    </row>
    <row r="3446" spans="1:3" x14ac:dyDescent="0.3">
      <c r="A3446">
        <v>69947</v>
      </c>
      <c r="B3446">
        <v>1</v>
      </c>
      <c r="C3446">
        <v>8</v>
      </c>
    </row>
    <row r="3447" spans="1:3" x14ac:dyDescent="0.3">
      <c r="A3447">
        <v>69548</v>
      </c>
      <c r="B3447">
        <v>1</v>
      </c>
      <c r="C3447">
        <v>16</v>
      </c>
    </row>
    <row r="3448" spans="1:3" x14ac:dyDescent="0.3">
      <c r="A3448">
        <v>69546</v>
      </c>
      <c r="B3448">
        <v>1</v>
      </c>
      <c r="C3448">
        <v>8</v>
      </c>
    </row>
    <row r="3449" spans="1:3" x14ac:dyDescent="0.3">
      <c r="A3449">
        <v>68960</v>
      </c>
      <c r="B3449">
        <v>1</v>
      </c>
      <c r="C3449">
        <v>8</v>
      </c>
    </row>
    <row r="3450" spans="1:3" x14ac:dyDescent="0.3">
      <c r="A3450">
        <v>68455</v>
      </c>
      <c r="B3450">
        <v>1</v>
      </c>
      <c r="C3450">
        <v>8</v>
      </c>
    </row>
    <row r="3451" spans="1:3" x14ac:dyDescent="0.3">
      <c r="A3451">
        <v>68343</v>
      </c>
      <c r="B3451">
        <v>1</v>
      </c>
      <c r="C3451">
        <v>8</v>
      </c>
    </row>
    <row r="3452" spans="1:3" x14ac:dyDescent="0.3">
      <c r="A3452">
        <v>67416</v>
      </c>
      <c r="B3452">
        <v>1</v>
      </c>
      <c r="C3452">
        <v>8</v>
      </c>
    </row>
    <row r="3453" spans="1:3" x14ac:dyDescent="0.3">
      <c r="A3453">
        <v>13544</v>
      </c>
      <c r="B3453">
        <v>1</v>
      </c>
      <c r="C3453">
        <v>8</v>
      </c>
    </row>
    <row r="3454" spans="1:3" x14ac:dyDescent="0.3">
      <c r="A3454">
        <v>67196</v>
      </c>
      <c r="B3454">
        <v>1</v>
      </c>
      <c r="C3454">
        <v>8</v>
      </c>
    </row>
    <row r="3455" spans="1:3" x14ac:dyDescent="0.3">
      <c r="A3455">
        <v>66556</v>
      </c>
      <c r="B3455">
        <v>1</v>
      </c>
      <c r="C3455">
        <v>8</v>
      </c>
    </row>
    <row r="3456" spans="1:3" x14ac:dyDescent="0.3">
      <c r="A3456">
        <v>66379</v>
      </c>
      <c r="B3456">
        <v>1</v>
      </c>
      <c r="C3456">
        <v>8</v>
      </c>
    </row>
    <row r="3457" spans="1:3" x14ac:dyDescent="0.3">
      <c r="A3457">
        <v>66129</v>
      </c>
      <c r="B3457">
        <v>1</v>
      </c>
      <c r="C3457">
        <v>8</v>
      </c>
    </row>
    <row r="3458" spans="1:3" x14ac:dyDescent="0.3">
      <c r="A3458">
        <v>66128</v>
      </c>
      <c r="B3458">
        <v>1</v>
      </c>
      <c r="C3458">
        <v>8</v>
      </c>
    </row>
    <row r="3459" spans="1:3" x14ac:dyDescent="0.3">
      <c r="A3459">
        <v>65780</v>
      </c>
      <c r="B3459">
        <v>1</v>
      </c>
      <c r="C3459">
        <v>8</v>
      </c>
    </row>
    <row r="3460" spans="1:3" x14ac:dyDescent="0.3">
      <c r="A3460">
        <v>65597</v>
      </c>
      <c r="B3460">
        <v>1</v>
      </c>
      <c r="C3460">
        <v>16</v>
      </c>
    </row>
    <row r="3461" spans="1:3" x14ac:dyDescent="0.3">
      <c r="A3461">
        <v>65595</v>
      </c>
      <c r="B3461">
        <v>1</v>
      </c>
      <c r="C3461">
        <v>8</v>
      </c>
    </row>
    <row r="3462" spans="1:3" x14ac:dyDescent="0.3">
      <c r="A3462">
        <v>65275</v>
      </c>
      <c r="B3462">
        <v>1</v>
      </c>
      <c r="C3462">
        <v>8</v>
      </c>
    </row>
    <row r="3463" spans="1:3" x14ac:dyDescent="0.3">
      <c r="A3463">
        <v>65045</v>
      </c>
      <c r="B3463">
        <v>1</v>
      </c>
      <c r="C3463">
        <v>8</v>
      </c>
    </row>
    <row r="3464" spans="1:3" x14ac:dyDescent="0.3">
      <c r="A3464">
        <v>64733</v>
      </c>
      <c r="B3464">
        <v>1</v>
      </c>
      <c r="C3464">
        <v>8</v>
      </c>
    </row>
    <row r="3465" spans="1:3" x14ac:dyDescent="0.3">
      <c r="A3465">
        <v>64732</v>
      </c>
      <c r="B3465">
        <v>1</v>
      </c>
      <c r="C3465">
        <v>8</v>
      </c>
    </row>
    <row r="3466" spans="1:3" x14ac:dyDescent="0.3">
      <c r="A3466">
        <v>64521</v>
      </c>
      <c r="B3466">
        <v>1</v>
      </c>
      <c r="C3466">
        <v>8</v>
      </c>
    </row>
    <row r="3467" spans="1:3" x14ac:dyDescent="0.3">
      <c r="A3467">
        <v>64520</v>
      </c>
      <c r="B3467">
        <v>1</v>
      </c>
      <c r="C3467">
        <v>8</v>
      </c>
    </row>
    <row r="3468" spans="1:3" x14ac:dyDescent="0.3">
      <c r="A3468">
        <v>64519</v>
      </c>
      <c r="B3468">
        <v>1</v>
      </c>
      <c r="C3468">
        <v>8</v>
      </c>
    </row>
    <row r="3469" spans="1:3" x14ac:dyDescent="0.3">
      <c r="A3469">
        <v>64403</v>
      </c>
      <c r="B3469">
        <v>1</v>
      </c>
      <c r="C3469">
        <v>8</v>
      </c>
    </row>
    <row r="3470" spans="1:3" x14ac:dyDescent="0.3">
      <c r="A3470">
        <v>63744</v>
      </c>
      <c r="B3470">
        <v>1</v>
      </c>
      <c r="C3470">
        <v>8</v>
      </c>
    </row>
    <row r="3471" spans="1:3" x14ac:dyDescent="0.3">
      <c r="A3471">
        <v>63742</v>
      </c>
      <c r="B3471">
        <v>1</v>
      </c>
      <c r="C3471">
        <v>8</v>
      </c>
    </row>
    <row r="3472" spans="1:3" x14ac:dyDescent="0.3">
      <c r="A3472">
        <v>63254</v>
      </c>
      <c r="B3472">
        <v>1</v>
      </c>
      <c r="C3472">
        <v>8</v>
      </c>
    </row>
    <row r="3473" spans="1:3" x14ac:dyDescent="0.3">
      <c r="A3473">
        <v>62035</v>
      </c>
      <c r="B3473">
        <v>1</v>
      </c>
      <c r="C3473">
        <v>8</v>
      </c>
    </row>
    <row r="3474" spans="1:3" x14ac:dyDescent="0.3">
      <c r="A3474">
        <v>62033</v>
      </c>
      <c r="B3474">
        <v>1</v>
      </c>
      <c r="C3474">
        <v>8</v>
      </c>
    </row>
    <row r="3475" spans="1:3" x14ac:dyDescent="0.3">
      <c r="A3475">
        <v>15338</v>
      </c>
      <c r="B3475">
        <v>1</v>
      </c>
      <c r="C3475">
        <v>8</v>
      </c>
    </row>
    <row r="3476" spans="1:3" x14ac:dyDescent="0.3">
      <c r="A3476">
        <v>60460</v>
      </c>
      <c r="B3476">
        <v>1</v>
      </c>
      <c r="C3476">
        <v>16</v>
      </c>
    </row>
    <row r="3477" spans="1:3" x14ac:dyDescent="0.3">
      <c r="A3477">
        <v>60303</v>
      </c>
      <c r="B3477">
        <v>1</v>
      </c>
      <c r="C3477">
        <v>8</v>
      </c>
    </row>
    <row r="3478" spans="1:3" x14ac:dyDescent="0.3">
      <c r="A3478">
        <v>60049</v>
      </c>
      <c r="B3478">
        <v>1</v>
      </c>
      <c r="C3478">
        <v>8</v>
      </c>
    </row>
    <row r="3479" spans="1:3" x14ac:dyDescent="0.3">
      <c r="A3479">
        <v>59821</v>
      </c>
      <c r="B3479">
        <v>1</v>
      </c>
      <c r="C3479">
        <v>16</v>
      </c>
    </row>
    <row r="3480" spans="1:3" x14ac:dyDescent="0.3">
      <c r="A3480">
        <v>59348</v>
      </c>
      <c r="B3480">
        <v>1</v>
      </c>
      <c r="C3480">
        <v>8</v>
      </c>
    </row>
    <row r="3481" spans="1:3" x14ac:dyDescent="0.3">
      <c r="A3481">
        <v>59346</v>
      </c>
      <c r="B3481">
        <v>1</v>
      </c>
      <c r="C3481">
        <v>8</v>
      </c>
    </row>
    <row r="3482" spans="1:3" x14ac:dyDescent="0.3">
      <c r="A3482">
        <v>58496</v>
      </c>
      <c r="B3482">
        <v>1</v>
      </c>
      <c r="C3482">
        <v>8</v>
      </c>
    </row>
    <row r="3483" spans="1:3" x14ac:dyDescent="0.3">
      <c r="A3483">
        <v>57363</v>
      </c>
      <c r="B3483">
        <v>1</v>
      </c>
      <c r="C3483">
        <v>8</v>
      </c>
    </row>
    <row r="3484" spans="1:3" x14ac:dyDescent="0.3">
      <c r="A3484">
        <v>57202</v>
      </c>
      <c r="B3484">
        <v>1</v>
      </c>
      <c r="C3484">
        <v>16</v>
      </c>
    </row>
    <row r="3485" spans="1:3" x14ac:dyDescent="0.3">
      <c r="A3485">
        <v>57042</v>
      </c>
      <c r="B3485">
        <v>1</v>
      </c>
      <c r="C3485">
        <v>16</v>
      </c>
    </row>
    <row r="3486" spans="1:3" x14ac:dyDescent="0.3">
      <c r="A3486">
        <v>53652</v>
      </c>
      <c r="B3486">
        <v>1</v>
      </c>
      <c r="C3486">
        <v>8</v>
      </c>
    </row>
    <row r="3487" spans="1:3" x14ac:dyDescent="0.3">
      <c r="A3487">
        <v>52876</v>
      </c>
      <c r="B3487">
        <v>1</v>
      </c>
      <c r="C3487">
        <v>8</v>
      </c>
    </row>
    <row r="3488" spans="1:3" x14ac:dyDescent="0.3">
      <c r="A3488">
        <v>52360</v>
      </c>
      <c r="B3488">
        <v>1</v>
      </c>
      <c r="C3488">
        <v>8</v>
      </c>
    </row>
    <row r="3489" spans="1:3" x14ac:dyDescent="0.3">
      <c r="A3489">
        <v>16540</v>
      </c>
      <c r="B3489">
        <v>1</v>
      </c>
      <c r="C3489">
        <v>8</v>
      </c>
    </row>
    <row r="3490" spans="1:3" x14ac:dyDescent="0.3">
      <c r="A3490">
        <v>51515</v>
      </c>
      <c r="B3490">
        <v>1</v>
      </c>
      <c r="C3490">
        <v>16</v>
      </c>
    </row>
    <row r="3491" spans="1:3" x14ac:dyDescent="0.3">
      <c r="A3491">
        <v>51067</v>
      </c>
      <c r="B3491">
        <v>1</v>
      </c>
      <c r="C3491">
        <v>8</v>
      </c>
    </row>
    <row r="3492" spans="1:3" x14ac:dyDescent="0.3">
      <c r="A3492">
        <v>51066</v>
      </c>
      <c r="B3492">
        <v>1</v>
      </c>
      <c r="C3492">
        <v>8</v>
      </c>
    </row>
    <row r="3493" spans="1:3" x14ac:dyDescent="0.3">
      <c r="A3493">
        <v>50450</v>
      </c>
      <c r="B3493">
        <v>1</v>
      </c>
      <c r="C3493">
        <v>8</v>
      </c>
    </row>
    <row r="3494" spans="1:3" x14ac:dyDescent="0.3">
      <c r="A3494">
        <v>50448</v>
      </c>
      <c r="B3494">
        <v>1</v>
      </c>
      <c r="C3494">
        <v>16</v>
      </c>
    </row>
    <row r="3495" spans="1:3" x14ac:dyDescent="0.3">
      <c r="A3495">
        <v>17017</v>
      </c>
      <c r="B3495">
        <v>1</v>
      </c>
      <c r="C3495">
        <v>16</v>
      </c>
    </row>
    <row r="3496" spans="1:3" x14ac:dyDescent="0.3">
      <c r="A3496">
        <v>48267</v>
      </c>
      <c r="B3496">
        <v>1</v>
      </c>
      <c r="C3496">
        <v>8</v>
      </c>
    </row>
    <row r="3497" spans="1:3" x14ac:dyDescent="0.3">
      <c r="A3497">
        <v>48265</v>
      </c>
      <c r="B3497">
        <v>1</v>
      </c>
      <c r="C3497">
        <v>8</v>
      </c>
    </row>
    <row r="3498" spans="1:3" x14ac:dyDescent="0.3">
      <c r="A3498">
        <v>47262</v>
      </c>
      <c r="B3498">
        <v>1</v>
      </c>
      <c r="C3498">
        <v>8</v>
      </c>
    </row>
    <row r="3499" spans="1:3" x14ac:dyDescent="0.3">
      <c r="A3499">
        <v>47261</v>
      </c>
      <c r="B3499">
        <v>1</v>
      </c>
      <c r="C3499">
        <v>8</v>
      </c>
    </row>
    <row r="3500" spans="1:3" x14ac:dyDescent="0.3">
      <c r="A3500">
        <v>47193</v>
      </c>
      <c r="B3500">
        <v>1</v>
      </c>
      <c r="C3500">
        <v>8</v>
      </c>
    </row>
    <row r="3501" spans="1:3" x14ac:dyDescent="0.3">
      <c r="A3501">
        <v>46386</v>
      </c>
      <c r="B3501">
        <v>1</v>
      </c>
      <c r="C3501">
        <v>8</v>
      </c>
    </row>
    <row r="3502" spans="1:3" x14ac:dyDescent="0.3">
      <c r="A3502">
        <v>45896</v>
      </c>
      <c r="B3502">
        <v>1</v>
      </c>
      <c r="C3502">
        <v>8</v>
      </c>
    </row>
    <row r="3503" spans="1:3" x14ac:dyDescent="0.3">
      <c r="A3503">
        <v>43533</v>
      </c>
      <c r="B3503">
        <v>1</v>
      </c>
      <c r="C3503">
        <v>8</v>
      </c>
    </row>
    <row r="3504" spans="1:3" x14ac:dyDescent="0.3">
      <c r="A3504">
        <v>43145</v>
      </c>
      <c r="B3504">
        <v>1</v>
      </c>
      <c r="C3504">
        <v>8</v>
      </c>
    </row>
    <row r="3505" spans="1:3" x14ac:dyDescent="0.3">
      <c r="A3505">
        <v>43143</v>
      </c>
      <c r="B3505">
        <v>1</v>
      </c>
      <c r="C3505">
        <v>8</v>
      </c>
    </row>
    <row r="3506" spans="1:3" x14ac:dyDescent="0.3">
      <c r="A3506">
        <v>42597</v>
      </c>
      <c r="B3506">
        <v>1</v>
      </c>
      <c r="C3506">
        <v>8</v>
      </c>
    </row>
    <row r="3507" spans="1:3" x14ac:dyDescent="0.3">
      <c r="A3507">
        <v>18098</v>
      </c>
      <c r="B3507">
        <v>1</v>
      </c>
      <c r="C3507">
        <v>8</v>
      </c>
    </row>
    <row r="3508" spans="1:3" x14ac:dyDescent="0.3">
      <c r="A3508">
        <v>40601</v>
      </c>
      <c r="B3508">
        <v>1</v>
      </c>
      <c r="C3508">
        <v>8</v>
      </c>
    </row>
    <row r="3509" spans="1:3" x14ac:dyDescent="0.3">
      <c r="A3509">
        <v>40402</v>
      </c>
      <c r="B3509">
        <v>1</v>
      </c>
      <c r="C3509">
        <v>8</v>
      </c>
    </row>
    <row r="3510" spans="1:3" x14ac:dyDescent="0.3">
      <c r="A3510">
        <v>40143</v>
      </c>
      <c r="B3510">
        <v>1</v>
      </c>
      <c r="C3510">
        <v>8</v>
      </c>
    </row>
    <row r="3511" spans="1:3" x14ac:dyDescent="0.3">
      <c r="A3511">
        <v>37720</v>
      </c>
      <c r="B3511">
        <v>1</v>
      </c>
      <c r="C3511">
        <v>8</v>
      </c>
    </row>
    <row r="3512" spans="1:3" x14ac:dyDescent="0.3">
      <c r="A3512">
        <v>37719</v>
      </c>
      <c r="B3512">
        <v>1</v>
      </c>
      <c r="C3512">
        <v>8</v>
      </c>
    </row>
    <row r="3513" spans="1:3" x14ac:dyDescent="0.3">
      <c r="A3513">
        <v>37136</v>
      </c>
      <c r="B3513">
        <v>1</v>
      </c>
      <c r="C3513">
        <v>8</v>
      </c>
    </row>
    <row r="3514" spans="1:3" x14ac:dyDescent="0.3">
      <c r="A3514">
        <v>36663</v>
      </c>
      <c r="B3514">
        <v>1</v>
      </c>
      <c r="C3514">
        <v>8</v>
      </c>
    </row>
    <row r="3515" spans="1:3" x14ac:dyDescent="0.3">
      <c r="A3515">
        <v>36060</v>
      </c>
      <c r="B3515">
        <v>1</v>
      </c>
      <c r="C3515">
        <v>8</v>
      </c>
    </row>
    <row r="3516" spans="1:3" x14ac:dyDescent="0.3">
      <c r="A3516">
        <v>36055</v>
      </c>
      <c r="B3516">
        <v>1</v>
      </c>
      <c r="C3516">
        <v>8</v>
      </c>
    </row>
    <row r="3517" spans="1:3" x14ac:dyDescent="0.3">
      <c r="A3517">
        <v>35212</v>
      </c>
      <c r="B3517">
        <v>1</v>
      </c>
      <c r="C3517">
        <v>8</v>
      </c>
    </row>
    <row r="3518" spans="1:3" x14ac:dyDescent="0.3">
      <c r="A3518">
        <v>34328</v>
      </c>
      <c r="B3518">
        <v>1</v>
      </c>
      <c r="C3518">
        <v>8</v>
      </c>
    </row>
    <row r="3519" spans="1:3" x14ac:dyDescent="0.3">
      <c r="A3519">
        <v>32066</v>
      </c>
      <c r="B3519">
        <v>1</v>
      </c>
      <c r="C3519">
        <v>8</v>
      </c>
    </row>
    <row r="3520" spans="1:3" x14ac:dyDescent="0.3">
      <c r="A3520">
        <v>31547</v>
      </c>
      <c r="B3520">
        <v>1</v>
      </c>
      <c r="C3520">
        <v>8</v>
      </c>
    </row>
    <row r="3521" spans="1:3" x14ac:dyDescent="0.3">
      <c r="A3521">
        <v>30881</v>
      </c>
      <c r="B3521">
        <v>1</v>
      </c>
      <c r="C3521">
        <v>8</v>
      </c>
    </row>
    <row r="3522" spans="1:3" x14ac:dyDescent="0.3">
      <c r="A3522">
        <v>30002</v>
      </c>
      <c r="B3522">
        <v>1</v>
      </c>
      <c r="C3522">
        <v>8</v>
      </c>
    </row>
    <row r="3523" spans="1:3" x14ac:dyDescent="0.3">
      <c r="A3523">
        <v>30001</v>
      </c>
      <c r="B3523">
        <v>1</v>
      </c>
      <c r="C3523">
        <v>8</v>
      </c>
    </row>
    <row r="3524" spans="1:3" x14ac:dyDescent="0.3">
      <c r="A3524">
        <v>29786</v>
      </c>
      <c r="B3524">
        <v>1</v>
      </c>
      <c r="C3524">
        <v>8</v>
      </c>
    </row>
    <row r="3525" spans="1:3" x14ac:dyDescent="0.3">
      <c r="A3525">
        <v>29145</v>
      </c>
      <c r="B3525">
        <v>1</v>
      </c>
      <c r="C3525">
        <v>16</v>
      </c>
    </row>
    <row r="3526" spans="1:3" x14ac:dyDescent="0.3">
      <c r="A3526">
        <v>28800</v>
      </c>
      <c r="B3526">
        <v>1</v>
      </c>
      <c r="C3526">
        <v>8</v>
      </c>
    </row>
    <row r="3527" spans="1:3" x14ac:dyDescent="0.3">
      <c r="A3527">
        <v>28098</v>
      </c>
      <c r="B3527">
        <v>1</v>
      </c>
      <c r="C3527">
        <v>8</v>
      </c>
    </row>
    <row r="3528" spans="1:3" x14ac:dyDescent="0.3">
      <c r="A3528">
        <v>27974</v>
      </c>
      <c r="B3528">
        <v>1</v>
      </c>
      <c r="C3528">
        <v>8</v>
      </c>
    </row>
    <row r="3529" spans="1:3" x14ac:dyDescent="0.3">
      <c r="A3529">
        <v>27756</v>
      </c>
      <c r="B3529">
        <v>1</v>
      </c>
      <c r="C3529">
        <v>8</v>
      </c>
    </row>
    <row r="3530" spans="1:3" x14ac:dyDescent="0.3">
      <c r="A3530">
        <v>27571</v>
      </c>
      <c r="B3530">
        <v>1</v>
      </c>
      <c r="C3530">
        <v>8</v>
      </c>
    </row>
    <row r="3531" spans="1:3" x14ac:dyDescent="0.3">
      <c r="A3531">
        <v>24110</v>
      </c>
      <c r="B3531">
        <v>1</v>
      </c>
      <c r="C3531">
        <v>8</v>
      </c>
    </row>
    <row r="3532" spans="1:3" x14ac:dyDescent="0.3">
      <c r="A3532">
        <v>22877</v>
      </c>
      <c r="B3532">
        <v>1</v>
      </c>
      <c r="C3532">
        <v>8</v>
      </c>
    </row>
    <row r="3533" spans="1:3" x14ac:dyDescent="0.3">
      <c r="A3533">
        <v>22875</v>
      </c>
      <c r="B3533">
        <v>1</v>
      </c>
      <c r="C3533">
        <v>8</v>
      </c>
    </row>
    <row r="3534" spans="1:3" x14ac:dyDescent="0.3">
      <c r="A3534">
        <v>21450</v>
      </c>
      <c r="B3534">
        <v>1</v>
      </c>
      <c r="C3534">
        <v>8</v>
      </c>
    </row>
    <row r="3535" spans="1:3" x14ac:dyDescent="0.3">
      <c r="A3535">
        <v>21119</v>
      </c>
      <c r="B3535">
        <v>1</v>
      </c>
      <c r="C3535">
        <v>8</v>
      </c>
    </row>
    <row r="3536" spans="1:3" x14ac:dyDescent="0.3">
      <c r="A3536">
        <v>21118</v>
      </c>
      <c r="B3536">
        <v>1</v>
      </c>
      <c r="C3536">
        <v>8</v>
      </c>
    </row>
    <row r="3537" spans="1:3" x14ac:dyDescent="0.3">
      <c r="A3537">
        <v>79622</v>
      </c>
      <c r="B3537">
        <v>1</v>
      </c>
      <c r="C3537">
        <v>8</v>
      </c>
    </row>
    <row r="3538" spans="1:3" x14ac:dyDescent="0.3">
      <c r="A3538">
        <v>78513</v>
      </c>
      <c r="B3538">
        <v>1</v>
      </c>
      <c r="C3538">
        <v>8</v>
      </c>
    </row>
    <row r="3539" spans="1:3" x14ac:dyDescent="0.3">
      <c r="A3539">
        <v>10762</v>
      </c>
      <c r="B3539">
        <v>2</v>
      </c>
      <c r="C3539">
        <v>8</v>
      </c>
    </row>
    <row r="3540" spans="1:3" x14ac:dyDescent="0.3">
      <c r="A3540">
        <v>10762</v>
      </c>
      <c r="B3540">
        <v>2</v>
      </c>
      <c r="C3540">
        <v>8</v>
      </c>
    </row>
    <row r="3541" spans="1:3" x14ac:dyDescent="0.3">
      <c r="A3541">
        <v>77161</v>
      </c>
      <c r="B3541">
        <v>1</v>
      </c>
      <c r="C3541">
        <v>8</v>
      </c>
    </row>
    <row r="3542" spans="1:3" x14ac:dyDescent="0.3">
      <c r="A3542">
        <v>77068</v>
      </c>
      <c r="B3542">
        <v>1</v>
      </c>
      <c r="C3542">
        <v>8</v>
      </c>
    </row>
    <row r="3543" spans="1:3" x14ac:dyDescent="0.3">
      <c r="A3543">
        <v>76668</v>
      </c>
      <c r="B3543">
        <v>1</v>
      </c>
      <c r="C3543">
        <v>8</v>
      </c>
    </row>
    <row r="3544" spans="1:3" x14ac:dyDescent="0.3">
      <c r="A3544">
        <v>76635</v>
      </c>
      <c r="B3544">
        <v>2</v>
      </c>
      <c r="C3544">
        <v>16</v>
      </c>
    </row>
    <row r="3545" spans="1:3" x14ac:dyDescent="0.3">
      <c r="A3545">
        <v>76444</v>
      </c>
      <c r="B3545">
        <v>1</v>
      </c>
      <c r="C3545">
        <v>8</v>
      </c>
    </row>
    <row r="3546" spans="1:3" x14ac:dyDescent="0.3">
      <c r="A3546">
        <v>75845</v>
      </c>
      <c r="B3546">
        <v>1</v>
      </c>
      <c r="C3546">
        <v>8</v>
      </c>
    </row>
    <row r="3547" spans="1:3" x14ac:dyDescent="0.3">
      <c r="A3547">
        <v>75390</v>
      </c>
      <c r="B3547">
        <v>1</v>
      </c>
      <c r="C3547">
        <v>8</v>
      </c>
    </row>
    <row r="3548" spans="1:3" x14ac:dyDescent="0.3">
      <c r="A3548">
        <v>74500</v>
      </c>
      <c r="B3548">
        <v>2</v>
      </c>
      <c r="C3548">
        <v>16</v>
      </c>
    </row>
    <row r="3549" spans="1:3" x14ac:dyDescent="0.3">
      <c r="A3549">
        <v>74492</v>
      </c>
      <c r="B3549">
        <v>1</v>
      </c>
      <c r="C3549">
        <v>8</v>
      </c>
    </row>
    <row r="3550" spans="1:3" x14ac:dyDescent="0.3">
      <c r="A3550">
        <v>74144</v>
      </c>
      <c r="B3550">
        <v>1</v>
      </c>
      <c r="C3550">
        <v>8</v>
      </c>
    </row>
    <row r="3551" spans="1:3" x14ac:dyDescent="0.3">
      <c r="A3551">
        <v>74080</v>
      </c>
      <c r="B3551">
        <v>1</v>
      </c>
      <c r="C3551">
        <v>8</v>
      </c>
    </row>
    <row r="3552" spans="1:3" x14ac:dyDescent="0.3">
      <c r="A3552">
        <v>74078</v>
      </c>
      <c r="B3552">
        <v>2</v>
      </c>
      <c r="C3552">
        <v>8</v>
      </c>
    </row>
    <row r="3553" spans="1:3" x14ac:dyDescent="0.3">
      <c r="A3553">
        <v>73154</v>
      </c>
      <c r="B3553">
        <v>1</v>
      </c>
      <c r="C3553">
        <v>8</v>
      </c>
    </row>
    <row r="3554" spans="1:3" x14ac:dyDescent="0.3">
      <c r="A3554">
        <v>71720</v>
      </c>
      <c r="B3554">
        <v>1</v>
      </c>
      <c r="C3554">
        <v>8</v>
      </c>
    </row>
    <row r="3555" spans="1:3" x14ac:dyDescent="0.3">
      <c r="A3555">
        <v>67024</v>
      </c>
      <c r="B3555">
        <v>2</v>
      </c>
      <c r="C3555">
        <v>16</v>
      </c>
    </row>
    <row r="3556" spans="1:3" x14ac:dyDescent="0.3">
      <c r="A3556">
        <v>67024</v>
      </c>
      <c r="B3556">
        <v>2</v>
      </c>
      <c r="C3556">
        <v>16</v>
      </c>
    </row>
    <row r="3557" spans="1:3" x14ac:dyDescent="0.3">
      <c r="A3557">
        <v>62082</v>
      </c>
      <c r="B3557">
        <v>1</v>
      </c>
      <c r="C3557">
        <v>16</v>
      </c>
    </row>
    <row r="3558" spans="1:3" x14ac:dyDescent="0.3">
      <c r="A3558">
        <v>61802</v>
      </c>
      <c r="B3558">
        <v>3</v>
      </c>
      <c r="C3558">
        <v>16</v>
      </c>
    </row>
    <row r="3559" spans="1:3" x14ac:dyDescent="0.3">
      <c r="A3559">
        <v>61802</v>
      </c>
      <c r="B3559">
        <v>3</v>
      </c>
      <c r="C3559">
        <v>16</v>
      </c>
    </row>
    <row r="3560" spans="1:3" x14ac:dyDescent="0.3">
      <c r="A3560">
        <v>61802</v>
      </c>
      <c r="B3560">
        <v>3</v>
      </c>
      <c r="C3560">
        <v>16</v>
      </c>
    </row>
    <row r="3561" spans="1:3" x14ac:dyDescent="0.3">
      <c r="A3561">
        <v>60711</v>
      </c>
      <c r="B3561">
        <v>1</v>
      </c>
      <c r="C3561">
        <v>16</v>
      </c>
    </row>
    <row r="3562" spans="1:3" x14ac:dyDescent="0.3">
      <c r="A3562">
        <v>60545</v>
      </c>
      <c r="B3562">
        <v>1</v>
      </c>
      <c r="C3562">
        <v>8</v>
      </c>
    </row>
    <row r="3563" spans="1:3" x14ac:dyDescent="0.3">
      <c r="A3563">
        <v>60461</v>
      </c>
      <c r="B3563">
        <v>1</v>
      </c>
      <c r="C3563">
        <v>8</v>
      </c>
    </row>
    <row r="3564" spans="1:3" x14ac:dyDescent="0.3">
      <c r="A3564">
        <v>58847</v>
      </c>
      <c r="B3564">
        <v>1</v>
      </c>
      <c r="C3564">
        <v>8</v>
      </c>
    </row>
    <row r="3565" spans="1:3" x14ac:dyDescent="0.3">
      <c r="A3565">
        <v>16747</v>
      </c>
      <c r="B3565">
        <v>1</v>
      </c>
      <c r="C3565">
        <v>8</v>
      </c>
    </row>
    <row r="3566" spans="1:3" x14ac:dyDescent="0.3">
      <c r="A3566">
        <v>50714</v>
      </c>
      <c r="B3566">
        <v>2</v>
      </c>
      <c r="C3566">
        <v>16</v>
      </c>
    </row>
    <row r="3567" spans="1:3" x14ac:dyDescent="0.3">
      <c r="A3567">
        <v>50714</v>
      </c>
      <c r="B3567">
        <v>2</v>
      </c>
      <c r="C3567">
        <v>16</v>
      </c>
    </row>
    <row r="3568" spans="1:3" x14ac:dyDescent="0.3">
      <c r="A3568">
        <v>50610</v>
      </c>
      <c r="B3568">
        <v>1</v>
      </c>
      <c r="C3568">
        <v>8</v>
      </c>
    </row>
    <row r="3569" spans="1:3" x14ac:dyDescent="0.3">
      <c r="A3569">
        <v>50243</v>
      </c>
      <c r="B3569">
        <v>2</v>
      </c>
      <c r="C3569">
        <v>16</v>
      </c>
    </row>
    <row r="3570" spans="1:3" x14ac:dyDescent="0.3">
      <c r="A3570">
        <v>50115</v>
      </c>
      <c r="B3570">
        <v>1</v>
      </c>
      <c r="C3570">
        <v>16</v>
      </c>
    </row>
    <row r="3571" spans="1:3" x14ac:dyDescent="0.3">
      <c r="A3571">
        <v>50012</v>
      </c>
      <c r="B3571">
        <v>1</v>
      </c>
      <c r="C3571">
        <v>8</v>
      </c>
    </row>
    <row r="3572" spans="1:3" x14ac:dyDescent="0.3">
      <c r="A3572">
        <v>49946</v>
      </c>
      <c r="B3572">
        <v>1</v>
      </c>
      <c r="C3572">
        <v>8</v>
      </c>
    </row>
    <row r="3573" spans="1:3" x14ac:dyDescent="0.3">
      <c r="A3573">
        <v>49860</v>
      </c>
      <c r="B3573">
        <v>1</v>
      </c>
      <c r="C3573">
        <v>8</v>
      </c>
    </row>
    <row r="3574" spans="1:3" x14ac:dyDescent="0.3">
      <c r="A3574">
        <v>49553</v>
      </c>
      <c r="B3574">
        <v>2</v>
      </c>
      <c r="C3574">
        <v>8</v>
      </c>
    </row>
    <row r="3575" spans="1:3" x14ac:dyDescent="0.3">
      <c r="A3575">
        <v>48506</v>
      </c>
      <c r="B3575">
        <v>1</v>
      </c>
      <c r="C3575">
        <v>16</v>
      </c>
    </row>
    <row r="3576" spans="1:3" x14ac:dyDescent="0.3">
      <c r="A3576">
        <v>17203</v>
      </c>
      <c r="B3576">
        <v>2</v>
      </c>
      <c r="C3576">
        <v>8</v>
      </c>
    </row>
    <row r="3577" spans="1:3" x14ac:dyDescent="0.3">
      <c r="A3577">
        <v>48505</v>
      </c>
      <c r="B3577">
        <v>2</v>
      </c>
      <c r="C3577">
        <v>16</v>
      </c>
    </row>
    <row r="3578" spans="1:3" x14ac:dyDescent="0.3">
      <c r="A3578">
        <v>48505</v>
      </c>
      <c r="B3578">
        <v>2</v>
      </c>
      <c r="C3578">
        <v>16</v>
      </c>
    </row>
    <row r="3579" spans="1:3" x14ac:dyDescent="0.3">
      <c r="A3579">
        <v>48268</v>
      </c>
      <c r="B3579">
        <v>2</v>
      </c>
      <c r="C3579">
        <v>16</v>
      </c>
    </row>
    <row r="3580" spans="1:3" x14ac:dyDescent="0.3">
      <c r="A3580">
        <v>47539</v>
      </c>
      <c r="B3580">
        <v>2</v>
      </c>
      <c r="C3580">
        <v>16</v>
      </c>
    </row>
    <row r="3581" spans="1:3" x14ac:dyDescent="0.3">
      <c r="A3581">
        <v>47372</v>
      </c>
      <c r="B3581">
        <v>2</v>
      </c>
      <c r="C3581">
        <v>16</v>
      </c>
    </row>
    <row r="3582" spans="1:3" x14ac:dyDescent="0.3">
      <c r="A3582">
        <v>47372</v>
      </c>
      <c r="B3582">
        <v>2</v>
      </c>
      <c r="C3582">
        <v>16</v>
      </c>
    </row>
    <row r="3583" spans="1:3" x14ac:dyDescent="0.3">
      <c r="A3583">
        <v>47370</v>
      </c>
      <c r="B3583">
        <v>1</v>
      </c>
      <c r="C3583">
        <v>16</v>
      </c>
    </row>
    <row r="3584" spans="1:3" x14ac:dyDescent="0.3">
      <c r="A3584">
        <v>46999</v>
      </c>
      <c r="B3584">
        <v>1</v>
      </c>
      <c r="C3584">
        <v>8</v>
      </c>
    </row>
    <row r="3585" spans="1:3" x14ac:dyDescent="0.3">
      <c r="A3585">
        <v>43148</v>
      </c>
      <c r="B3585">
        <v>1</v>
      </c>
      <c r="C3585">
        <v>16</v>
      </c>
    </row>
    <row r="3586" spans="1:3" x14ac:dyDescent="0.3">
      <c r="A3586">
        <v>42444</v>
      </c>
      <c r="B3586">
        <v>1</v>
      </c>
      <c r="C3586">
        <v>8</v>
      </c>
    </row>
    <row r="3587" spans="1:3" x14ac:dyDescent="0.3">
      <c r="A3587">
        <v>41491</v>
      </c>
      <c r="B3587">
        <v>2</v>
      </c>
      <c r="C3587">
        <v>16</v>
      </c>
    </row>
    <row r="3588" spans="1:3" x14ac:dyDescent="0.3">
      <c r="A3588">
        <v>40608</v>
      </c>
      <c r="B3588">
        <v>2</v>
      </c>
      <c r="C3588">
        <v>8</v>
      </c>
    </row>
    <row r="3589" spans="1:3" x14ac:dyDescent="0.3">
      <c r="A3589">
        <v>39652</v>
      </c>
      <c r="B3589">
        <v>1</v>
      </c>
      <c r="C3589">
        <v>8</v>
      </c>
    </row>
    <row r="3590" spans="1:3" x14ac:dyDescent="0.3">
      <c r="A3590">
        <v>38270</v>
      </c>
      <c r="B3590">
        <v>1</v>
      </c>
      <c r="C3590">
        <v>8</v>
      </c>
    </row>
    <row r="3591" spans="1:3" x14ac:dyDescent="0.3">
      <c r="A3591">
        <v>38266</v>
      </c>
      <c r="B3591">
        <v>1</v>
      </c>
      <c r="C3591">
        <v>8</v>
      </c>
    </row>
    <row r="3592" spans="1:3" x14ac:dyDescent="0.3">
      <c r="A3592">
        <v>37481</v>
      </c>
      <c r="B3592">
        <v>1</v>
      </c>
      <c r="C3592">
        <v>8</v>
      </c>
    </row>
    <row r="3593" spans="1:3" x14ac:dyDescent="0.3">
      <c r="A3593">
        <v>37141</v>
      </c>
      <c r="B3593">
        <v>1</v>
      </c>
      <c r="C3593">
        <v>8</v>
      </c>
    </row>
    <row r="3594" spans="1:3" x14ac:dyDescent="0.3">
      <c r="A3594">
        <v>36067</v>
      </c>
      <c r="B3594">
        <v>1</v>
      </c>
      <c r="C3594">
        <v>8</v>
      </c>
    </row>
    <row r="3595" spans="1:3" x14ac:dyDescent="0.3">
      <c r="A3595">
        <v>34796</v>
      </c>
      <c r="B3595">
        <v>3</v>
      </c>
      <c r="C3595">
        <v>16</v>
      </c>
    </row>
    <row r="3596" spans="1:3" x14ac:dyDescent="0.3">
      <c r="A3596">
        <v>32951</v>
      </c>
      <c r="B3596">
        <v>1</v>
      </c>
      <c r="C3596">
        <v>8</v>
      </c>
    </row>
    <row r="3597" spans="1:3" x14ac:dyDescent="0.3">
      <c r="A3597">
        <v>31029</v>
      </c>
      <c r="B3597">
        <v>1</v>
      </c>
      <c r="C3597">
        <v>8</v>
      </c>
    </row>
    <row r="3598" spans="1:3" x14ac:dyDescent="0.3">
      <c r="A3598">
        <v>30754</v>
      </c>
      <c r="B3598">
        <v>2</v>
      </c>
      <c r="C3598">
        <v>16</v>
      </c>
    </row>
    <row r="3599" spans="1:3" x14ac:dyDescent="0.3">
      <c r="A3599">
        <v>30332</v>
      </c>
      <c r="B3599">
        <v>1</v>
      </c>
      <c r="C3599">
        <v>8</v>
      </c>
    </row>
    <row r="3600" spans="1:3" x14ac:dyDescent="0.3">
      <c r="A3600">
        <v>29941</v>
      </c>
      <c r="B3600">
        <v>1</v>
      </c>
      <c r="C3600">
        <v>8</v>
      </c>
    </row>
    <row r="3601" spans="1:3" x14ac:dyDescent="0.3">
      <c r="A3601">
        <v>28974</v>
      </c>
      <c r="B3601">
        <v>2</v>
      </c>
      <c r="C3601">
        <v>16</v>
      </c>
    </row>
    <row r="3602" spans="1:3" x14ac:dyDescent="0.3">
      <c r="A3602" s="26">
        <v>26687</v>
      </c>
      <c r="B3602" s="26">
        <v>1</v>
      </c>
      <c r="C3602" s="26">
        <v>16</v>
      </c>
    </row>
    <row r="3603" spans="1:3" x14ac:dyDescent="0.3">
      <c r="A3603">
        <v>21456</v>
      </c>
      <c r="B3603">
        <v>1</v>
      </c>
      <c r="C3603">
        <v>16</v>
      </c>
    </row>
    <row r="3604" spans="1:3" x14ac:dyDescent="0.3">
      <c r="A3604">
        <v>80725</v>
      </c>
      <c r="B3604">
        <v>1</v>
      </c>
      <c r="C3604">
        <v>8</v>
      </c>
    </row>
    <row r="3605" spans="1:3" x14ac:dyDescent="0.3">
      <c r="A3605">
        <v>80661</v>
      </c>
      <c r="B3605">
        <v>1</v>
      </c>
      <c r="C3605">
        <v>8</v>
      </c>
    </row>
    <row r="3606" spans="1:3" x14ac:dyDescent="0.3">
      <c r="A3606">
        <v>80520</v>
      </c>
      <c r="B3606">
        <v>1</v>
      </c>
      <c r="C3606">
        <v>8</v>
      </c>
    </row>
    <row r="3607" spans="1:3" x14ac:dyDescent="0.3">
      <c r="A3607">
        <v>80519</v>
      </c>
      <c r="B3607">
        <v>1</v>
      </c>
      <c r="C3607">
        <v>8</v>
      </c>
    </row>
    <row r="3608" spans="1:3" x14ac:dyDescent="0.3">
      <c r="A3608">
        <v>80518</v>
      </c>
      <c r="B3608">
        <v>1</v>
      </c>
      <c r="C3608">
        <v>8</v>
      </c>
    </row>
    <row r="3609" spans="1:3" x14ac:dyDescent="0.3">
      <c r="A3609">
        <v>80250</v>
      </c>
      <c r="B3609">
        <v>1</v>
      </c>
      <c r="C3609">
        <v>8</v>
      </c>
    </row>
    <row r="3610" spans="1:3" x14ac:dyDescent="0.3">
      <c r="A3610">
        <v>80249</v>
      </c>
      <c r="B3610">
        <v>1</v>
      </c>
      <c r="C3610">
        <v>8</v>
      </c>
    </row>
    <row r="3611" spans="1:3" x14ac:dyDescent="0.3">
      <c r="A3611">
        <v>80127</v>
      </c>
      <c r="B3611">
        <v>1</v>
      </c>
      <c r="C3611">
        <v>8</v>
      </c>
    </row>
    <row r="3612" spans="1:3" x14ac:dyDescent="0.3">
      <c r="A3612">
        <v>80126</v>
      </c>
      <c r="B3612">
        <v>1</v>
      </c>
      <c r="C3612">
        <v>8</v>
      </c>
    </row>
    <row r="3613" spans="1:3" x14ac:dyDescent="0.3">
      <c r="A3613">
        <v>79999</v>
      </c>
      <c r="B3613">
        <v>1</v>
      </c>
      <c r="C3613">
        <v>8</v>
      </c>
    </row>
    <row r="3614" spans="1:3" x14ac:dyDescent="0.3">
      <c r="A3614">
        <v>79998</v>
      </c>
      <c r="B3614">
        <v>1</v>
      </c>
      <c r="C3614">
        <v>8</v>
      </c>
    </row>
    <row r="3615" spans="1:3" x14ac:dyDescent="0.3">
      <c r="A3615">
        <v>79997</v>
      </c>
      <c r="B3615">
        <v>1</v>
      </c>
      <c r="C3615">
        <v>8</v>
      </c>
    </row>
    <row r="3616" spans="1:3" x14ac:dyDescent="0.3">
      <c r="A3616">
        <v>79758</v>
      </c>
      <c r="B3616">
        <v>1</v>
      </c>
      <c r="C3616">
        <v>8</v>
      </c>
    </row>
    <row r="3617" spans="1:3" x14ac:dyDescent="0.3">
      <c r="A3617">
        <v>79621</v>
      </c>
      <c r="B3617">
        <v>1</v>
      </c>
      <c r="C3617">
        <v>8</v>
      </c>
    </row>
    <row r="3618" spans="1:3" x14ac:dyDescent="0.3">
      <c r="A3618">
        <v>79505</v>
      </c>
      <c r="B3618">
        <v>1</v>
      </c>
      <c r="C3618">
        <v>8</v>
      </c>
    </row>
    <row r="3619" spans="1:3" x14ac:dyDescent="0.3">
      <c r="A3619">
        <v>79205</v>
      </c>
      <c r="B3619">
        <v>1</v>
      </c>
      <c r="C3619">
        <v>8</v>
      </c>
    </row>
    <row r="3620" spans="1:3" x14ac:dyDescent="0.3">
      <c r="A3620">
        <v>79074</v>
      </c>
      <c r="B3620">
        <v>1</v>
      </c>
      <c r="C3620">
        <v>8</v>
      </c>
    </row>
    <row r="3621" spans="1:3" x14ac:dyDescent="0.3">
      <c r="A3621">
        <v>79073</v>
      </c>
      <c r="B3621">
        <v>1</v>
      </c>
      <c r="C3621">
        <v>8</v>
      </c>
    </row>
    <row r="3622" spans="1:3" x14ac:dyDescent="0.3">
      <c r="A3622">
        <v>79072</v>
      </c>
      <c r="B3622">
        <v>1</v>
      </c>
      <c r="C3622">
        <v>8</v>
      </c>
    </row>
    <row r="3623" spans="1:3" x14ac:dyDescent="0.3">
      <c r="A3623">
        <v>79054</v>
      </c>
      <c r="B3623">
        <v>1</v>
      </c>
      <c r="C3623">
        <v>8</v>
      </c>
    </row>
    <row r="3624" spans="1:3" x14ac:dyDescent="0.3">
      <c r="A3624">
        <v>78900</v>
      </c>
      <c r="B3624">
        <v>1</v>
      </c>
      <c r="C3624">
        <v>8</v>
      </c>
    </row>
    <row r="3625" spans="1:3" x14ac:dyDescent="0.3">
      <c r="A3625">
        <v>78867</v>
      </c>
      <c r="B3625">
        <v>1</v>
      </c>
      <c r="C3625">
        <v>8</v>
      </c>
    </row>
    <row r="3626" spans="1:3" x14ac:dyDescent="0.3">
      <c r="A3626">
        <v>78796</v>
      </c>
      <c r="B3626">
        <v>1</v>
      </c>
      <c r="C3626">
        <v>8</v>
      </c>
    </row>
    <row r="3627" spans="1:3" x14ac:dyDescent="0.3">
      <c r="A3627">
        <v>78795</v>
      </c>
      <c r="B3627">
        <v>1</v>
      </c>
      <c r="C3627">
        <v>8</v>
      </c>
    </row>
    <row r="3628" spans="1:3" x14ac:dyDescent="0.3">
      <c r="A3628">
        <v>78794</v>
      </c>
      <c r="B3628">
        <v>1</v>
      </c>
      <c r="C3628">
        <v>8</v>
      </c>
    </row>
    <row r="3629" spans="1:3" x14ac:dyDescent="0.3">
      <c r="A3629">
        <v>78454</v>
      </c>
      <c r="B3629">
        <v>1</v>
      </c>
      <c r="C3629">
        <v>8</v>
      </c>
    </row>
    <row r="3630" spans="1:3" x14ac:dyDescent="0.3">
      <c r="A3630">
        <v>78420</v>
      </c>
      <c r="B3630">
        <v>1</v>
      </c>
      <c r="C3630">
        <v>8</v>
      </c>
    </row>
    <row r="3631" spans="1:3" x14ac:dyDescent="0.3">
      <c r="A3631">
        <v>78419</v>
      </c>
      <c r="B3631">
        <v>1</v>
      </c>
      <c r="C3631">
        <v>8</v>
      </c>
    </row>
    <row r="3632" spans="1:3" x14ac:dyDescent="0.3">
      <c r="A3632">
        <v>78294</v>
      </c>
      <c r="B3632">
        <v>1</v>
      </c>
      <c r="C3632">
        <v>8</v>
      </c>
    </row>
    <row r="3633" spans="1:3" x14ac:dyDescent="0.3">
      <c r="A3633">
        <v>78075</v>
      </c>
      <c r="B3633">
        <v>1</v>
      </c>
      <c r="C3633">
        <v>8</v>
      </c>
    </row>
    <row r="3634" spans="1:3" x14ac:dyDescent="0.3">
      <c r="A3634">
        <v>78074</v>
      </c>
      <c r="B3634">
        <v>1</v>
      </c>
      <c r="C3634">
        <v>8</v>
      </c>
    </row>
    <row r="3635" spans="1:3" x14ac:dyDescent="0.3">
      <c r="A3635">
        <v>78073</v>
      </c>
      <c r="B3635">
        <v>1</v>
      </c>
      <c r="C3635">
        <v>8</v>
      </c>
    </row>
    <row r="3636" spans="1:3" x14ac:dyDescent="0.3">
      <c r="A3636">
        <v>78072</v>
      </c>
      <c r="B3636">
        <v>1</v>
      </c>
      <c r="C3636">
        <v>8</v>
      </c>
    </row>
    <row r="3637" spans="1:3" x14ac:dyDescent="0.3">
      <c r="A3637">
        <v>78000</v>
      </c>
      <c r="B3637">
        <v>1</v>
      </c>
      <c r="C3637">
        <v>8</v>
      </c>
    </row>
    <row r="3638" spans="1:3" x14ac:dyDescent="0.3">
      <c r="A3638">
        <v>77999</v>
      </c>
      <c r="B3638">
        <v>1</v>
      </c>
      <c r="C3638">
        <v>8</v>
      </c>
    </row>
    <row r="3639" spans="1:3" x14ac:dyDescent="0.3">
      <c r="A3639">
        <v>77998</v>
      </c>
      <c r="B3639">
        <v>1</v>
      </c>
      <c r="C3639">
        <v>8</v>
      </c>
    </row>
    <row r="3640" spans="1:3" x14ac:dyDescent="0.3">
      <c r="A3640">
        <v>77997</v>
      </c>
      <c r="B3640">
        <v>1</v>
      </c>
      <c r="C3640">
        <v>8</v>
      </c>
    </row>
    <row r="3641" spans="1:3" x14ac:dyDescent="0.3">
      <c r="A3641">
        <v>77953</v>
      </c>
      <c r="B3641">
        <v>1</v>
      </c>
      <c r="C3641">
        <v>8</v>
      </c>
    </row>
    <row r="3642" spans="1:3" x14ac:dyDescent="0.3">
      <c r="A3642">
        <v>77917</v>
      </c>
      <c r="B3642">
        <v>1</v>
      </c>
      <c r="C3642">
        <v>8</v>
      </c>
    </row>
    <row r="3643" spans="1:3" x14ac:dyDescent="0.3">
      <c r="A3643">
        <v>77892</v>
      </c>
      <c r="B3643">
        <v>1</v>
      </c>
      <c r="C3643">
        <v>8</v>
      </c>
    </row>
    <row r="3644" spans="1:3" x14ac:dyDescent="0.3">
      <c r="A3644">
        <v>77649</v>
      </c>
      <c r="B3644">
        <v>1</v>
      </c>
      <c r="C3644">
        <v>8</v>
      </c>
    </row>
    <row r="3645" spans="1:3" x14ac:dyDescent="0.3">
      <c r="A3645">
        <v>77648</v>
      </c>
      <c r="B3645">
        <v>1</v>
      </c>
      <c r="C3645">
        <v>8</v>
      </c>
    </row>
    <row r="3646" spans="1:3" x14ac:dyDescent="0.3">
      <c r="A3646">
        <v>77596</v>
      </c>
      <c r="B3646">
        <v>1</v>
      </c>
      <c r="C3646">
        <v>16</v>
      </c>
    </row>
    <row r="3647" spans="1:3" x14ac:dyDescent="0.3">
      <c r="A3647">
        <v>77444</v>
      </c>
      <c r="B3647">
        <v>1</v>
      </c>
      <c r="C3647">
        <v>8</v>
      </c>
    </row>
    <row r="3648" spans="1:3" x14ac:dyDescent="0.3">
      <c r="A3648">
        <v>77442</v>
      </c>
      <c r="B3648">
        <v>1</v>
      </c>
      <c r="C3648">
        <v>8</v>
      </c>
    </row>
    <row r="3649" spans="1:3" x14ac:dyDescent="0.3">
      <c r="A3649">
        <v>77160</v>
      </c>
      <c r="B3649">
        <v>1</v>
      </c>
      <c r="C3649">
        <v>8</v>
      </c>
    </row>
    <row r="3650" spans="1:3" x14ac:dyDescent="0.3">
      <c r="A3650">
        <v>77103</v>
      </c>
      <c r="B3650">
        <v>1</v>
      </c>
      <c r="C3650">
        <v>8</v>
      </c>
    </row>
    <row r="3651" spans="1:3" x14ac:dyDescent="0.3">
      <c r="A3651">
        <v>77066</v>
      </c>
      <c r="B3651">
        <v>1</v>
      </c>
      <c r="C3651">
        <v>8</v>
      </c>
    </row>
    <row r="3652" spans="1:3" x14ac:dyDescent="0.3">
      <c r="A3652">
        <v>76500</v>
      </c>
      <c r="B3652">
        <v>1</v>
      </c>
      <c r="C3652">
        <v>8</v>
      </c>
    </row>
    <row r="3653" spans="1:3" x14ac:dyDescent="0.3">
      <c r="A3653">
        <v>76446</v>
      </c>
      <c r="B3653">
        <v>1</v>
      </c>
      <c r="C3653">
        <v>16</v>
      </c>
    </row>
    <row r="3654" spans="1:3" x14ac:dyDescent="0.3">
      <c r="A3654">
        <v>76257</v>
      </c>
      <c r="B3654">
        <v>1</v>
      </c>
      <c r="C3654">
        <v>8</v>
      </c>
    </row>
    <row r="3655" spans="1:3" x14ac:dyDescent="0.3">
      <c r="A3655">
        <v>76187</v>
      </c>
      <c r="B3655">
        <v>1</v>
      </c>
      <c r="C3655">
        <v>8</v>
      </c>
    </row>
    <row r="3656" spans="1:3" x14ac:dyDescent="0.3">
      <c r="A3656">
        <v>76119</v>
      </c>
      <c r="B3656">
        <v>1</v>
      </c>
      <c r="C3656">
        <v>8</v>
      </c>
    </row>
    <row r="3657" spans="1:3" x14ac:dyDescent="0.3">
      <c r="A3657">
        <v>75997</v>
      </c>
      <c r="B3657">
        <v>1</v>
      </c>
      <c r="C3657">
        <v>8</v>
      </c>
    </row>
    <row r="3658" spans="1:3" x14ac:dyDescent="0.3">
      <c r="A3658">
        <v>75903</v>
      </c>
      <c r="B3658">
        <v>1</v>
      </c>
      <c r="C3658">
        <v>8</v>
      </c>
    </row>
    <row r="3659" spans="1:3" x14ac:dyDescent="0.3">
      <c r="A3659">
        <v>75901</v>
      </c>
      <c r="B3659">
        <v>1</v>
      </c>
      <c r="C3659">
        <v>8</v>
      </c>
    </row>
    <row r="3660" spans="1:3" x14ac:dyDescent="0.3">
      <c r="A3660">
        <v>75897</v>
      </c>
      <c r="B3660">
        <v>1</v>
      </c>
      <c r="C3660">
        <v>8</v>
      </c>
    </row>
    <row r="3661" spans="1:3" x14ac:dyDescent="0.3">
      <c r="A3661">
        <v>75896</v>
      </c>
      <c r="B3661">
        <v>1</v>
      </c>
      <c r="C3661">
        <v>8</v>
      </c>
    </row>
    <row r="3662" spans="1:3" x14ac:dyDescent="0.3">
      <c r="A3662">
        <v>75846</v>
      </c>
      <c r="B3662">
        <v>1</v>
      </c>
      <c r="C3662">
        <v>8</v>
      </c>
    </row>
    <row r="3663" spans="1:3" x14ac:dyDescent="0.3">
      <c r="A3663">
        <v>75777</v>
      </c>
      <c r="B3663">
        <v>1</v>
      </c>
      <c r="C3663">
        <v>8</v>
      </c>
    </row>
    <row r="3664" spans="1:3" x14ac:dyDescent="0.3">
      <c r="A3664">
        <v>75045</v>
      </c>
      <c r="B3664">
        <v>1</v>
      </c>
      <c r="C3664">
        <v>8</v>
      </c>
    </row>
    <row r="3665" spans="1:3" x14ac:dyDescent="0.3">
      <c r="A3665">
        <v>74906</v>
      </c>
      <c r="B3665">
        <v>1</v>
      </c>
      <c r="C3665">
        <v>8</v>
      </c>
    </row>
    <row r="3666" spans="1:3" x14ac:dyDescent="0.3">
      <c r="A3666">
        <v>74568</v>
      </c>
      <c r="B3666">
        <v>1</v>
      </c>
      <c r="C3666">
        <v>8</v>
      </c>
    </row>
    <row r="3667" spans="1:3" x14ac:dyDescent="0.3">
      <c r="A3667">
        <v>74567</v>
      </c>
      <c r="B3667">
        <v>1</v>
      </c>
      <c r="C3667">
        <v>8</v>
      </c>
    </row>
    <row r="3668" spans="1:3" x14ac:dyDescent="0.3">
      <c r="A3668">
        <v>74450</v>
      </c>
      <c r="B3668">
        <v>1</v>
      </c>
      <c r="C3668">
        <v>8</v>
      </c>
    </row>
    <row r="3669" spans="1:3" x14ac:dyDescent="0.3">
      <c r="A3669">
        <v>74197</v>
      </c>
      <c r="B3669">
        <v>1</v>
      </c>
      <c r="C3669">
        <v>8</v>
      </c>
    </row>
    <row r="3670" spans="1:3" x14ac:dyDescent="0.3">
      <c r="A3670">
        <v>74146</v>
      </c>
      <c r="B3670">
        <v>1</v>
      </c>
      <c r="C3670">
        <v>8</v>
      </c>
    </row>
    <row r="3671" spans="1:3" x14ac:dyDescent="0.3">
      <c r="A3671">
        <v>74145</v>
      </c>
      <c r="B3671">
        <v>1</v>
      </c>
      <c r="C3671">
        <v>8</v>
      </c>
    </row>
    <row r="3672" spans="1:3" x14ac:dyDescent="0.3">
      <c r="A3672">
        <v>74077</v>
      </c>
      <c r="B3672">
        <v>1</v>
      </c>
      <c r="C3672">
        <v>16</v>
      </c>
    </row>
    <row r="3673" spans="1:3" x14ac:dyDescent="0.3">
      <c r="A3673">
        <v>73036</v>
      </c>
      <c r="B3673">
        <v>1</v>
      </c>
      <c r="C3673">
        <v>8</v>
      </c>
    </row>
    <row r="3674" spans="1:3" x14ac:dyDescent="0.3">
      <c r="A3674">
        <v>73035</v>
      </c>
      <c r="B3674">
        <v>1</v>
      </c>
      <c r="C3674">
        <v>8</v>
      </c>
    </row>
    <row r="3675" spans="1:3" x14ac:dyDescent="0.3">
      <c r="A3675">
        <v>72672</v>
      </c>
      <c r="B3675">
        <v>1</v>
      </c>
      <c r="C3675">
        <v>8</v>
      </c>
    </row>
    <row r="3676" spans="1:3" x14ac:dyDescent="0.3">
      <c r="A3676">
        <v>72567</v>
      </c>
      <c r="B3676">
        <v>1</v>
      </c>
      <c r="C3676">
        <v>8</v>
      </c>
    </row>
    <row r="3677" spans="1:3" x14ac:dyDescent="0.3">
      <c r="A3677">
        <v>72090</v>
      </c>
      <c r="B3677">
        <v>1</v>
      </c>
      <c r="C3677">
        <v>16</v>
      </c>
    </row>
    <row r="3678" spans="1:3" x14ac:dyDescent="0.3">
      <c r="A3678">
        <v>71873</v>
      </c>
      <c r="B3678">
        <v>1</v>
      </c>
      <c r="C3678">
        <v>16</v>
      </c>
    </row>
    <row r="3679" spans="1:3" x14ac:dyDescent="0.3">
      <c r="A3679">
        <v>71721</v>
      </c>
      <c r="B3679">
        <v>1</v>
      </c>
      <c r="C3679">
        <v>8</v>
      </c>
    </row>
    <row r="3680" spans="1:3" x14ac:dyDescent="0.3">
      <c r="A3680">
        <v>71719</v>
      </c>
      <c r="B3680">
        <v>1</v>
      </c>
      <c r="C3680">
        <v>8</v>
      </c>
    </row>
    <row r="3681" spans="1:3" x14ac:dyDescent="0.3">
      <c r="A3681">
        <v>71581</v>
      </c>
      <c r="B3681">
        <v>1</v>
      </c>
      <c r="C3681">
        <v>16</v>
      </c>
    </row>
    <row r="3682" spans="1:3" x14ac:dyDescent="0.3">
      <c r="A3682">
        <v>71091</v>
      </c>
      <c r="B3682">
        <v>1</v>
      </c>
      <c r="C3682">
        <v>16</v>
      </c>
    </row>
    <row r="3683" spans="1:3" x14ac:dyDescent="0.3">
      <c r="A3683">
        <v>70574</v>
      </c>
      <c r="B3683">
        <v>1</v>
      </c>
      <c r="C3683">
        <v>8</v>
      </c>
    </row>
    <row r="3684" spans="1:3" x14ac:dyDescent="0.3">
      <c r="A3684">
        <v>70573</v>
      </c>
      <c r="B3684">
        <v>1</v>
      </c>
      <c r="C3684">
        <v>8</v>
      </c>
    </row>
    <row r="3685" spans="1:3" x14ac:dyDescent="0.3">
      <c r="A3685">
        <v>70374</v>
      </c>
      <c r="B3685">
        <v>1</v>
      </c>
      <c r="C3685">
        <v>8</v>
      </c>
    </row>
    <row r="3686" spans="1:3" x14ac:dyDescent="0.3">
      <c r="A3686">
        <v>13204</v>
      </c>
      <c r="B3686">
        <v>1</v>
      </c>
      <c r="C3686">
        <v>16</v>
      </c>
    </row>
    <row r="3687" spans="1:3" x14ac:dyDescent="0.3">
      <c r="A3687">
        <v>67417</v>
      </c>
      <c r="B3687">
        <v>1</v>
      </c>
      <c r="C3687">
        <v>8</v>
      </c>
    </row>
    <row r="3688" spans="1:3" x14ac:dyDescent="0.3">
      <c r="A3688">
        <v>67356</v>
      </c>
      <c r="B3688">
        <v>1</v>
      </c>
      <c r="C3688">
        <v>8</v>
      </c>
    </row>
    <row r="3689" spans="1:3" x14ac:dyDescent="0.3">
      <c r="A3689">
        <v>66704</v>
      </c>
      <c r="B3689">
        <v>1</v>
      </c>
      <c r="C3689">
        <v>8</v>
      </c>
    </row>
    <row r="3690" spans="1:3" x14ac:dyDescent="0.3">
      <c r="A3690">
        <v>66703</v>
      </c>
      <c r="B3690">
        <v>1</v>
      </c>
      <c r="C3690">
        <v>8</v>
      </c>
    </row>
    <row r="3691" spans="1:3" x14ac:dyDescent="0.3">
      <c r="A3691">
        <v>66652</v>
      </c>
      <c r="B3691">
        <v>1</v>
      </c>
      <c r="C3691">
        <v>8</v>
      </c>
    </row>
    <row r="3692" spans="1:3" x14ac:dyDescent="0.3">
      <c r="A3692">
        <v>66220</v>
      </c>
      <c r="B3692">
        <v>1</v>
      </c>
      <c r="C3692">
        <v>8</v>
      </c>
    </row>
    <row r="3693" spans="1:3" x14ac:dyDescent="0.3">
      <c r="A3693">
        <v>66219</v>
      </c>
      <c r="B3693">
        <v>1</v>
      </c>
      <c r="C3693">
        <v>8</v>
      </c>
    </row>
    <row r="3694" spans="1:3" x14ac:dyDescent="0.3">
      <c r="A3694">
        <v>66218</v>
      </c>
      <c r="B3694">
        <v>1</v>
      </c>
      <c r="C3694">
        <v>8</v>
      </c>
    </row>
    <row r="3695" spans="1:3" x14ac:dyDescent="0.3">
      <c r="A3695">
        <v>65460</v>
      </c>
      <c r="B3695">
        <v>1</v>
      </c>
      <c r="C3695">
        <v>16</v>
      </c>
    </row>
    <row r="3696" spans="1:3" x14ac:dyDescent="0.3">
      <c r="A3696">
        <v>65459</v>
      </c>
      <c r="B3696">
        <v>1</v>
      </c>
      <c r="C3696">
        <v>16</v>
      </c>
    </row>
    <row r="3697" spans="1:3" x14ac:dyDescent="0.3">
      <c r="A3697">
        <v>65210</v>
      </c>
      <c r="B3697">
        <v>1</v>
      </c>
      <c r="C3697">
        <v>8</v>
      </c>
    </row>
    <row r="3698" spans="1:3" x14ac:dyDescent="0.3">
      <c r="A3698">
        <v>64744</v>
      </c>
      <c r="B3698">
        <v>1</v>
      </c>
      <c r="C3698">
        <v>16</v>
      </c>
    </row>
    <row r="3699" spans="1:3" x14ac:dyDescent="0.3">
      <c r="A3699">
        <v>64062</v>
      </c>
      <c r="B3699">
        <v>1</v>
      </c>
      <c r="C3699">
        <v>8</v>
      </c>
    </row>
    <row r="3700" spans="1:3" x14ac:dyDescent="0.3">
      <c r="A3700">
        <v>14854</v>
      </c>
      <c r="B3700">
        <v>1</v>
      </c>
      <c r="C3700">
        <v>8</v>
      </c>
    </row>
    <row r="3701" spans="1:3" x14ac:dyDescent="0.3">
      <c r="A3701">
        <v>63260</v>
      </c>
      <c r="B3701">
        <v>1</v>
      </c>
      <c r="C3701">
        <v>8</v>
      </c>
    </row>
    <row r="3702" spans="1:3" x14ac:dyDescent="0.3">
      <c r="A3702">
        <v>63130</v>
      </c>
      <c r="B3702">
        <v>1</v>
      </c>
      <c r="C3702">
        <v>16</v>
      </c>
    </row>
    <row r="3703" spans="1:3" x14ac:dyDescent="0.3">
      <c r="A3703">
        <v>62876</v>
      </c>
      <c r="B3703">
        <v>1</v>
      </c>
      <c r="C3703">
        <v>8</v>
      </c>
    </row>
    <row r="3704" spans="1:3" x14ac:dyDescent="0.3">
      <c r="A3704">
        <v>62670</v>
      </c>
      <c r="B3704">
        <v>1</v>
      </c>
      <c r="C3704">
        <v>8</v>
      </c>
    </row>
    <row r="3705" spans="1:3" x14ac:dyDescent="0.3">
      <c r="A3705">
        <v>62379</v>
      </c>
      <c r="B3705">
        <v>1</v>
      </c>
      <c r="C3705">
        <v>16</v>
      </c>
    </row>
    <row r="3706" spans="1:3" x14ac:dyDescent="0.3">
      <c r="A3706">
        <v>15122</v>
      </c>
      <c r="B3706">
        <v>1</v>
      </c>
      <c r="C3706">
        <v>16</v>
      </c>
    </row>
    <row r="3707" spans="1:3" x14ac:dyDescent="0.3">
      <c r="A3707">
        <v>61412</v>
      </c>
      <c r="B3707">
        <v>1</v>
      </c>
      <c r="C3707">
        <v>8</v>
      </c>
    </row>
    <row r="3708" spans="1:3" x14ac:dyDescent="0.3">
      <c r="A3708">
        <v>61411</v>
      </c>
      <c r="B3708">
        <v>1</v>
      </c>
      <c r="C3708">
        <v>8</v>
      </c>
    </row>
    <row r="3709" spans="1:3" x14ac:dyDescent="0.3">
      <c r="A3709">
        <v>61410</v>
      </c>
      <c r="B3709">
        <v>1</v>
      </c>
      <c r="C3709">
        <v>8</v>
      </c>
    </row>
    <row r="3710" spans="1:3" x14ac:dyDescent="0.3">
      <c r="A3710">
        <v>15358</v>
      </c>
      <c r="B3710">
        <v>1</v>
      </c>
      <c r="C3710">
        <v>16</v>
      </c>
    </row>
    <row r="3711" spans="1:3" x14ac:dyDescent="0.3">
      <c r="A3711">
        <v>60710</v>
      </c>
      <c r="B3711">
        <v>1</v>
      </c>
      <c r="C3711">
        <v>8</v>
      </c>
    </row>
    <row r="3712" spans="1:3" x14ac:dyDescent="0.3">
      <c r="A3712">
        <v>60546</v>
      </c>
      <c r="B3712">
        <v>1</v>
      </c>
      <c r="C3712">
        <v>8</v>
      </c>
    </row>
    <row r="3713" spans="1:3" x14ac:dyDescent="0.3">
      <c r="A3713">
        <v>60306</v>
      </c>
      <c r="B3713">
        <v>1</v>
      </c>
      <c r="C3713">
        <v>8</v>
      </c>
    </row>
    <row r="3714" spans="1:3" x14ac:dyDescent="0.3">
      <c r="A3714">
        <v>60238</v>
      </c>
      <c r="B3714">
        <v>1</v>
      </c>
      <c r="C3714">
        <v>8</v>
      </c>
    </row>
    <row r="3715" spans="1:3" x14ac:dyDescent="0.3">
      <c r="A3715">
        <v>60237</v>
      </c>
      <c r="B3715">
        <v>1</v>
      </c>
      <c r="C3715">
        <v>8</v>
      </c>
    </row>
    <row r="3716" spans="1:3" x14ac:dyDescent="0.3">
      <c r="A3716">
        <v>59676</v>
      </c>
      <c r="B3716">
        <v>1</v>
      </c>
      <c r="C3716">
        <v>16</v>
      </c>
    </row>
    <row r="3717" spans="1:3" x14ac:dyDescent="0.3">
      <c r="A3717">
        <v>59351</v>
      </c>
      <c r="B3717">
        <v>1</v>
      </c>
      <c r="C3717">
        <v>16</v>
      </c>
    </row>
    <row r="3718" spans="1:3" x14ac:dyDescent="0.3">
      <c r="A3718">
        <v>56918</v>
      </c>
      <c r="B3718">
        <v>1</v>
      </c>
      <c r="C3718">
        <v>16</v>
      </c>
    </row>
    <row r="3719" spans="1:3" x14ac:dyDescent="0.3">
      <c r="A3719">
        <v>55156</v>
      </c>
      <c r="B3719">
        <v>1</v>
      </c>
      <c r="C3719">
        <v>8</v>
      </c>
    </row>
    <row r="3720" spans="1:3" x14ac:dyDescent="0.3">
      <c r="A3720">
        <v>54859</v>
      </c>
      <c r="B3720">
        <v>1</v>
      </c>
      <c r="C3720">
        <v>8</v>
      </c>
    </row>
    <row r="3721" spans="1:3" x14ac:dyDescent="0.3">
      <c r="A3721">
        <v>54818</v>
      </c>
      <c r="B3721">
        <v>1</v>
      </c>
      <c r="C3721">
        <v>16</v>
      </c>
    </row>
    <row r="3722" spans="1:3" x14ac:dyDescent="0.3">
      <c r="A3722">
        <v>54431</v>
      </c>
      <c r="B3722">
        <v>1</v>
      </c>
      <c r="C3722">
        <v>8</v>
      </c>
    </row>
    <row r="3723" spans="1:3" x14ac:dyDescent="0.3">
      <c r="A3723">
        <v>52788</v>
      </c>
      <c r="B3723">
        <v>1</v>
      </c>
      <c r="C3723">
        <v>8</v>
      </c>
    </row>
    <row r="3724" spans="1:3" x14ac:dyDescent="0.3">
      <c r="A3724">
        <v>51747</v>
      </c>
      <c r="B3724">
        <v>1</v>
      </c>
      <c r="C3724">
        <v>8</v>
      </c>
    </row>
    <row r="3725" spans="1:3" x14ac:dyDescent="0.3">
      <c r="A3725">
        <v>51584</v>
      </c>
      <c r="B3725">
        <v>1</v>
      </c>
      <c r="C3725">
        <v>16</v>
      </c>
    </row>
    <row r="3726" spans="1:3" x14ac:dyDescent="0.3">
      <c r="A3726">
        <v>51236</v>
      </c>
      <c r="B3726">
        <v>1</v>
      </c>
      <c r="C3726">
        <v>8</v>
      </c>
    </row>
    <row r="3727" spans="1:3" x14ac:dyDescent="0.3">
      <c r="A3727">
        <v>51235</v>
      </c>
      <c r="B3727">
        <v>1</v>
      </c>
      <c r="C3727">
        <v>8</v>
      </c>
    </row>
    <row r="3728" spans="1:3" x14ac:dyDescent="0.3">
      <c r="A3728">
        <v>50609</v>
      </c>
      <c r="B3728">
        <v>1</v>
      </c>
      <c r="C3728">
        <v>8</v>
      </c>
    </row>
    <row r="3729" spans="1:3" x14ac:dyDescent="0.3">
      <c r="A3729">
        <v>50578</v>
      </c>
      <c r="B3729">
        <v>1</v>
      </c>
      <c r="C3729">
        <v>16</v>
      </c>
    </row>
    <row r="3730" spans="1:3" x14ac:dyDescent="0.3">
      <c r="A3730">
        <v>50317</v>
      </c>
      <c r="B3730">
        <v>1</v>
      </c>
      <c r="C3730">
        <v>16</v>
      </c>
    </row>
    <row r="3731" spans="1:3" x14ac:dyDescent="0.3">
      <c r="A3731">
        <v>49945</v>
      </c>
      <c r="B3731">
        <v>1</v>
      </c>
      <c r="C3731">
        <v>16</v>
      </c>
    </row>
    <row r="3732" spans="1:3" x14ac:dyDescent="0.3">
      <c r="A3732">
        <v>49765</v>
      </c>
      <c r="B3732">
        <v>1</v>
      </c>
      <c r="C3732">
        <v>8</v>
      </c>
    </row>
    <row r="3733" spans="1:3" x14ac:dyDescent="0.3">
      <c r="A3733">
        <v>49655</v>
      </c>
      <c r="B3733">
        <v>1</v>
      </c>
      <c r="C3733">
        <v>8</v>
      </c>
    </row>
    <row r="3734" spans="1:3" x14ac:dyDescent="0.3">
      <c r="A3734">
        <v>49194</v>
      </c>
      <c r="B3734">
        <v>1</v>
      </c>
      <c r="C3734">
        <v>8</v>
      </c>
    </row>
    <row r="3735" spans="1:3" x14ac:dyDescent="0.3">
      <c r="A3735">
        <v>49193</v>
      </c>
      <c r="B3735">
        <v>1</v>
      </c>
      <c r="C3735">
        <v>8</v>
      </c>
    </row>
    <row r="3736" spans="1:3" x14ac:dyDescent="0.3">
      <c r="A3736">
        <v>49080</v>
      </c>
      <c r="B3736">
        <v>1</v>
      </c>
      <c r="C3736">
        <v>8</v>
      </c>
    </row>
    <row r="3737" spans="1:3" x14ac:dyDescent="0.3">
      <c r="A3737">
        <v>49050</v>
      </c>
      <c r="B3737">
        <v>1</v>
      </c>
      <c r="C3737">
        <v>8</v>
      </c>
    </row>
    <row r="3738" spans="1:3" x14ac:dyDescent="0.3">
      <c r="A3738">
        <v>17204</v>
      </c>
      <c r="B3738">
        <v>1</v>
      </c>
      <c r="C3738">
        <v>8</v>
      </c>
    </row>
    <row r="3739" spans="1:3" x14ac:dyDescent="0.3">
      <c r="A3739">
        <v>47266</v>
      </c>
      <c r="B3739">
        <v>1</v>
      </c>
      <c r="C3739">
        <v>16</v>
      </c>
    </row>
    <row r="3740" spans="1:3" x14ac:dyDescent="0.3">
      <c r="A3740">
        <v>46223</v>
      </c>
      <c r="B3740">
        <v>1</v>
      </c>
      <c r="C3740">
        <v>16</v>
      </c>
    </row>
    <row r="3741" spans="1:3" x14ac:dyDescent="0.3">
      <c r="A3741">
        <v>43537</v>
      </c>
      <c r="B3741">
        <v>1</v>
      </c>
      <c r="C3741">
        <v>16</v>
      </c>
    </row>
    <row r="3742" spans="1:3" x14ac:dyDescent="0.3">
      <c r="A3742">
        <v>43150</v>
      </c>
      <c r="B3742">
        <v>1</v>
      </c>
      <c r="C3742">
        <v>16</v>
      </c>
    </row>
    <row r="3743" spans="1:3" x14ac:dyDescent="0.3">
      <c r="A3743">
        <v>41933</v>
      </c>
      <c r="B3743">
        <v>1</v>
      </c>
      <c r="C3743">
        <v>8</v>
      </c>
    </row>
    <row r="3744" spans="1:3" x14ac:dyDescent="0.3">
      <c r="A3744">
        <v>41492</v>
      </c>
      <c r="B3744">
        <v>1</v>
      </c>
      <c r="C3744">
        <v>8</v>
      </c>
    </row>
    <row r="3745" spans="1:3" x14ac:dyDescent="0.3">
      <c r="A3745">
        <v>18383</v>
      </c>
      <c r="B3745">
        <v>1</v>
      </c>
      <c r="C3745">
        <v>8</v>
      </c>
    </row>
    <row r="3746" spans="1:3" x14ac:dyDescent="0.3">
      <c r="A3746">
        <v>18496</v>
      </c>
      <c r="B3746">
        <v>1</v>
      </c>
      <c r="C3746">
        <v>8</v>
      </c>
    </row>
    <row r="3747" spans="1:3" x14ac:dyDescent="0.3">
      <c r="A3747">
        <v>35961</v>
      </c>
      <c r="B3747">
        <v>1</v>
      </c>
      <c r="C3747">
        <v>8</v>
      </c>
    </row>
    <row r="3748" spans="1:3" x14ac:dyDescent="0.3">
      <c r="A3748">
        <v>35070</v>
      </c>
      <c r="B3748">
        <v>1</v>
      </c>
      <c r="C3748">
        <v>8</v>
      </c>
    </row>
    <row r="3749" spans="1:3" x14ac:dyDescent="0.3">
      <c r="A3749">
        <v>35002</v>
      </c>
      <c r="B3749">
        <v>1</v>
      </c>
      <c r="C3749">
        <v>8</v>
      </c>
    </row>
    <row r="3750" spans="1:3" x14ac:dyDescent="0.3">
      <c r="A3750">
        <v>34797</v>
      </c>
      <c r="B3750">
        <v>1</v>
      </c>
      <c r="C3750">
        <v>8</v>
      </c>
    </row>
    <row r="3751" spans="1:3" x14ac:dyDescent="0.3">
      <c r="A3751">
        <v>34556</v>
      </c>
      <c r="B3751">
        <v>1</v>
      </c>
      <c r="C3751">
        <v>8</v>
      </c>
    </row>
    <row r="3752" spans="1:3" x14ac:dyDescent="0.3">
      <c r="A3752">
        <v>33697</v>
      </c>
      <c r="B3752">
        <v>1</v>
      </c>
      <c r="C3752">
        <v>8</v>
      </c>
    </row>
    <row r="3753" spans="1:3" x14ac:dyDescent="0.3">
      <c r="A3753">
        <v>33590</v>
      </c>
      <c r="B3753">
        <v>1</v>
      </c>
      <c r="C3753">
        <v>8</v>
      </c>
    </row>
    <row r="3754" spans="1:3" x14ac:dyDescent="0.3">
      <c r="A3754">
        <v>32949</v>
      </c>
      <c r="B3754">
        <v>1</v>
      </c>
      <c r="C3754">
        <v>16</v>
      </c>
    </row>
    <row r="3755" spans="1:3" x14ac:dyDescent="0.3">
      <c r="A3755">
        <v>31786</v>
      </c>
      <c r="B3755">
        <v>1</v>
      </c>
      <c r="C3755">
        <v>8</v>
      </c>
    </row>
    <row r="3756" spans="1:3" x14ac:dyDescent="0.3">
      <c r="A3756">
        <v>31355</v>
      </c>
      <c r="B3756">
        <v>1</v>
      </c>
      <c r="C3756">
        <v>8</v>
      </c>
    </row>
    <row r="3757" spans="1:3" x14ac:dyDescent="0.3">
      <c r="A3757">
        <v>31028</v>
      </c>
      <c r="B3757">
        <v>1</v>
      </c>
      <c r="C3757">
        <v>16</v>
      </c>
    </row>
    <row r="3758" spans="1:3" x14ac:dyDescent="0.3">
      <c r="A3758">
        <v>19231</v>
      </c>
      <c r="B3758">
        <v>1</v>
      </c>
      <c r="C3758">
        <v>8</v>
      </c>
    </row>
    <row r="3759" spans="1:3" x14ac:dyDescent="0.3">
      <c r="A3759">
        <v>30600</v>
      </c>
      <c r="B3759">
        <v>1</v>
      </c>
      <c r="C3759">
        <v>16</v>
      </c>
    </row>
    <row r="3760" spans="1:3" x14ac:dyDescent="0.3">
      <c r="A3760">
        <v>30330</v>
      </c>
      <c r="B3760">
        <v>1</v>
      </c>
      <c r="C3760">
        <v>8</v>
      </c>
    </row>
    <row r="3761" spans="1:3" x14ac:dyDescent="0.3">
      <c r="A3761">
        <v>30204</v>
      </c>
      <c r="B3761">
        <v>1</v>
      </c>
      <c r="C3761">
        <v>8</v>
      </c>
    </row>
    <row r="3762" spans="1:3" x14ac:dyDescent="0.3">
      <c r="A3762">
        <v>30155</v>
      </c>
      <c r="B3762">
        <v>1</v>
      </c>
      <c r="C3762">
        <v>8</v>
      </c>
    </row>
    <row r="3763" spans="1:3" x14ac:dyDescent="0.3">
      <c r="A3763">
        <v>28620</v>
      </c>
      <c r="B3763">
        <v>1</v>
      </c>
      <c r="C3763">
        <v>8</v>
      </c>
    </row>
    <row r="3764" spans="1:3" x14ac:dyDescent="0.3">
      <c r="A3764">
        <v>28617</v>
      </c>
      <c r="B3764">
        <v>1</v>
      </c>
      <c r="C3764">
        <v>8</v>
      </c>
    </row>
    <row r="3765" spans="1:3" x14ac:dyDescent="0.3">
      <c r="A3765">
        <v>19752</v>
      </c>
      <c r="B3765">
        <v>1</v>
      </c>
      <c r="C3765">
        <v>8</v>
      </c>
    </row>
    <row r="3766" spans="1:3" x14ac:dyDescent="0.3">
      <c r="A3766">
        <v>27489</v>
      </c>
      <c r="B3766">
        <v>1</v>
      </c>
      <c r="C3766">
        <v>8</v>
      </c>
    </row>
    <row r="3767" spans="1:3" x14ac:dyDescent="0.3">
      <c r="A3767">
        <v>27333</v>
      </c>
      <c r="B3767">
        <v>1</v>
      </c>
      <c r="C3767">
        <v>8</v>
      </c>
    </row>
    <row r="3768" spans="1:3" x14ac:dyDescent="0.3">
      <c r="A3768">
        <v>27023</v>
      </c>
      <c r="B3768">
        <v>1</v>
      </c>
      <c r="C3768">
        <v>16</v>
      </c>
    </row>
    <row r="3769" spans="1:3" x14ac:dyDescent="0.3">
      <c r="A3769">
        <v>27022</v>
      </c>
      <c r="B3769">
        <v>1</v>
      </c>
      <c r="C3769">
        <v>8</v>
      </c>
    </row>
    <row r="3770" spans="1:3" x14ac:dyDescent="0.3">
      <c r="A3770">
        <v>26780</v>
      </c>
      <c r="B3770">
        <v>1</v>
      </c>
      <c r="C3770">
        <v>8</v>
      </c>
    </row>
    <row r="3771" spans="1:3" x14ac:dyDescent="0.3">
      <c r="A3771">
        <v>26511</v>
      </c>
      <c r="B3771">
        <v>1</v>
      </c>
      <c r="C3771">
        <v>8</v>
      </c>
    </row>
    <row r="3772" spans="1:3" x14ac:dyDescent="0.3">
      <c r="A3772">
        <v>26510</v>
      </c>
      <c r="B3772">
        <v>1</v>
      </c>
      <c r="C3772">
        <v>8</v>
      </c>
    </row>
    <row r="3773" spans="1:3" x14ac:dyDescent="0.3">
      <c r="A3773">
        <v>26509</v>
      </c>
      <c r="B3773">
        <v>1</v>
      </c>
      <c r="C3773">
        <v>8</v>
      </c>
    </row>
    <row r="3774" spans="1:3" x14ac:dyDescent="0.3">
      <c r="A3774">
        <v>26247</v>
      </c>
      <c r="B3774">
        <v>1</v>
      </c>
      <c r="C3774">
        <v>8</v>
      </c>
    </row>
    <row r="3775" spans="1:3" x14ac:dyDescent="0.3">
      <c r="A3775">
        <v>25813</v>
      </c>
      <c r="B3775">
        <v>1</v>
      </c>
      <c r="C3775">
        <v>8</v>
      </c>
    </row>
    <row r="3776" spans="1:3" x14ac:dyDescent="0.3">
      <c r="A3776">
        <v>24956</v>
      </c>
      <c r="B3776">
        <v>1</v>
      </c>
      <c r="C3776">
        <v>8</v>
      </c>
    </row>
    <row r="3777" spans="1:3" x14ac:dyDescent="0.3">
      <c r="A3777">
        <v>24955</v>
      </c>
      <c r="B3777">
        <v>1</v>
      </c>
      <c r="C3777">
        <v>16</v>
      </c>
    </row>
    <row r="3778" spans="1:3" x14ac:dyDescent="0.3">
      <c r="A3778">
        <v>24749</v>
      </c>
      <c r="B3778">
        <v>1</v>
      </c>
      <c r="C3778">
        <v>8</v>
      </c>
    </row>
    <row r="3779" spans="1:3" x14ac:dyDescent="0.3">
      <c r="A3779">
        <v>24277</v>
      </c>
      <c r="B3779">
        <v>1</v>
      </c>
      <c r="C3779">
        <v>8</v>
      </c>
    </row>
    <row r="3780" spans="1:3" x14ac:dyDescent="0.3">
      <c r="A3780">
        <v>24111</v>
      </c>
      <c r="B3780">
        <v>1</v>
      </c>
      <c r="C3780">
        <v>8</v>
      </c>
    </row>
    <row r="3781" spans="1:3" x14ac:dyDescent="0.3">
      <c r="A3781">
        <v>20855</v>
      </c>
      <c r="B3781">
        <v>1</v>
      </c>
      <c r="C3781">
        <v>8</v>
      </c>
    </row>
    <row r="3782" spans="1:3" x14ac:dyDescent="0.3">
      <c r="A3782">
        <v>22617</v>
      </c>
      <c r="B3782">
        <v>1</v>
      </c>
      <c r="C3782">
        <v>8</v>
      </c>
    </row>
    <row r="3783" spans="1:3" x14ac:dyDescent="0.3">
      <c r="A3783">
        <v>21132</v>
      </c>
      <c r="B3783">
        <v>1</v>
      </c>
      <c r="C3783">
        <v>8</v>
      </c>
    </row>
    <row r="3784" spans="1:3" x14ac:dyDescent="0.3">
      <c r="A3784">
        <v>21131</v>
      </c>
      <c r="B3784">
        <v>1</v>
      </c>
      <c r="C3784">
        <v>8</v>
      </c>
    </row>
    <row r="3785" spans="1:3" x14ac:dyDescent="0.3">
      <c r="A3785">
        <v>21130</v>
      </c>
      <c r="B3785">
        <v>1</v>
      </c>
      <c r="C3785">
        <v>8</v>
      </c>
    </row>
    <row r="3786" spans="1:3" x14ac:dyDescent="0.3">
      <c r="A3786">
        <v>21129</v>
      </c>
      <c r="B3786">
        <v>1</v>
      </c>
      <c r="C3786">
        <v>8</v>
      </c>
    </row>
    <row r="3787" spans="1:3" x14ac:dyDescent="0.3">
      <c r="A3787">
        <v>21128</v>
      </c>
      <c r="B3787">
        <v>1</v>
      </c>
      <c r="C3787">
        <v>8</v>
      </c>
    </row>
    <row r="3788" spans="1:3" x14ac:dyDescent="0.3">
      <c r="A3788">
        <v>21127</v>
      </c>
      <c r="B3788">
        <v>1</v>
      </c>
      <c r="C3788">
        <v>8</v>
      </c>
    </row>
    <row r="3789" spans="1:3" x14ac:dyDescent="0.3">
      <c r="A3789">
        <v>21126</v>
      </c>
      <c r="B3789">
        <v>1</v>
      </c>
      <c r="C3789">
        <v>8</v>
      </c>
    </row>
    <row r="3790" spans="1:3" x14ac:dyDescent="0.3">
      <c r="A3790">
        <v>79096</v>
      </c>
      <c r="B3790">
        <v>1</v>
      </c>
      <c r="C3790">
        <v>8</v>
      </c>
    </row>
    <row r="3791" spans="1:3" x14ac:dyDescent="0.3">
      <c r="A3791">
        <v>78528</v>
      </c>
      <c r="B3791">
        <v>1</v>
      </c>
      <c r="C3791">
        <v>8</v>
      </c>
    </row>
    <row r="3792" spans="1:3" x14ac:dyDescent="0.3">
      <c r="A3792">
        <v>78382</v>
      </c>
      <c r="B3792">
        <v>2</v>
      </c>
      <c r="C3792">
        <v>8</v>
      </c>
    </row>
    <row r="3793" spans="1:3" x14ac:dyDescent="0.3">
      <c r="A3793">
        <v>78298</v>
      </c>
      <c r="B3793">
        <v>2</v>
      </c>
      <c r="C3793">
        <v>8</v>
      </c>
    </row>
    <row r="3794" spans="1:3" x14ac:dyDescent="0.3">
      <c r="A3794">
        <v>76731</v>
      </c>
      <c r="B3794">
        <v>1</v>
      </c>
      <c r="C3794">
        <v>8</v>
      </c>
    </row>
    <row r="3795" spans="1:3" x14ac:dyDescent="0.3">
      <c r="A3795">
        <v>76010</v>
      </c>
      <c r="B3795">
        <v>2</v>
      </c>
      <c r="C3795">
        <v>16</v>
      </c>
    </row>
    <row r="3796" spans="1:3" x14ac:dyDescent="0.3">
      <c r="A3796">
        <v>76010</v>
      </c>
      <c r="B3796">
        <v>2</v>
      </c>
      <c r="C3796">
        <v>16</v>
      </c>
    </row>
    <row r="3797" spans="1:3" x14ac:dyDescent="0.3">
      <c r="A3797">
        <v>70850</v>
      </c>
      <c r="B3797">
        <v>1</v>
      </c>
      <c r="C3797">
        <v>8</v>
      </c>
    </row>
    <row r="3798" spans="1:3" x14ac:dyDescent="0.3">
      <c r="A3798">
        <v>13041</v>
      </c>
      <c r="B3798">
        <v>1</v>
      </c>
      <c r="C3798">
        <v>16</v>
      </c>
    </row>
    <row r="3799" spans="1:3" x14ac:dyDescent="0.3">
      <c r="A3799">
        <v>68970</v>
      </c>
      <c r="B3799">
        <v>1</v>
      </c>
      <c r="C3799">
        <v>8</v>
      </c>
    </row>
    <row r="3800" spans="1:3" x14ac:dyDescent="0.3">
      <c r="A3800">
        <v>67622</v>
      </c>
      <c r="B3800">
        <v>1</v>
      </c>
      <c r="C3800">
        <v>8</v>
      </c>
    </row>
    <row r="3801" spans="1:3" x14ac:dyDescent="0.3">
      <c r="A3801">
        <v>67380</v>
      </c>
      <c r="B3801">
        <v>2</v>
      </c>
      <c r="C3801">
        <v>16</v>
      </c>
    </row>
    <row r="3802" spans="1:3" x14ac:dyDescent="0.3">
      <c r="A3802">
        <v>67380</v>
      </c>
      <c r="B3802">
        <v>2</v>
      </c>
      <c r="C3802">
        <v>16</v>
      </c>
    </row>
    <row r="3803" spans="1:3" x14ac:dyDescent="0.3">
      <c r="A3803">
        <v>65316</v>
      </c>
      <c r="B3803">
        <v>1</v>
      </c>
      <c r="C3803">
        <v>8</v>
      </c>
    </row>
    <row r="3804" spans="1:3" x14ac:dyDescent="0.3">
      <c r="A3804">
        <v>14543</v>
      </c>
      <c r="B3804">
        <v>2</v>
      </c>
      <c r="C3804">
        <v>8</v>
      </c>
    </row>
    <row r="3805" spans="1:3" x14ac:dyDescent="0.3">
      <c r="A3805">
        <v>64175</v>
      </c>
      <c r="B3805">
        <v>1</v>
      </c>
      <c r="C3805">
        <v>8</v>
      </c>
    </row>
    <row r="3806" spans="1:3" x14ac:dyDescent="0.3">
      <c r="A3806">
        <v>63485</v>
      </c>
      <c r="B3806">
        <v>2</v>
      </c>
      <c r="C3806">
        <v>16</v>
      </c>
    </row>
    <row r="3807" spans="1:3" x14ac:dyDescent="0.3">
      <c r="A3807">
        <v>63485</v>
      </c>
      <c r="B3807">
        <v>2</v>
      </c>
      <c r="C3807">
        <v>16</v>
      </c>
    </row>
    <row r="3808" spans="1:3" x14ac:dyDescent="0.3">
      <c r="A3808">
        <v>61606</v>
      </c>
      <c r="B3808">
        <v>1</v>
      </c>
      <c r="C3808">
        <v>8</v>
      </c>
    </row>
    <row r="3809" spans="1:3" x14ac:dyDescent="0.3">
      <c r="A3809">
        <v>61235</v>
      </c>
      <c r="B3809">
        <v>1</v>
      </c>
      <c r="C3809">
        <v>8</v>
      </c>
    </row>
    <row r="3810" spans="1:3" x14ac:dyDescent="0.3">
      <c r="A3810">
        <v>60996</v>
      </c>
      <c r="B3810">
        <v>1</v>
      </c>
      <c r="C3810">
        <v>16</v>
      </c>
    </row>
    <row r="3811" spans="1:3" x14ac:dyDescent="0.3">
      <c r="A3811">
        <v>60123</v>
      </c>
      <c r="B3811">
        <v>1</v>
      </c>
      <c r="C3811">
        <v>8</v>
      </c>
    </row>
    <row r="3812" spans="1:3" x14ac:dyDescent="0.3">
      <c r="A3812">
        <v>59249</v>
      </c>
      <c r="B3812">
        <v>1</v>
      </c>
      <c r="C3812">
        <v>16</v>
      </c>
    </row>
    <row r="3813" spans="1:3" x14ac:dyDescent="0.3">
      <c r="A3813">
        <v>58686</v>
      </c>
      <c r="B3813">
        <v>1</v>
      </c>
      <c r="C3813">
        <v>8</v>
      </c>
    </row>
    <row r="3814" spans="1:3" x14ac:dyDescent="0.3">
      <c r="A3814">
        <v>58685</v>
      </c>
      <c r="B3814">
        <v>1</v>
      </c>
      <c r="C3814">
        <v>16</v>
      </c>
    </row>
    <row r="3815" spans="1:3" x14ac:dyDescent="0.3">
      <c r="A3815">
        <v>55942</v>
      </c>
      <c r="B3815">
        <v>1</v>
      </c>
      <c r="C3815">
        <v>16</v>
      </c>
    </row>
    <row r="3816" spans="1:3" x14ac:dyDescent="0.3">
      <c r="A3816">
        <v>54471</v>
      </c>
      <c r="B3816">
        <v>2</v>
      </c>
      <c r="C3816">
        <v>16</v>
      </c>
    </row>
    <row r="3817" spans="1:3" x14ac:dyDescent="0.3">
      <c r="A3817">
        <v>16255</v>
      </c>
      <c r="B3817">
        <v>1</v>
      </c>
      <c r="C3817">
        <v>8</v>
      </c>
    </row>
    <row r="3818" spans="1:3" x14ac:dyDescent="0.3">
      <c r="A3818">
        <v>53378</v>
      </c>
      <c r="B3818">
        <v>1</v>
      </c>
      <c r="C3818">
        <v>16</v>
      </c>
    </row>
    <row r="3819" spans="1:3" x14ac:dyDescent="0.3">
      <c r="A3819">
        <v>51442</v>
      </c>
      <c r="B3819">
        <v>2</v>
      </c>
      <c r="C3819">
        <v>16</v>
      </c>
    </row>
    <row r="3820" spans="1:3" x14ac:dyDescent="0.3">
      <c r="A3820">
        <v>51442</v>
      </c>
      <c r="B3820">
        <v>2</v>
      </c>
      <c r="C3820">
        <v>16</v>
      </c>
    </row>
    <row r="3821" spans="1:3" x14ac:dyDescent="0.3">
      <c r="A3821">
        <v>16749</v>
      </c>
      <c r="B3821">
        <v>1</v>
      </c>
      <c r="C3821">
        <v>8</v>
      </c>
    </row>
    <row r="3822" spans="1:3" x14ac:dyDescent="0.3">
      <c r="A3822">
        <v>50893</v>
      </c>
      <c r="B3822">
        <v>1</v>
      </c>
      <c r="C3822">
        <v>8</v>
      </c>
    </row>
    <row r="3823" spans="1:3" x14ac:dyDescent="0.3">
      <c r="A3823">
        <v>50633</v>
      </c>
      <c r="B3823">
        <v>1</v>
      </c>
      <c r="C3823">
        <v>8</v>
      </c>
    </row>
    <row r="3824" spans="1:3" x14ac:dyDescent="0.3">
      <c r="A3824">
        <v>49348</v>
      </c>
      <c r="B3824">
        <v>2</v>
      </c>
      <c r="C3824">
        <v>16</v>
      </c>
    </row>
    <row r="3825" spans="1:3" x14ac:dyDescent="0.3">
      <c r="A3825">
        <v>49348</v>
      </c>
      <c r="B3825">
        <v>2</v>
      </c>
      <c r="C3825">
        <v>16</v>
      </c>
    </row>
    <row r="3826" spans="1:3" x14ac:dyDescent="0.3">
      <c r="A3826">
        <v>48408</v>
      </c>
      <c r="B3826">
        <v>3</v>
      </c>
      <c r="C3826">
        <v>16</v>
      </c>
    </row>
    <row r="3827" spans="1:3" x14ac:dyDescent="0.3">
      <c r="A3827">
        <v>48408</v>
      </c>
      <c r="B3827">
        <v>3</v>
      </c>
      <c r="C3827">
        <v>16</v>
      </c>
    </row>
    <row r="3828" spans="1:3" x14ac:dyDescent="0.3">
      <c r="A3828">
        <v>48408</v>
      </c>
      <c r="B3828">
        <v>3</v>
      </c>
      <c r="C3828">
        <v>16</v>
      </c>
    </row>
    <row r="3829" spans="1:3" x14ac:dyDescent="0.3">
      <c r="A3829">
        <v>17271</v>
      </c>
      <c r="B3829">
        <v>1</v>
      </c>
      <c r="C3829">
        <v>8</v>
      </c>
    </row>
    <row r="3830" spans="1:3" x14ac:dyDescent="0.3">
      <c r="A3830">
        <v>17466</v>
      </c>
      <c r="B3830">
        <v>1</v>
      </c>
      <c r="C3830">
        <v>8</v>
      </c>
    </row>
    <row r="3831" spans="1:3" x14ac:dyDescent="0.3">
      <c r="A3831">
        <v>46763</v>
      </c>
      <c r="B3831">
        <v>2</v>
      </c>
      <c r="C3831">
        <v>16</v>
      </c>
    </row>
    <row r="3832" spans="1:3" x14ac:dyDescent="0.3">
      <c r="A3832">
        <v>46477</v>
      </c>
      <c r="B3832">
        <v>2</v>
      </c>
      <c r="C3832">
        <v>8</v>
      </c>
    </row>
    <row r="3833" spans="1:3" x14ac:dyDescent="0.3">
      <c r="A3833">
        <v>46477</v>
      </c>
      <c r="B3833">
        <v>2</v>
      </c>
      <c r="C3833">
        <v>8</v>
      </c>
    </row>
    <row r="3834" spans="1:3" x14ac:dyDescent="0.3">
      <c r="A3834">
        <v>46185</v>
      </c>
      <c r="B3834">
        <v>2</v>
      </c>
      <c r="C3834">
        <v>16</v>
      </c>
    </row>
    <row r="3835" spans="1:3" x14ac:dyDescent="0.3">
      <c r="A3835">
        <v>46185</v>
      </c>
      <c r="B3835">
        <v>2</v>
      </c>
      <c r="C3835">
        <v>16</v>
      </c>
    </row>
    <row r="3836" spans="1:3" x14ac:dyDescent="0.3">
      <c r="A3836">
        <v>43949</v>
      </c>
      <c r="B3836">
        <v>2</v>
      </c>
      <c r="C3836">
        <v>16</v>
      </c>
    </row>
    <row r="3837" spans="1:3" x14ac:dyDescent="0.3">
      <c r="A3837">
        <v>43218</v>
      </c>
      <c r="B3837">
        <v>2</v>
      </c>
      <c r="C3837">
        <v>16</v>
      </c>
    </row>
    <row r="3838" spans="1:3" x14ac:dyDescent="0.3">
      <c r="A3838">
        <v>18095</v>
      </c>
      <c r="B3838">
        <v>4</v>
      </c>
      <c r="C3838">
        <v>16</v>
      </c>
    </row>
    <row r="3839" spans="1:3" x14ac:dyDescent="0.3">
      <c r="A3839">
        <v>40034</v>
      </c>
      <c r="B3839">
        <v>1</v>
      </c>
      <c r="C3839">
        <v>8</v>
      </c>
    </row>
    <row r="3840" spans="1:3" x14ac:dyDescent="0.3">
      <c r="A3840">
        <v>38936</v>
      </c>
      <c r="B3840">
        <v>2</v>
      </c>
      <c r="C3840">
        <v>16</v>
      </c>
    </row>
    <row r="3841" spans="1:3" x14ac:dyDescent="0.3">
      <c r="A3841">
        <v>38936</v>
      </c>
      <c r="B3841">
        <v>2</v>
      </c>
      <c r="C3841">
        <v>16</v>
      </c>
    </row>
    <row r="3842" spans="1:3" x14ac:dyDescent="0.3">
      <c r="A3842">
        <v>30812</v>
      </c>
      <c r="B3842">
        <v>1</v>
      </c>
      <c r="C3842">
        <v>8</v>
      </c>
    </row>
    <row r="3843" spans="1:3" x14ac:dyDescent="0.3">
      <c r="A3843">
        <v>25829</v>
      </c>
      <c r="B3843">
        <v>2</v>
      </c>
      <c r="C3843">
        <v>16</v>
      </c>
    </row>
    <row r="3844" spans="1:3" x14ac:dyDescent="0.3">
      <c r="A3844">
        <v>25829</v>
      </c>
      <c r="B3844">
        <v>2</v>
      </c>
      <c r="C3844">
        <v>16</v>
      </c>
    </row>
    <row r="3845" spans="1:3" x14ac:dyDescent="0.3">
      <c r="A3845">
        <v>20586</v>
      </c>
      <c r="B3845">
        <v>1</v>
      </c>
      <c r="C3845">
        <v>8</v>
      </c>
    </row>
    <row r="3846" spans="1:3" x14ac:dyDescent="0.3">
      <c r="A3846">
        <v>80609</v>
      </c>
      <c r="B3846">
        <v>1</v>
      </c>
      <c r="C3846">
        <v>8</v>
      </c>
    </row>
    <row r="3847" spans="1:3" x14ac:dyDescent="0.3">
      <c r="A3847">
        <v>80608</v>
      </c>
      <c r="B3847">
        <v>1</v>
      </c>
      <c r="C3847">
        <v>8</v>
      </c>
    </row>
    <row r="3848" spans="1:3" x14ac:dyDescent="0.3">
      <c r="A3848">
        <v>80607</v>
      </c>
      <c r="B3848">
        <v>1</v>
      </c>
      <c r="C3848">
        <v>8</v>
      </c>
    </row>
    <row r="3849" spans="1:3" x14ac:dyDescent="0.3">
      <c r="A3849">
        <v>80606</v>
      </c>
      <c r="B3849">
        <v>1</v>
      </c>
      <c r="C3849">
        <v>8</v>
      </c>
    </row>
    <row r="3850" spans="1:3" x14ac:dyDescent="0.3">
      <c r="A3850">
        <v>80605</v>
      </c>
      <c r="B3850">
        <v>1</v>
      </c>
      <c r="C3850">
        <v>8</v>
      </c>
    </row>
    <row r="3851" spans="1:3" x14ac:dyDescent="0.3">
      <c r="A3851">
        <v>80561</v>
      </c>
      <c r="B3851">
        <v>1</v>
      </c>
      <c r="C3851">
        <v>8</v>
      </c>
    </row>
    <row r="3852" spans="1:3" x14ac:dyDescent="0.3">
      <c r="A3852">
        <v>80560</v>
      </c>
      <c r="B3852">
        <v>1</v>
      </c>
      <c r="C3852">
        <v>8</v>
      </c>
    </row>
    <row r="3853" spans="1:3" x14ac:dyDescent="0.3">
      <c r="A3853">
        <v>80559</v>
      </c>
      <c r="B3853">
        <v>1</v>
      </c>
      <c r="C3853">
        <v>8</v>
      </c>
    </row>
    <row r="3854" spans="1:3" x14ac:dyDescent="0.3">
      <c r="A3854">
        <v>80373</v>
      </c>
      <c r="B3854">
        <v>1</v>
      </c>
      <c r="C3854">
        <v>8</v>
      </c>
    </row>
    <row r="3855" spans="1:3" x14ac:dyDescent="0.3">
      <c r="A3855">
        <v>80372</v>
      </c>
      <c r="B3855">
        <v>1</v>
      </c>
      <c r="C3855">
        <v>8</v>
      </c>
    </row>
    <row r="3856" spans="1:3" x14ac:dyDescent="0.3">
      <c r="A3856">
        <v>80273</v>
      </c>
      <c r="B3856">
        <v>1</v>
      </c>
      <c r="C3856">
        <v>8</v>
      </c>
    </row>
    <row r="3857" spans="1:3" x14ac:dyDescent="0.3">
      <c r="A3857">
        <v>80272</v>
      </c>
      <c r="B3857">
        <v>1</v>
      </c>
      <c r="C3857">
        <v>8</v>
      </c>
    </row>
    <row r="3858" spans="1:3" x14ac:dyDescent="0.3">
      <c r="A3858">
        <v>80155</v>
      </c>
      <c r="B3858">
        <v>1</v>
      </c>
      <c r="C3858">
        <v>8</v>
      </c>
    </row>
    <row r="3859" spans="1:3" x14ac:dyDescent="0.3">
      <c r="A3859">
        <v>80154</v>
      </c>
      <c r="B3859">
        <v>1</v>
      </c>
      <c r="C3859">
        <v>8</v>
      </c>
    </row>
    <row r="3860" spans="1:3" x14ac:dyDescent="0.3">
      <c r="A3860">
        <v>80153</v>
      </c>
      <c r="B3860">
        <v>1</v>
      </c>
      <c r="C3860">
        <v>8</v>
      </c>
    </row>
    <row r="3861" spans="1:3" x14ac:dyDescent="0.3">
      <c r="A3861">
        <v>80023</v>
      </c>
      <c r="B3861">
        <v>1</v>
      </c>
      <c r="C3861">
        <v>8</v>
      </c>
    </row>
    <row r="3862" spans="1:3" x14ac:dyDescent="0.3">
      <c r="A3862">
        <v>80022</v>
      </c>
      <c r="B3862">
        <v>1</v>
      </c>
      <c r="C3862">
        <v>8</v>
      </c>
    </row>
    <row r="3863" spans="1:3" x14ac:dyDescent="0.3">
      <c r="A3863">
        <v>79514</v>
      </c>
      <c r="B3863">
        <v>1</v>
      </c>
      <c r="C3863">
        <v>8</v>
      </c>
    </row>
    <row r="3864" spans="1:3" x14ac:dyDescent="0.3">
      <c r="A3864">
        <v>79391</v>
      </c>
      <c r="B3864">
        <v>1</v>
      </c>
      <c r="C3864">
        <v>8</v>
      </c>
    </row>
    <row r="3865" spans="1:3" x14ac:dyDescent="0.3">
      <c r="A3865">
        <v>79095</v>
      </c>
      <c r="B3865">
        <v>1</v>
      </c>
      <c r="C3865">
        <v>16</v>
      </c>
    </row>
    <row r="3866" spans="1:3" x14ac:dyDescent="0.3">
      <c r="A3866">
        <v>79094</v>
      </c>
      <c r="B3866">
        <v>1</v>
      </c>
      <c r="C3866">
        <v>8</v>
      </c>
    </row>
    <row r="3867" spans="1:3" x14ac:dyDescent="0.3">
      <c r="A3867">
        <v>79093</v>
      </c>
      <c r="B3867">
        <v>1</v>
      </c>
      <c r="C3867">
        <v>8</v>
      </c>
    </row>
    <row r="3868" spans="1:3" x14ac:dyDescent="0.3">
      <c r="A3868">
        <v>78956</v>
      </c>
      <c r="B3868">
        <v>1</v>
      </c>
      <c r="C3868">
        <v>8</v>
      </c>
    </row>
    <row r="3869" spans="1:3" x14ac:dyDescent="0.3">
      <c r="A3869">
        <v>78955</v>
      </c>
      <c r="B3869">
        <v>1</v>
      </c>
      <c r="C3869">
        <v>8</v>
      </c>
    </row>
    <row r="3870" spans="1:3" x14ac:dyDescent="0.3">
      <c r="A3870">
        <v>78954</v>
      </c>
      <c r="B3870">
        <v>1</v>
      </c>
      <c r="C3870">
        <v>8</v>
      </c>
    </row>
    <row r="3871" spans="1:3" x14ac:dyDescent="0.3">
      <c r="A3871">
        <v>78381</v>
      </c>
      <c r="B3871">
        <v>1</v>
      </c>
      <c r="C3871">
        <v>8</v>
      </c>
    </row>
    <row r="3872" spans="1:3" x14ac:dyDescent="0.3">
      <c r="A3872">
        <v>78299</v>
      </c>
      <c r="B3872">
        <v>1</v>
      </c>
      <c r="C3872">
        <v>8</v>
      </c>
    </row>
    <row r="3873" spans="1:3" x14ac:dyDescent="0.3">
      <c r="A3873">
        <v>78083</v>
      </c>
      <c r="B3873">
        <v>1</v>
      </c>
      <c r="C3873">
        <v>8</v>
      </c>
    </row>
    <row r="3874" spans="1:3" x14ac:dyDescent="0.3">
      <c r="A3874">
        <v>78082</v>
      </c>
      <c r="B3874">
        <v>1</v>
      </c>
      <c r="C3874">
        <v>8</v>
      </c>
    </row>
    <row r="3875" spans="1:3" x14ac:dyDescent="0.3">
      <c r="A3875">
        <v>77897</v>
      </c>
      <c r="B3875">
        <v>1</v>
      </c>
      <c r="C3875">
        <v>8</v>
      </c>
    </row>
    <row r="3876" spans="1:3" x14ac:dyDescent="0.3">
      <c r="A3876">
        <v>77896</v>
      </c>
      <c r="B3876">
        <v>1</v>
      </c>
      <c r="C3876">
        <v>8</v>
      </c>
    </row>
    <row r="3877" spans="1:3" x14ac:dyDescent="0.3">
      <c r="A3877">
        <v>77676</v>
      </c>
      <c r="B3877">
        <v>1</v>
      </c>
      <c r="C3877">
        <v>8</v>
      </c>
    </row>
    <row r="3878" spans="1:3" x14ac:dyDescent="0.3">
      <c r="A3878">
        <v>77543</v>
      </c>
      <c r="B3878">
        <v>1</v>
      </c>
      <c r="C3878">
        <v>8</v>
      </c>
    </row>
    <row r="3879" spans="1:3" x14ac:dyDescent="0.3">
      <c r="A3879">
        <v>77541</v>
      </c>
      <c r="B3879">
        <v>1</v>
      </c>
      <c r="C3879">
        <v>8</v>
      </c>
    </row>
    <row r="3880" spans="1:3" x14ac:dyDescent="0.3">
      <c r="A3880">
        <v>77458</v>
      </c>
      <c r="B3880">
        <v>1</v>
      </c>
      <c r="C3880">
        <v>8</v>
      </c>
    </row>
    <row r="3881" spans="1:3" x14ac:dyDescent="0.3">
      <c r="A3881">
        <v>77457</v>
      </c>
      <c r="B3881">
        <v>1</v>
      </c>
      <c r="C3881">
        <v>8</v>
      </c>
    </row>
    <row r="3882" spans="1:3" x14ac:dyDescent="0.3">
      <c r="A3882">
        <v>77456</v>
      </c>
      <c r="B3882">
        <v>1</v>
      </c>
      <c r="C3882">
        <v>8</v>
      </c>
    </row>
    <row r="3883" spans="1:3" x14ac:dyDescent="0.3">
      <c r="A3883">
        <v>77080</v>
      </c>
      <c r="B3883">
        <v>1</v>
      </c>
      <c r="C3883">
        <v>8</v>
      </c>
    </row>
    <row r="3884" spans="1:3" x14ac:dyDescent="0.3">
      <c r="A3884">
        <v>77021</v>
      </c>
      <c r="B3884">
        <v>1</v>
      </c>
      <c r="C3884">
        <v>8</v>
      </c>
    </row>
    <row r="3885" spans="1:3" x14ac:dyDescent="0.3">
      <c r="A3885">
        <v>77020</v>
      </c>
      <c r="B3885">
        <v>1</v>
      </c>
      <c r="C3885">
        <v>8</v>
      </c>
    </row>
    <row r="3886" spans="1:3" x14ac:dyDescent="0.3">
      <c r="A3886">
        <v>76457</v>
      </c>
      <c r="B3886">
        <v>1</v>
      </c>
      <c r="C3886">
        <v>8</v>
      </c>
    </row>
    <row r="3887" spans="1:3" x14ac:dyDescent="0.3">
      <c r="A3887">
        <v>75851</v>
      </c>
      <c r="B3887">
        <v>1</v>
      </c>
      <c r="C3887">
        <v>8</v>
      </c>
    </row>
    <row r="3888" spans="1:3" x14ac:dyDescent="0.3">
      <c r="A3888">
        <v>75800</v>
      </c>
      <c r="B3888">
        <v>1</v>
      </c>
      <c r="C3888">
        <v>8</v>
      </c>
    </row>
    <row r="3889" spans="1:3" x14ac:dyDescent="0.3">
      <c r="A3889">
        <v>75681</v>
      </c>
      <c r="B3889">
        <v>1</v>
      </c>
      <c r="C3889">
        <v>8</v>
      </c>
    </row>
    <row r="3890" spans="1:3" x14ac:dyDescent="0.3">
      <c r="A3890">
        <v>75496</v>
      </c>
      <c r="B3890">
        <v>1</v>
      </c>
      <c r="C3890">
        <v>8</v>
      </c>
    </row>
    <row r="3891" spans="1:3" x14ac:dyDescent="0.3">
      <c r="A3891">
        <v>75410</v>
      </c>
      <c r="B3891">
        <v>1</v>
      </c>
      <c r="C3891">
        <v>8</v>
      </c>
    </row>
    <row r="3892" spans="1:3" x14ac:dyDescent="0.3">
      <c r="A3892">
        <v>75286</v>
      </c>
      <c r="B3892">
        <v>1</v>
      </c>
      <c r="C3892">
        <v>8</v>
      </c>
    </row>
    <row r="3893" spans="1:3" x14ac:dyDescent="0.3">
      <c r="A3893">
        <v>75098</v>
      </c>
      <c r="B3893">
        <v>1</v>
      </c>
      <c r="C3893">
        <v>8</v>
      </c>
    </row>
    <row r="3894" spans="1:3" x14ac:dyDescent="0.3">
      <c r="A3894">
        <v>75097</v>
      </c>
      <c r="B3894">
        <v>1</v>
      </c>
      <c r="C3894">
        <v>16</v>
      </c>
    </row>
    <row r="3895" spans="1:3" x14ac:dyDescent="0.3">
      <c r="A3895">
        <v>75096</v>
      </c>
      <c r="B3895">
        <v>1</v>
      </c>
      <c r="C3895">
        <v>8</v>
      </c>
    </row>
    <row r="3896" spans="1:3" x14ac:dyDescent="0.3">
      <c r="A3896">
        <v>74965</v>
      </c>
      <c r="B3896">
        <v>1</v>
      </c>
      <c r="C3896">
        <v>8</v>
      </c>
    </row>
    <row r="3897" spans="1:3" x14ac:dyDescent="0.3">
      <c r="A3897">
        <v>74922</v>
      </c>
      <c r="B3897">
        <v>1</v>
      </c>
      <c r="C3897">
        <v>8</v>
      </c>
    </row>
    <row r="3898" spans="1:3" x14ac:dyDescent="0.3">
      <c r="A3898">
        <v>74921</v>
      </c>
      <c r="B3898">
        <v>1</v>
      </c>
      <c r="C3898">
        <v>8</v>
      </c>
    </row>
    <row r="3899" spans="1:3" x14ac:dyDescent="0.3">
      <c r="A3899">
        <v>74877</v>
      </c>
      <c r="B3899">
        <v>1</v>
      </c>
      <c r="C3899">
        <v>8</v>
      </c>
    </row>
    <row r="3900" spans="1:3" x14ac:dyDescent="0.3">
      <c r="A3900">
        <v>74797</v>
      </c>
      <c r="B3900">
        <v>1</v>
      </c>
      <c r="C3900">
        <v>8</v>
      </c>
    </row>
    <row r="3901" spans="1:3" x14ac:dyDescent="0.3">
      <c r="A3901">
        <v>74796</v>
      </c>
      <c r="B3901">
        <v>1</v>
      </c>
      <c r="C3901">
        <v>8</v>
      </c>
    </row>
    <row r="3902" spans="1:3" x14ac:dyDescent="0.3">
      <c r="A3902">
        <v>74795</v>
      </c>
      <c r="B3902">
        <v>1</v>
      </c>
      <c r="C3902">
        <v>8</v>
      </c>
    </row>
    <row r="3903" spans="1:3" x14ac:dyDescent="0.3">
      <c r="A3903">
        <v>74554</v>
      </c>
      <c r="B3903">
        <v>1</v>
      </c>
      <c r="C3903">
        <v>8</v>
      </c>
    </row>
    <row r="3904" spans="1:3" x14ac:dyDescent="0.3">
      <c r="A3904">
        <v>74482</v>
      </c>
      <c r="B3904">
        <v>1</v>
      </c>
      <c r="C3904">
        <v>8</v>
      </c>
    </row>
    <row r="3905" spans="1:3" x14ac:dyDescent="0.3">
      <c r="A3905">
        <v>74481</v>
      </c>
      <c r="B3905">
        <v>1</v>
      </c>
      <c r="C3905">
        <v>8</v>
      </c>
    </row>
    <row r="3906" spans="1:3" x14ac:dyDescent="0.3">
      <c r="A3906">
        <v>74429</v>
      </c>
      <c r="B3906">
        <v>1</v>
      </c>
      <c r="C3906">
        <v>8</v>
      </c>
    </row>
    <row r="3907" spans="1:3" x14ac:dyDescent="0.3">
      <c r="A3907">
        <v>74382</v>
      </c>
      <c r="B3907">
        <v>1</v>
      </c>
      <c r="C3907">
        <v>8</v>
      </c>
    </row>
    <row r="3908" spans="1:3" x14ac:dyDescent="0.3">
      <c r="A3908">
        <v>74287</v>
      </c>
      <c r="B3908">
        <v>1</v>
      </c>
      <c r="C3908">
        <v>8</v>
      </c>
    </row>
    <row r="3909" spans="1:3" x14ac:dyDescent="0.3">
      <c r="A3909">
        <v>74099</v>
      </c>
      <c r="B3909">
        <v>1</v>
      </c>
      <c r="C3909">
        <v>8</v>
      </c>
    </row>
    <row r="3910" spans="1:3" x14ac:dyDescent="0.3">
      <c r="A3910">
        <v>73077</v>
      </c>
      <c r="B3910">
        <v>1</v>
      </c>
      <c r="C3910">
        <v>8</v>
      </c>
    </row>
    <row r="3911" spans="1:3" x14ac:dyDescent="0.3">
      <c r="A3911">
        <v>73076</v>
      </c>
      <c r="B3911">
        <v>1</v>
      </c>
      <c r="C3911">
        <v>8</v>
      </c>
    </row>
    <row r="3912" spans="1:3" x14ac:dyDescent="0.3">
      <c r="A3912">
        <v>72513</v>
      </c>
      <c r="B3912">
        <v>1</v>
      </c>
      <c r="C3912">
        <v>8</v>
      </c>
    </row>
    <row r="3913" spans="1:3" x14ac:dyDescent="0.3">
      <c r="A3913">
        <v>72309</v>
      </c>
      <c r="B3913">
        <v>1</v>
      </c>
      <c r="C3913">
        <v>8</v>
      </c>
    </row>
    <row r="3914" spans="1:3" x14ac:dyDescent="0.3">
      <c r="A3914">
        <v>72072</v>
      </c>
      <c r="B3914">
        <v>1</v>
      </c>
      <c r="C3914">
        <v>8</v>
      </c>
    </row>
    <row r="3915" spans="1:3" x14ac:dyDescent="0.3">
      <c r="A3915">
        <v>72071</v>
      </c>
      <c r="B3915">
        <v>1</v>
      </c>
      <c r="C3915">
        <v>8</v>
      </c>
    </row>
    <row r="3916" spans="1:3" x14ac:dyDescent="0.3">
      <c r="A3916">
        <v>71845</v>
      </c>
      <c r="B3916">
        <v>1</v>
      </c>
      <c r="C3916">
        <v>8</v>
      </c>
    </row>
    <row r="3917" spans="1:3" x14ac:dyDescent="0.3">
      <c r="A3917">
        <v>71415</v>
      </c>
      <c r="B3917">
        <v>1</v>
      </c>
      <c r="C3917">
        <v>8</v>
      </c>
    </row>
    <row r="3918" spans="1:3" x14ac:dyDescent="0.3">
      <c r="A3918">
        <v>71412</v>
      </c>
      <c r="B3918">
        <v>1</v>
      </c>
      <c r="C3918">
        <v>8</v>
      </c>
    </row>
    <row r="3919" spans="1:3" x14ac:dyDescent="0.3">
      <c r="A3919">
        <v>71403</v>
      </c>
      <c r="B3919">
        <v>1</v>
      </c>
      <c r="C3919">
        <v>8</v>
      </c>
    </row>
    <row r="3920" spans="1:3" x14ac:dyDescent="0.3">
      <c r="A3920">
        <v>71039</v>
      </c>
      <c r="B3920">
        <v>1</v>
      </c>
      <c r="C3920">
        <v>8</v>
      </c>
    </row>
    <row r="3921" spans="1:3" x14ac:dyDescent="0.3">
      <c r="A3921">
        <v>71038</v>
      </c>
      <c r="B3921">
        <v>1</v>
      </c>
      <c r="C3921">
        <v>8</v>
      </c>
    </row>
    <row r="3922" spans="1:3" x14ac:dyDescent="0.3">
      <c r="A3922">
        <v>71037</v>
      </c>
      <c r="B3922">
        <v>1</v>
      </c>
      <c r="C3922">
        <v>8</v>
      </c>
    </row>
    <row r="3923" spans="1:3" x14ac:dyDescent="0.3">
      <c r="A3923">
        <v>70677</v>
      </c>
      <c r="B3923">
        <v>1</v>
      </c>
      <c r="C3923">
        <v>8</v>
      </c>
    </row>
    <row r="3924" spans="1:3" x14ac:dyDescent="0.3">
      <c r="A3924">
        <v>70535</v>
      </c>
      <c r="B3924">
        <v>1</v>
      </c>
      <c r="C3924">
        <v>8</v>
      </c>
    </row>
    <row r="3925" spans="1:3" x14ac:dyDescent="0.3">
      <c r="A3925">
        <v>12698</v>
      </c>
      <c r="B3925">
        <v>1</v>
      </c>
      <c r="C3925">
        <v>8</v>
      </c>
    </row>
    <row r="3926" spans="1:3" x14ac:dyDescent="0.3">
      <c r="A3926">
        <v>70258</v>
      </c>
      <c r="B3926">
        <v>1</v>
      </c>
      <c r="C3926">
        <v>8</v>
      </c>
    </row>
    <row r="3927" spans="1:3" x14ac:dyDescent="0.3">
      <c r="A3927">
        <v>70007</v>
      </c>
      <c r="B3927">
        <v>1</v>
      </c>
      <c r="C3927">
        <v>8</v>
      </c>
    </row>
    <row r="3928" spans="1:3" x14ac:dyDescent="0.3">
      <c r="A3928">
        <v>70001</v>
      </c>
      <c r="B3928">
        <v>1</v>
      </c>
      <c r="C3928">
        <v>8</v>
      </c>
    </row>
    <row r="3929" spans="1:3" x14ac:dyDescent="0.3">
      <c r="A3929">
        <v>69892</v>
      </c>
      <c r="B3929">
        <v>1</v>
      </c>
      <c r="C3929">
        <v>8</v>
      </c>
    </row>
    <row r="3930" spans="1:3" x14ac:dyDescent="0.3">
      <c r="A3930">
        <v>69617</v>
      </c>
      <c r="B3930">
        <v>1</v>
      </c>
      <c r="C3930">
        <v>8</v>
      </c>
    </row>
    <row r="3931" spans="1:3" x14ac:dyDescent="0.3">
      <c r="A3931">
        <v>69400</v>
      </c>
      <c r="B3931">
        <v>1</v>
      </c>
      <c r="C3931">
        <v>8</v>
      </c>
    </row>
    <row r="3932" spans="1:3" x14ac:dyDescent="0.3">
      <c r="A3932">
        <v>69351</v>
      </c>
      <c r="B3932">
        <v>1</v>
      </c>
      <c r="C3932">
        <v>8</v>
      </c>
    </row>
    <row r="3933" spans="1:3" x14ac:dyDescent="0.3">
      <c r="A3933">
        <v>13075</v>
      </c>
      <c r="B3933">
        <v>1</v>
      </c>
      <c r="C3933">
        <v>8</v>
      </c>
    </row>
    <row r="3934" spans="1:3" x14ac:dyDescent="0.3">
      <c r="A3934">
        <v>68539</v>
      </c>
      <c r="B3934">
        <v>1</v>
      </c>
      <c r="C3934">
        <v>8</v>
      </c>
    </row>
    <row r="3935" spans="1:3" x14ac:dyDescent="0.3">
      <c r="A3935">
        <v>68291</v>
      </c>
      <c r="B3935">
        <v>1</v>
      </c>
      <c r="C3935">
        <v>8</v>
      </c>
    </row>
    <row r="3936" spans="1:3" x14ac:dyDescent="0.3">
      <c r="A3936">
        <v>68004</v>
      </c>
      <c r="B3936">
        <v>1</v>
      </c>
      <c r="C3936">
        <v>8</v>
      </c>
    </row>
    <row r="3937" spans="1:3" x14ac:dyDescent="0.3">
      <c r="A3937">
        <v>67289</v>
      </c>
      <c r="B3937">
        <v>1</v>
      </c>
      <c r="C3937">
        <v>8</v>
      </c>
    </row>
    <row r="3938" spans="1:3" x14ac:dyDescent="0.3">
      <c r="A3938">
        <v>67288</v>
      </c>
      <c r="B3938">
        <v>1</v>
      </c>
      <c r="C3938">
        <v>8</v>
      </c>
    </row>
    <row r="3939" spans="1:3" x14ac:dyDescent="0.3">
      <c r="A3939">
        <v>67286</v>
      </c>
      <c r="B3939">
        <v>1</v>
      </c>
      <c r="C3939">
        <v>8</v>
      </c>
    </row>
    <row r="3940" spans="1:3" x14ac:dyDescent="0.3">
      <c r="A3940">
        <v>66937</v>
      </c>
      <c r="B3940">
        <v>1</v>
      </c>
      <c r="C3940">
        <v>8</v>
      </c>
    </row>
    <row r="3941" spans="1:3" x14ac:dyDescent="0.3">
      <c r="A3941">
        <v>66935</v>
      </c>
      <c r="B3941">
        <v>1</v>
      </c>
      <c r="C3941">
        <v>8</v>
      </c>
    </row>
    <row r="3942" spans="1:3" x14ac:dyDescent="0.3">
      <c r="A3942">
        <v>66444</v>
      </c>
      <c r="B3942">
        <v>1</v>
      </c>
      <c r="C3942">
        <v>8</v>
      </c>
    </row>
    <row r="3943" spans="1:3" x14ac:dyDescent="0.3">
      <c r="A3943">
        <v>66442</v>
      </c>
      <c r="B3943">
        <v>1</v>
      </c>
      <c r="C3943">
        <v>8</v>
      </c>
    </row>
    <row r="3944" spans="1:3" x14ac:dyDescent="0.3">
      <c r="A3944">
        <v>66441</v>
      </c>
      <c r="B3944">
        <v>1</v>
      </c>
      <c r="C3944">
        <v>8</v>
      </c>
    </row>
    <row r="3945" spans="1:3" x14ac:dyDescent="0.3">
      <c r="A3945">
        <v>65694</v>
      </c>
      <c r="B3945">
        <v>1</v>
      </c>
      <c r="C3945">
        <v>8</v>
      </c>
    </row>
    <row r="3946" spans="1:3" x14ac:dyDescent="0.3">
      <c r="A3946">
        <v>65642</v>
      </c>
      <c r="B3946">
        <v>1</v>
      </c>
      <c r="C3946">
        <v>8</v>
      </c>
    </row>
    <row r="3947" spans="1:3" x14ac:dyDescent="0.3">
      <c r="A3947">
        <v>65505</v>
      </c>
      <c r="B3947">
        <v>1</v>
      </c>
      <c r="C3947">
        <v>8</v>
      </c>
    </row>
    <row r="3948" spans="1:3" x14ac:dyDescent="0.3">
      <c r="A3948">
        <v>65393</v>
      </c>
      <c r="B3948">
        <v>1</v>
      </c>
      <c r="C3948">
        <v>8</v>
      </c>
    </row>
    <row r="3949" spans="1:3" x14ac:dyDescent="0.3">
      <c r="A3949">
        <v>65322</v>
      </c>
      <c r="B3949">
        <v>1</v>
      </c>
      <c r="C3949">
        <v>8</v>
      </c>
    </row>
    <row r="3950" spans="1:3" x14ac:dyDescent="0.3">
      <c r="A3950">
        <v>65321</v>
      </c>
      <c r="B3950">
        <v>1</v>
      </c>
      <c r="C3950">
        <v>8</v>
      </c>
    </row>
    <row r="3951" spans="1:3" x14ac:dyDescent="0.3">
      <c r="A3951">
        <v>65319</v>
      </c>
      <c r="B3951">
        <v>1</v>
      </c>
      <c r="C3951">
        <v>8</v>
      </c>
    </row>
    <row r="3952" spans="1:3" x14ac:dyDescent="0.3">
      <c r="A3952">
        <v>65317</v>
      </c>
      <c r="B3952">
        <v>1</v>
      </c>
      <c r="C3952">
        <v>8</v>
      </c>
    </row>
    <row r="3953" spans="1:3" x14ac:dyDescent="0.3">
      <c r="A3953">
        <v>65077</v>
      </c>
      <c r="B3953">
        <v>1</v>
      </c>
      <c r="C3953">
        <v>8</v>
      </c>
    </row>
    <row r="3954" spans="1:3" x14ac:dyDescent="0.3">
      <c r="A3954">
        <v>65075</v>
      </c>
      <c r="B3954">
        <v>1</v>
      </c>
      <c r="C3954">
        <v>8</v>
      </c>
    </row>
    <row r="3955" spans="1:3" x14ac:dyDescent="0.3">
      <c r="A3955">
        <v>64973</v>
      </c>
      <c r="B3955">
        <v>1</v>
      </c>
      <c r="C3955">
        <v>8</v>
      </c>
    </row>
    <row r="3956" spans="1:3" x14ac:dyDescent="0.3">
      <c r="A3956">
        <v>64855</v>
      </c>
      <c r="B3956">
        <v>1</v>
      </c>
      <c r="C3956">
        <v>8</v>
      </c>
    </row>
    <row r="3957" spans="1:3" x14ac:dyDescent="0.3">
      <c r="A3957">
        <v>64480</v>
      </c>
      <c r="B3957">
        <v>1</v>
      </c>
      <c r="C3957">
        <v>8</v>
      </c>
    </row>
    <row r="3958" spans="1:3" x14ac:dyDescent="0.3">
      <c r="A3958">
        <v>64180</v>
      </c>
      <c r="B3958">
        <v>1</v>
      </c>
      <c r="C3958">
        <v>8</v>
      </c>
    </row>
    <row r="3959" spans="1:3" x14ac:dyDescent="0.3">
      <c r="A3959">
        <v>64179</v>
      </c>
      <c r="B3959">
        <v>1</v>
      </c>
      <c r="C3959">
        <v>8</v>
      </c>
    </row>
    <row r="3960" spans="1:3" x14ac:dyDescent="0.3">
      <c r="A3960">
        <v>64176</v>
      </c>
      <c r="B3960">
        <v>1</v>
      </c>
      <c r="C3960">
        <v>16</v>
      </c>
    </row>
    <row r="3961" spans="1:3" x14ac:dyDescent="0.3">
      <c r="A3961">
        <v>64174</v>
      </c>
      <c r="B3961">
        <v>1</v>
      </c>
      <c r="C3961">
        <v>8</v>
      </c>
    </row>
    <row r="3962" spans="1:3" x14ac:dyDescent="0.3">
      <c r="A3962">
        <v>64132</v>
      </c>
      <c r="B3962">
        <v>1</v>
      </c>
      <c r="C3962">
        <v>16</v>
      </c>
    </row>
    <row r="3963" spans="1:3" x14ac:dyDescent="0.3">
      <c r="A3963">
        <v>63466</v>
      </c>
      <c r="B3963">
        <v>1</v>
      </c>
      <c r="C3963">
        <v>8</v>
      </c>
    </row>
    <row r="3964" spans="1:3" x14ac:dyDescent="0.3">
      <c r="A3964">
        <v>62916</v>
      </c>
      <c r="B3964">
        <v>1</v>
      </c>
      <c r="C3964">
        <v>8</v>
      </c>
    </row>
    <row r="3965" spans="1:3" x14ac:dyDescent="0.3">
      <c r="A3965">
        <v>62915</v>
      </c>
      <c r="B3965">
        <v>1</v>
      </c>
      <c r="C3965">
        <v>8</v>
      </c>
    </row>
    <row r="3966" spans="1:3" x14ac:dyDescent="0.3">
      <c r="A3966">
        <v>62780</v>
      </c>
      <c r="B3966">
        <v>1</v>
      </c>
      <c r="C3966">
        <v>8</v>
      </c>
    </row>
    <row r="3967" spans="1:3" x14ac:dyDescent="0.3">
      <c r="A3967">
        <v>62460</v>
      </c>
      <c r="B3967">
        <v>1</v>
      </c>
      <c r="C3967">
        <v>8</v>
      </c>
    </row>
    <row r="3968" spans="1:3" x14ac:dyDescent="0.3">
      <c r="A3968">
        <v>61461</v>
      </c>
      <c r="B3968">
        <v>1</v>
      </c>
      <c r="C3968">
        <v>8</v>
      </c>
    </row>
    <row r="3969" spans="1:3" x14ac:dyDescent="0.3">
      <c r="A3969">
        <v>60994</v>
      </c>
      <c r="B3969">
        <v>1</v>
      </c>
      <c r="C3969">
        <v>8</v>
      </c>
    </row>
    <row r="3970" spans="1:3" x14ac:dyDescent="0.3">
      <c r="A3970">
        <v>60666</v>
      </c>
      <c r="B3970">
        <v>1</v>
      </c>
      <c r="C3970">
        <v>8</v>
      </c>
    </row>
    <row r="3971" spans="1:3" x14ac:dyDescent="0.3">
      <c r="A3971">
        <v>60367</v>
      </c>
      <c r="B3971">
        <v>1</v>
      </c>
      <c r="C3971">
        <v>8</v>
      </c>
    </row>
    <row r="3972" spans="1:3" x14ac:dyDescent="0.3">
      <c r="A3972">
        <v>60366</v>
      </c>
      <c r="B3972">
        <v>1</v>
      </c>
      <c r="C3972">
        <v>8</v>
      </c>
    </row>
    <row r="3973" spans="1:3" x14ac:dyDescent="0.3">
      <c r="A3973">
        <v>59987</v>
      </c>
      <c r="B3973">
        <v>1</v>
      </c>
      <c r="C3973">
        <v>8</v>
      </c>
    </row>
    <row r="3974" spans="1:3" x14ac:dyDescent="0.3">
      <c r="A3974">
        <v>59527</v>
      </c>
      <c r="B3974">
        <v>1</v>
      </c>
      <c r="C3974">
        <v>8</v>
      </c>
    </row>
    <row r="3975" spans="1:3" x14ac:dyDescent="0.3">
      <c r="A3975">
        <v>59170</v>
      </c>
      <c r="B3975">
        <v>1</v>
      </c>
      <c r="C3975">
        <v>8</v>
      </c>
    </row>
    <row r="3976" spans="1:3" x14ac:dyDescent="0.3">
      <c r="A3976">
        <v>57560</v>
      </c>
      <c r="B3976">
        <v>1</v>
      </c>
      <c r="C3976">
        <v>8</v>
      </c>
    </row>
    <row r="3977" spans="1:3" x14ac:dyDescent="0.3">
      <c r="A3977">
        <v>56200</v>
      </c>
      <c r="B3977">
        <v>1</v>
      </c>
      <c r="C3977">
        <v>8</v>
      </c>
    </row>
    <row r="3978" spans="1:3" x14ac:dyDescent="0.3">
      <c r="A3978">
        <v>55940</v>
      </c>
      <c r="B3978">
        <v>1</v>
      </c>
      <c r="C3978">
        <v>8</v>
      </c>
    </row>
    <row r="3979" spans="1:3" x14ac:dyDescent="0.3">
      <c r="A3979">
        <v>55939</v>
      </c>
      <c r="B3979">
        <v>1</v>
      </c>
      <c r="C3979">
        <v>8</v>
      </c>
    </row>
    <row r="3980" spans="1:3" x14ac:dyDescent="0.3">
      <c r="A3980">
        <v>55677</v>
      </c>
      <c r="B3980">
        <v>1</v>
      </c>
      <c r="C3980">
        <v>8</v>
      </c>
    </row>
    <row r="3981" spans="1:3" x14ac:dyDescent="0.3">
      <c r="A3981">
        <v>55488</v>
      </c>
      <c r="B3981">
        <v>1</v>
      </c>
      <c r="C3981">
        <v>8</v>
      </c>
    </row>
    <row r="3982" spans="1:3" x14ac:dyDescent="0.3">
      <c r="A3982">
        <v>55082</v>
      </c>
      <c r="B3982">
        <v>1</v>
      </c>
      <c r="C3982">
        <v>8</v>
      </c>
    </row>
    <row r="3983" spans="1:3" x14ac:dyDescent="0.3">
      <c r="A3983">
        <v>55066</v>
      </c>
      <c r="B3983">
        <v>1</v>
      </c>
      <c r="C3983">
        <v>8</v>
      </c>
    </row>
    <row r="3984" spans="1:3" x14ac:dyDescent="0.3">
      <c r="A3984">
        <v>54951</v>
      </c>
      <c r="B3984">
        <v>1</v>
      </c>
      <c r="C3984">
        <v>8</v>
      </c>
    </row>
    <row r="3985" spans="1:3" x14ac:dyDescent="0.3">
      <c r="A3985">
        <v>54472</v>
      </c>
      <c r="B3985">
        <v>1</v>
      </c>
      <c r="C3985">
        <v>8</v>
      </c>
    </row>
    <row r="3986" spans="1:3" x14ac:dyDescent="0.3">
      <c r="A3986">
        <v>54101</v>
      </c>
      <c r="B3986">
        <v>1</v>
      </c>
      <c r="C3986">
        <v>8</v>
      </c>
    </row>
    <row r="3987" spans="1:3" x14ac:dyDescent="0.3">
      <c r="A3987">
        <v>54100</v>
      </c>
      <c r="B3987">
        <v>1</v>
      </c>
      <c r="C3987">
        <v>16</v>
      </c>
    </row>
    <row r="3988" spans="1:3" x14ac:dyDescent="0.3">
      <c r="A3988">
        <v>54099</v>
      </c>
      <c r="B3988">
        <v>1</v>
      </c>
      <c r="C3988">
        <v>8</v>
      </c>
    </row>
    <row r="3989" spans="1:3" x14ac:dyDescent="0.3">
      <c r="A3989">
        <v>53663</v>
      </c>
      <c r="B3989">
        <v>1</v>
      </c>
      <c r="C3989">
        <v>8</v>
      </c>
    </row>
    <row r="3990" spans="1:3" x14ac:dyDescent="0.3">
      <c r="A3990">
        <v>53220</v>
      </c>
      <c r="B3990">
        <v>1</v>
      </c>
      <c r="C3990">
        <v>16</v>
      </c>
    </row>
    <row r="3991" spans="1:3" x14ac:dyDescent="0.3">
      <c r="A3991">
        <v>53219</v>
      </c>
      <c r="B3991">
        <v>1</v>
      </c>
      <c r="C3991">
        <v>8</v>
      </c>
    </row>
    <row r="3992" spans="1:3" x14ac:dyDescent="0.3">
      <c r="A3992">
        <v>52901</v>
      </c>
      <c r="B3992">
        <v>1</v>
      </c>
      <c r="C3992">
        <v>8</v>
      </c>
    </row>
    <row r="3993" spans="1:3" x14ac:dyDescent="0.3">
      <c r="A3993">
        <v>52320</v>
      </c>
      <c r="B3993">
        <v>1</v>
      </c>
      <c r="C3993">
        <v>8</v>
      </c>
    </row>
    <row r="3994" spans="1:3" x14ac:dyDescent="0.3">
      <c r="A3994">
        <v>52239</v>
      </c>
      <c r="B3994">
        <v>1</v>
      </c>
      <c r="C3994">
        <v>8</v>
      </c>
    </row>
    <row r="3995" spans="1:3" x14ac:dyDescent="0.3">
      <c r="A3995">
        <v>51480</v>
      </c>
      <c r="B3995">
        <v>1</v>
      </c>
      <c r="C3995">
        <v>8</v>
      </c>
    </row>
    <row r="3996" spans="1:3" x14ac:dyDescent="0.3">
      <c r="A3996">
        <v>50199</v>
      </c>
      <c r="B3996">
        <v>1</v>
      </c>
      <c r="C3996">
        <v>8</v>
      </c>
    </row>
    <row r="3997" spans="1:3" x14ac:dyDescent="0.3">
      <c r="A3997">
        <v>50198</v>
      </c>
      <c r="B3997">
        <v>1</v>
      </c>
      <c r="C3997">
        <v>8</v>
      </c>
    </row>
    <row r="3998" spans="1:3" x14ac:dyDescent="0.3">
      <c r="A3998">
        <v>50001</v>
      </c>
      <c r="B3998">
        <v>1</v>
      </c>
      <c r="C3998">
        <v>8</v>
      </c>
    </row>
    <row r="3999" spans="1:3" x14ac:dyDescent="0.3">
      <c r="A3999">
        <v>49974</v>
      </c>
      <c r="B3999">
        <v>1</v>
      </c>
      <c r="C3999">
        <v>8</v>
      </c>
    </row>
    <row r="4000" spans="1:3" x14ac:dyDescent="0.3">
      <c r="A4000">
        <v>49352</v>
      </c>
      <c r="B4000">
        <v>1</v>
      </c>
      <c r="C4000">
        <v>8</v>
      </c>
    </row>
    <row r="4001" spans="1:3" x14ac:dyDescent="0.3">
      <c r="A4001">
        <v>49351</v>
      </c>
      <c r="B4001">
        <v>1</v>
      </c>
      <c r="C4001">
        <v>8</v>
      </c>
    </row>
    <row r="4002" spans="1:3" x14ac:dyDescent="0.3">
      <c r="A4002" s="26">
        <v>49350</v>
      </c>
      <c r="B4002" s="26">
        <v>1</v>
      </c>
      <c r="C4002" s="26">
        <v>8</v>
      </c>
    </row>
    <row r="4003" spans="1:3" x14ac:dyDescent="0.3">
      <c r="A4003">
        <v>49349</v>
      </c>
      <c r="B4003">
        <v>1</v>
      </c>
      <c r="C4003">
        <v>8</v>
      </c>
    </row>
    <row r="4004" spans="1:3" x14ac:dyDescent="0.3">
      <c r="A4004">
        <v>48551</v>
      </c>
      <c r="B4004">
        <v>1</v>
      </c>
      <c r="C4004">
        <v>16</v>
      </c>
    </row>
    <row r="4005" spans="1:3" x14ac:dyDescent="0.3">
      <c r="A4005">
        <v>17214</v>
      </c>
      <c r="B4005">
        <v>1</v>
      </c>
      <c r="C4005">
        <v>8</v>
      </c>
    </row>
    <row r="4006" spans="1:3" x14ac:dyDescent="0.3">
      <c r="A4006">
        <v>48283</v>
      </c>
      <c r="B4006">
        <v>1</v>
      </c>
      <c r="C4006">
        <v>8</v>
      </c>
    </row>
    <row r="4007" spans="1:3" x14ac:dyDescent="0.3">
      <c r="A4007">
        <v>17270</v>
      </c>
      <c r="B4007">
        <v>1</v>
      </c>
      <c r="C4007">
        <v>8</v>
      </c>
    </row>
    <row r="4008" spans="1:3" x14ac:dyDescent="0.3">
      <c r="A4008">
        <v>47591</v>
      </c>
      <c r="B4008">
        <v>1</v>
      </c>
      <c r="C4008">
        <v>8</v>
      </c>
    </row>
    <row r="4009" spans="1:3" x14ac:dyDescent="0.3">
      <c r="A4009">
        <v>47408</v>
      </c>
      <c r="B4009">
        <v>1</v>
      </c>
      <c r="C4009">
        <v>8</v>
      </c>
    </row>
    <row r="4010" spans="1:3" x14ac:dyDescent="0.3">
      <c r="A4010">
        <v>17384</v>
      </c>
      <c r="B4010">
        <v>1</v>
      </c>
      <c r="C4010">
        <v>8</v>
      </c>
    </row>
    <row r="4011" spans="1:3" x14ac:dyDescent="0.3">
      <c r="A4011">
        <v>17385</v>
      </c>
      <c r="B4011">
        <v>1</v>
      </c>
      <c r="C4011">
        <v>8</v>
      </c>
    </row>
    <row r="4012" spans="1:3" x14ac:dyDescent="0.3">
      <c r="A4012">
        <v>47227</v>
      </c>
      <c r="B4012">
        <v>1</v>
      </c>
      <c r="C4012">
        <v>8</v>
      </c>
    </row>
    <row r="4013" spans="1:3" x14ac:dyDescent="0.3">
      <c r="A4013">
        <v>47149</v>
      </c>
      <c r="B4013">
        <v>1</v>
      </c>
      <c r="C4013">
        <v>8</v>
      </c>
    </row>
    <row r="4014" spans="1:3" x14ac:dyDescent="0.3">
      <c r="A4014">
        <v>46958</v>
      </c>
      <c r="B4014">
        <v>1</v>
      </c>
      <c r="C4014">
        <v>8</v>
      </c>
    </row>
    <row r="4015" spans="1:3" x14ac:dyDescent="0.3">
      <c r="A4015">
        <v>46755</v>
      </c>
      <c r="B4015">
        <v>1</v>
      </c>
      <c r="C4015">
        <v>8</v>
      </c>
    </row>
    <row r="4016" spans="1:3" x14ac:dyDescent="0.3">
      <c r="A4016">
        <v>46754</v>
      </c>
      <c r="B4016">
        <v>1</v>
      </c>
      <c r="C4016">
        <v>8</v>
      </c>
    </row>
    <row r="4017" spans="1:3" x14ac:dyDescent="0.3">
      <c r="A4017">
        <v>46297</v>
      </c>
      <c r="B4017">
        <v>1</v>
      </c>
      <c r="C4017">
        <v>8</v>
      </c>
    </row>
    <row r="4018" spans="1:3" x14ac:dyDescent="0.3">
      <c r="A4018">
        <v>46296</v>
      </c>
      <c r="B4018">
        <v>1</v>
      </c>
      <c r="C4018">
        <v>8</v>
      </c>
    </row>
    <row r="4019" spans="1:3" x14ac:dyDescent="0.3">
      <c r="A4019">
        <v>43840</v>
      </c>
      <c r="B4019">
        <v>1</v>
      </c>
      <c r="C4019">
        <v>8</v>
      </c>
    </row>
    <row r="4020" spans="1:3" x14ac:dyDescent="0.3">
      <c r="A4020">
        <v>17894</v>
      </c>
      <c r="B4020">
        <v>1</v>
      </c>
      <c r="C4020">
        <v>8</v>
      </c>
    </row>
    <row r="4021" spans="1:3" x14ac:dyDescent="0.3">
      <c r="A4021">
        <v>42846</v>
      </c>
      <c r="B4021">
        <v>1</v>
      </c>
      <c r="C4021">
        <v>8</v>
      </c>
    </row>
    <row r="4022" spans="1:3" x14ac:dyDescent="0.3">
      <c r="A4022">
        <v>17912</v>
      </c>
      <c r="B4022">
        <v>1</v>
      </c>
      <c r="C4022">
        <v>8</v>
      </c>
    </row>
    <row r="4023" spans="1:3" x14ac:dyDescent="0.3">
      <c r="A4023">
        <v>42216</v>
      </c>
      <c r="B4023">
        <v>1</v>
      </c>
      <c r="C4023">
        <v>8</v>
      </c>
    </row>
    <row r="4024" spans="1:3" x14ac:dyDescent="0.3">
      <c r="A4024">
        <v>41333</v>
      </c>
      <c r="B4024">
        <v>1</v>
      </c>
      <c r="C4024">
        <v>8</v>
      </c>
    </row>
    <row r="4025" spans="1:3" x14ac:dyDescent="0.3">
      <c r="A4025">
        <v>40564</v>
      </c>
      <c r="B4025">
        <v>2</v>
      </c>
      <c r="C4025">
        <v>8</v>
      </c>
    </row>
    <row r="4026" spans="1:3" x14ac:dyDescent="0.3">
      <c r="A4026">
        <v>40033</v>
      </c>
      <c r="B4026">
        <v>1</v>
      </c>
      <c r="C4026">
        <v>16</v>
      </c>
    </row>
    <row r="4027" spans="1:3" x14ac:dyDescent="0.3">
      <c r="A4027">
        <v>18218</v>
      </c>
      <c r="B4027">
        <v>1</v>
      </c>
      <c r="C4027">
        <v>8</v>
      </c>
    </row>
    <row r="4028" spans="1:3" x14ac:dyDescent="0.3">
      <c r="A4028">
        <v>39709</v>
      </c>
      <c r="B4028">
        <v>1</v>
      </c>
      <c r="C4028">
        <v>8</v>
      </c>
    </row>
    <row r="4029" spans="1:3" x14ac:dyDescent="0.3">
      <c r="A4029">
        <v>39156</v>
      </c>
      <c r="B4029">
        <v>1</v>
      </c>
      <c r="C4029">
        <v>16</v>
      </c>
    </row>
    <row r="4030" spans="1:3" x14ac:dyDescent="0.3">
      <c r="A4030">
        <v>38939</v>
      </c>
      <c r="B4030">
        <v>1</v>
      </c>
      <c r="C4030">
        <v>8</v>
      </c>
    </row>
    <row r="4031" spans="1:3" x14ac:dyDescent="0.3">
      <c r="A4031">
        <v>38937</v>
      </c>
      <c r="B4031">
        <v>1</v>
      </c>
      <c r="C4031">
        <v>8</v>
      </c>
    </row>
    <row r="4032" spans="1:3" x14ac:dyDescent="0.3">
      <c r="A4032">
        <v>38725</v>
      </c>
      <c r="B4032">
        <v>1</v>
      </c>
      <c r="C4032">
        <v>8</v>
      </c>
    </row>
    <row r="4033" spans="1:3" x14ac:dyDescent="0.3">
      <c r="A4033">
        <v>38724</v>
      </c>
      <c r="B4033">
        <v>1</v>
      </c>
      <c r="C4033">
        <v>8</v>
      </c>
    </row>
    <row r="4034" spans="1:3" x14ac:dyDescent="0.3">
      <c r="A4034">
        <v>37343</v>
      </c>
      <c r="B4034">
        <v>1</v>
      </c>
      <c r="C4034">
        <v>8</v>
      </c>
    </row>
    <row r="4035" spans="1:3" x14ac:dyDescent="0.3">
      <c r="A4035">
        <v>18670</v>
      </c>
      <c r="B4035">
        <v>1</v>
      </c>
      <c r="C4035">
        <v>16</v>
      </c>
    </row>
    <row r="4036" spans="1:3" x14ac:dyDescent="0.3">
      <c r="A4036">
        <v>34234</v>
      </c>
      <c r="B4036">
        <v>1</v>
      </c>
      <c r="C4036">
        <v>8</v>
      </c>
    </row>
    <row r="4037" spans="1:3" x14ac:dyDescent="0.3">
      <c r="A4037">
        <v>31221</v>
      </c>
      <c r="B4037">
        <v>1</v>
      </c>
      <c r="C4037">
        <v>16</v>
      </c>
    </row>
    <row r="4038" spans="1:3" x14ac:dyDescent="0.3">
      <c r="A4038">
        <v>30403</v>
      </c>
      <c r="B4038">
        <v>1</v>
      </c>
      <c r="C4038">
        <v>8</v>
      </c>
    </row>
    <row r="4039" spans="1:3" x14ac:dyDescent="0.3">
      <c r="A4039">
        <v>29438</v>
      </c>
      <c r="B4039">
        <v>1</v>
      </c>
      <c r="C4039">
        <v>16</v>
      </c>
    </row>
    <row r="4040" spans="1:3" x14ac:dyDescent="0.3">
      <c r="A4040">
        <v>29052</v>
      </c>
      <c r="B4040">
        <v>1</v>
      </c>
      <c r="C4040">
        <v>8</v>
      </c>
    </row>
    <row r="4041" spans="1:3" x14ac:dyDescent="0.3">
      <c r="A4041">
        <v>29051</v>
      </c>
      <c r="B4041">
        <v>1</v>
      </c>
      <c r="C4041">
        <v>8</v>
      </c>
    </row>
    <row r="4042" spans="1:3" x14ac:dyDescent="0.3">
      <c r="A4042">
        <v>28046</v>
      </c>
      <c r="B4042">
        <v>1</v>
      </c>
      <c r="C4042">
        <v>8</v>
      </c>
    </row>
    <row r="4043" spans="1:3" x14ac:dyDescent="0.3">
      <c r="A4043">
        <v>19762</v>
      </c>
      <c r="B4043">
        <v>1</v>
      </c>
      <c r="C4043">
        <v>8</v>
      </c>
    </row>
    <row r="4044" spans="1:3" x14ac:dyDescent="0.3">
      <c r="A4044">
        <v>27904</v>
      </c>
      <c r="B4044">
        <v>1</v>
      </c>
      <c r="C4044">
        <v>8</v>
      </c>
    </row>
    <row r="4045" spans="1:3" x14ac:dyDescent="0.3">
      <c r="A4045">
        <v>27268</v>
      </c>
      <c r="B4045">
        <v>1</v>
      </c>
      <c r="C4045">
        <v>8</v>
      </c>
    </row>
    <row r="4046" spans="1:3" x14ac:dyDescent="0.3">
      <c r="A4046">
        <v>26942</v>
      </c>
      <c r="B4046">
        <v>1</v>
      </c>
      <c r="C4046">
        <v>8</v>
      </c>
    </row>
    <row r="4047" spans="1:3" x14ac:dyDescent="0.3">
      <c r="A4047">
        <v>26173</v>
      </c>
      <c r="B4047">
        <v>1</v>
      </c>
      <c r="C4047">
        <v>8</v>
      </c>
    </row>
    <row r="4048" spans="1:3" x14ac:dyDescent="0.3">
      <c r="A4048">
        <v>24645</v>
      </c>
      <c r="B4048">
        <v>1</v>
      </c>
      <c r="C4048">
        <v>8</v>
      </c>
    </row>
    <row r="4049" spans="1:3" x14ac:dyDescent="0.3">
      <c r="A4049">
        <v>24564</v>
      </c>
      <c r="B4049">
        <v>1</v>
      </c>
      <c r="C4049">
        <v>8</v>
      </c>
    </row>
    <row r="4050" spans="1:3" x14ac:dyDescent="0.3">
      <c r="A4050">
        <v>24551</v>
      </c>
      <c r="B4050">
        <v>1</v>
      </c>
      <c r="C4050">
        <v>8</v>
      </c>
    </row>
    <row r="4051" spans="1:3" x14ac:dyDescent="0.3">
      <c r="A4051">
        <v>23473</v>
      </c>
      <c r="B4051">
        <v>1</v>
      </c>
      <c r="C4051">
        <v>8</v>
      </c>
    </row>
    <row r="4052" spans="1:3" x14ac:dyDescent="0.3">
      <c r="A4052">
        <v>23472</v>
      </c>
      <c r="B4052">
        <v>1</v>
      </c>
      <c r="C4052">
        <v>8</v>
      </c>
    </row>
    <row r="4053" spans="1:3" x14ac:dyDescent="0.3">
      <c r="A4053">
        <v>23471</v>
      </c>
      <c r="B4053">
        <v>1</v>
      </c>
      <c r="C4053">
        <v>8</v>
      </c>
    </row>
    <row r="4054" spans="1:3" x14ac:dyDescent="0.3">
      <c r="A4054">
        <v>23470</v>
      </c>
      <c r="B4054">
        <v>1</v>
      </c>
      <c r="C4054">
        <v>8</v>
      </c>
    </row>
    <row r="4055" spans="1:3" x14ac:dyDescent="0.3">
      <c r="A4055">
        <v>22725</v>
      </c>
      <c r="B4055">
        <v>1</v>
      </c>
      <c r="C4055">
        <v>8</v>
      </c>
    </row>
    <row r="4056" spans="1:3" x14ac:dyDescent="0.3">
      <c r="A4056">
        <v>10545</v>
      </c>
      <c r="B4056">
        <v>3</v>
      </c>
      <c r="C4056">
        <v>16</v>
      </c>
    </row>
    <row r="4057" spans="1:3" x14ac:dyDescent="0.3">
      <c r="A4057">
        <v>10545</v>
      </c>
      <c r="B4057">
        <v>3</v>
      </c>
      <c r="C4057">
        <v>16</v>
      </c>
    </row>
    <row r="4058" spans="1:3" x14ac:dyDescent="0.3">
      <c r="A4058">
        <v>10545</v>
      </c>
      <c r="B4058">
        <v>3</v>
      </c>
      <c r="C4058">
        <v>16</v>
      </c>
    </row>
    <row r="4059" spans="1:3" x14ac:dyDescent="0.3">
      <c r="A4059">
        <v>77684</v>
      </c>
      <c r="B4059">
        <v>1</v>
      </c>
      <c r="C4059">
        <v>8</v>
      </c>
    </row>
    <row r="4060" spans="1:3" x14ac:dyDescent="0.3">
      <c r="A4060">
        <v>76739</v>
      </c>
      <c r="B4060">
        <v>1</v>
      </c>
      <c r="C4060">
        <v>16</v>
      </c>
    </row>
    <row r="4061" spans="1:3" x14ac:dyDescent="0.3">
      <c r="A4061">
        <v>76736</v>
      </c>
      <c r="B4061">
        <v>2</v>
      </c>
      <c r="C4061">
        <v>16</v>
      </c>
    </row>
    <row r="4062" spans="1:3" x14ac:dyDescent="0.3">
      <c r="A4062">
        <v>76736</v>
      </c>
      <c r="B4062">
        <v>2</v>
      </c>
      <c r="C4062">
        <v>16</v>
      </c>
    </row>
    <row r="4063" spans="1:3" x14ac:dyDescent="0.3">
      <c r="A4063">
        <v>75076</v>
      </c>
      <c r="B4063">
        <v>1</v>
      </c>
      <c r="C4063">
        <v>8</v>
      </c>
    </row>
    <row r="4064" spans="1:3" x14ac:dyDescent="0.3">
      <c r="A4064">
        <v>74859</v>
      </c>
      <c r="B4064">
        <v>1</v>
      </c>
      <c r="C4064">
        <v>8</v>
      </c>
    </row>
    <row r="4065" spans="1:3" x14ac:dyDescent="0.3">
      <c r="A4065">
        <v>72583</v>
      </c>
      <c r="B4065">
        <v>2</v>
      </c>
      <c r="C4065">
        <v>16</v>
      </c>
    </row>
    <row r="4066" spans="1:3" x14ac:dyDescent="0.3">
      <c r="A4066">
        <v>71404</v>
      </c>
      <c r="B4066">
        <v>1</v>
      </c>
      <c r="C4066">
        <v>8</v>
      </c>
    </row>
    <row r="4067" spans="1:3" x14ac:dyDescent="0.3">
      <c r="A4067">
        <v>70319</v>
      </c>
      <c r="B4067">
        <v>1</v>
      </c>
      <c r="C4067">
        <v>8</v>
      </c>
    </row>
    <row r="4068" spans="1:3" x14ac:dyDescent="0.3">
      <c r="A4068">
        <v>12834</v>
      </c>
      <c r="B4068">
        <v>5</v>
      </c>
      <c r="C4068">
        <v>16</v>
      </c>
    </row>
    <row r="4069" spans="1:3" x14ac:dyDescent="0.3">
      <c r="A4069">
        <v>70058</v>
      </c>
      <c r="B4069">
        <v>1</v>
      </c>
      <c r="C4069">
        <v>8</v>
      </c>
    </row>
    <row r="4070" spans="1:3" x14ac:dyDescent="0.3">
      <c r="A4070">
        <v>67890</v>
      </c>
      <c r="B4070">
        <v>1</v>
      </c>
      <c r="C4070">
        <v>8</v>
      </c>
    </row>
    <row r="4071" spans="1:3" x14ac:dyDescent="0.3">
      <c r="A4071">
        <v>67122</v>
      </c>
      <c r="B4071">
        <v>1</v>
      </c>
      <c r="C4071">
        <v>16</v>
      </c>
    </row>
    <row r="4072" spans="1:3" x14ac:dyDescent="0.3">
      <c r="A4072">
        <v>13841</v>
      </c>
      <c r="B4072">
        <v>2</v>
      </c>
      <c r="C4072">
        <v>16</v>
      </c>
    </row>
    <row r="4073" spans="1:3" x14ac:dyDescent="0.3">
      <c r="A4073">
        <v>13841</v>
      </c>
      <c r="B4073">
        <v>2</v>
      </c>
      <c r="C4073">
        <v>16</v>
      </c>
    </row>
    <row r="4074" spans="1:3" x14ac:dyDescent="0.3">
      <c r="A4074">
        <v>13849</v>
      </c>
      <c r="B4074">
        <v>1</v>
      </c>
      <c r="C4074">
        <v>16</v>
      </c>
    </row>
    <row r="4075" spans="1:3" x14ac:dyDescent="0.3">
      <c r="A4075">
        <v>66086</v>
      </c>
      <c r="B4075">
        <v>1</v>
      </c>
      <c r="C4075">
        <v>8</v>
      </c>
    </row>
    <row r="4076" spans="1:3" x14ac:dyDescent="0.3">
      <c r="A4076">
        <v>65792</v>
      </c>
      <c r="B4076">
        <v>1</v>
      </c>
      <c r="C4076">
        <v>8</v>
      </c>
    </row>
    <row r="4077" spans="1:3" x14ac:dyDescent="0.3">
      <c r="A4077">
        <v>64277</v>
      </c>
      <c r="B4077">
        <v>2</v>
      </c>
      <c r="C4077">
        <v>16</v>
      </c>
    </row>
    <row r="4078" spans="1:3" x14ac:dyDescent="0.3">
      <c r="A4078">
        <v>58404</v>
      </c>
      <c r="B4078">
        <v>1</v>
      </c>
      <c r="C4078">
        <v>8</v>
      </c>
    </row>
    <row r="4079" spans="1:3" x14ac:dyDescent="0.3">
      <c r="A4079">
        <v>57051</v>
      </c>
      <c r="B4079">
        <v>1</v>
      </c>
      <c r="C4079">
        <v>8</v>
      </c>
    </row>
    <row r="4080" spans="1:3" x14ac:dyDescent="0.3">
      <c r="A4080">
        <v>56762</v>
      </c>
      <c r="B4080">
        <v>1</v>
      </c>
      <c r="C4080">
        <v>8</v>
      </c>
    </row>
    <row r="4081" spans="1:3" x14ac:dyDescent="0.3">
      <c r="A4081">
        <v>16115</v>
      </c>
      <c r="B4081">
        <v>1</v>
      </c>
      <c r="C4081">
        <v>8</v>
      </c>
    </row>
    <row r="4082" spans="1:3" x14ac:dyDescent="0.3">
      <c r="A4082">
        <v>53374</v>
      </c>
      <c r="B4082">
        <v>3</v>
      </c>
      <c r="C4082">
        <v>16</v>
      </c>
    </row>
    <row r="4083" spans="1:3" x14ac:dyDescent="0.3">
      <c r="A4083">
        <v>52568</v>
      </c>
      <c r="B4083">
        <v>1</v>
      </c>
      <c r="C4083">
        <v>8</v>
      </c>
    </row>
    <row r="4084" spans="1:3" x14ac:dyDescent="0.3">
      <c r="A4084">
        <v>50490</v>
      </c>
      <c r="B4084">
        <v>1</v>
      </c>
      <c r="C4084">
        <v>8</v>
      </c>
    </row>
    <row r="4085" spans="1:3" x14ac:dyDescent="0.3">
      <c r="A4085">
        <v>17024</v>
      </c>
      <c r="B4085">
        <v>2</v>
      </c>
      <c r="C4085">
        <v>16</v>
      </c>
    </row>
    <row r="4086" spans="1:3" x14ac:dyDescent="0.3">
      <c r="A4086">
        <v>17024</v>
      </c>
      <c r="B4086">
        <v>2</v>
      </c>
      <c r="C4086">
        <v>16</v>
      </c>
    </row>
    <row r="4087" spans="1:3" x14ac:dyDescent="0.3">
      <c r="A4087">
        <v>41847</v>
      </c>
      <c r="B4087">
        <v>2</v>
      </c>
      <c r="C4087">
        <v>16</v>
      </c>
    </row>
    <row r="4088" spans="1:3" x14ac:dyDescent="0.3">
      <c r="A4088">
        <v>41847</v>
      </c>
      <c r="B4088">
        <v>2</v>
      </c>
      <c r="C4088">
        <v>16</v>
      </c>
    </row>
    <row r="4089" spans="1:3" x14ac:dyDescent="0.3">
      <c r="A4089">
        <v>39911</v>
      </c>
      <c r="B4089">
        <v>1</v>
      </c>
      <c r="C4089">
        <v>8</v>
      </c>
    </row>
    <row r="4090" spans="1:3" x14ac:dyDescent="0.3">
      <c r="A4090">
        <v>38927</v>
      </c>
      <c r="B4090">
        <v>1</v>
      </c>
      <c r="C4090">
        <v>8</v>
      </c>
    </row>
    <row r="4091" spans="1:3" x14ac:dyDescent="0.3">
      <c r="A4091">
        <v>37409</v>
      </c>
      <c r="B4091">
        <v>2</v>
      </c>
      <c r="C4091">
        <v>16</v>
      </c>
    </row>
    <row r="4092" spans="1:3" x14ac:dyDescent="0.3">
      <c r="A4092">
        <v>36993</v>
      </c>
      <c r="B4092">
        <v>1</v>
      </c>
      <c r="C4092">
        <v>16</v>
      </c>
    </row>
    <row r="4093" spans="1:3" x14ac:dyDescent="0.3">
      <c r="A4093">
        <v>18492</v>
      </c>
      <c r="B4093">
        <v>1</v>
      </c>
      <c r="C4093">
        <v>16</v>
      </c>
    </row>
    <row r="4094" spans="1:3" x14ac:dyDescent="0.3">
      <c r="A4094">
        <v>36478</v>
      </c>
      <c r="B4094">
        <v>2</v>
      </c>
      <c r="C4094">
        <v>16</v>
      </c>
    </row>
    <row r="4095" spans="1:3" x14ac:dyDescent="0.3">
      <c r="A4095">
        <v>35096</v>
      </c>
      <c r="B4095">
        <v>1</v>
      </c>
      <c r="C4095">
        <v>8</v>
      </c>
    </row>
    <row r="4096" spans="1:3" x14ac:dyDescent="0.3">
      <c r="A4096">
        <v>18978</v>
      </c>
      <c r="B4096">
        <v>2</v>
      </c>
      <c r="C4096">
        <v>8</v>
      </c>
    </row>
    <row r="4097" spans="1:3" x14ac:dyDescent="0.3">
      <c r="A4097">
        <v>31706</v>
      </c>
      <c r="B4097">
        <v>1</v>
      </c>
      <c r="C4097">
        <v>8</v>
      </c>
    </row>
    <row r="4098" spans="1:3" x14ac:dyDescent="0.3">
      <c r="A4098">
        <v>19242</v>
      </c>
      <c r="B4098">
        <v>2</v>
      </c>
      <c r="C4098">
        <v>16</v>
      </c>
    </row>
    <row r="4099" spans="1:3" x14ac:dyDescent="0.3">
      <c r="A4099">
        <v>30364</v>
      </c>
      <c r="B4099">
        <v>2</v>
      </c>
      <c r="C4099">
        <v>8</v>
      </c>
    </row>
    <row r="4100" spans="1:3" x14ac:dyDescent="0.3">
      <c r="A4100">
        <v>29925</v>
      </c>
      <c r="B4100">
        <v>2</v>
      </c>
      <c r="C4100">
        <v>16</v>
      </c>
    </row>
    <row r="4101" spans="1:3" x14ac:dyDescent="0.3">
      <c r="A4101">
        <v>28283</v>
      </c>
      <c r="B4101">
        <v>1</v>
      </c>
      <c r="C4101">
        <v>16</v>
      </c>
    </row>
    <row r="4102" spans="1:3" x14ac:dyDescent="0.3">
      <c r="A4102">
        <v>27954</v>
      </c>
      <c r="B4102">
        <v>1</v>
      </c>
      <c r="C4102">
        <v>8</v>
      </c>
    </row>
    <row r="4103" spans="1:3" x14ac:dyDescent="0.3">
      <c r="A4103">
        <v>20590</v>
      </c>
      <c r="B4103">
        <v>2</v>
      </c>
      <c r="C4103">
        <v>8</v>
      </c>
    </row>
    <row r="4104" spans="1:3" x14ac:dyDescent="0.3">
      <c r="A4104">
        <v>25614</v>
      </c>
      <c r="B4104">
        <v>1</v>
      </c>
      <c r="C4104">
        <v>8</v>
      </c>
    </row>
    <row r="4105" spans="1:3" x14ac:dyDescent="0.3">
      <c r="A4105">
        <v>20654</v>
      </c>
      <c r="B4105">
        <v>2</v>
      </c>
      <c r="C4105">
        <v>8</v>
      </c>
    </row>
    <row r="4106" spans="1:3" x14ac:dyDescent="0.3">
      <c r="A4106">
        <v>24130</v>
      </c>
      <c r="B4106">
        <v>2</v>
      </c>
      <c r="C4106">
        <v>8</v>
      </c>
    </row>
    <row r="4107" spans="1:3" x14ac:dyDescent="0.3">
      <c r="A4107">
        <v>24130</v>
      </c>
      <c r="B4107">
        <v>2</v>
      </c>
      <c r="C4107">
        <v>8</v>
      </c>
    </row>
    <row r="4108" spans="1:3" x14ac:dyDescent="0.3">
      <c r="A4108">
        <v>21323</v>
      </c>
      <c r="B4108">
        <v>1</v>
      </c>
      <c r="C4108">
        <v>8</v>
      </c>
    </row>
    <row r="4109" spans="1:3" x14ac:dyDescent="0.3">
      <c r="A4109">
        <v>80743</v>
      </c>
      <c r="B4109">
        <v>1</v>
      </c>
      <c r="C4109">
        <v>8</v>
      </c>
    </row>
    <row r="4110" spans="1:3" x14ac:dyDescent="0.3">
      <c r="A4110">
        <v>80680</v>
      </c>
      <c r="B4110">
        <v>1</v>
      </c>
      <c r="C4110">
        <v>8</v>
      </c>
    </row>
    <row r="4111" spans="1:3" x14ac:dyDescent="0.3">
      <c r="A4111">
        <v>80615</v>
      </c>
      <c r="B4111">
        <v>1</v>
      </c>
      <c r="C4111">
        <v>8</v>
      </c>
    </row>
    <row r="4112" spans="1:3" x14ac:dyDescent="0.3">
      <c r="A4112">
        <v>80614</v>
      </c>
      <c r="B4112">
        <v>1</v>
      </c>
      <c r="C4112">
        <v>8</v>
      </c>
    </row>
    <row r="4113" spans="1:3" x14ac:dyDescent="0.3">
      <c r="A4113">
        <v>80534</v>
      </c>
      <c r="B4113">
        <v>1</v>
      </c>
      <c r="C4113">
        <v>8</v>
      </c>
    </row>
    <row r="4114" spans="1:3" x14ac:dyDescent="0.3">
      <c r="A4114">
        <v>80286</v>
      </c>
      <c r="B4114">
        <v>1</v>
      </c>
      <c r="C4114">
        <v>8</v>
      </c>
    </row>
    <row r="4115" spans="1:3" x14ac:dyDescent="0.3">
      <c r="A4115">
        <v>80285</v>
      </c>
      <c r="B4115">
        <v>1</v>
      </c>
      <c r="C4115">
        <v>8</v>
      </c>
    </row>
    <row r="4116" spans="1:3" x14ac:dyDescent="0.3">
      <c r="A4116">
        <v>80172</v>
      </c>
      <c r="B4116">
        <v>1</v>
      </c>
      <c r="C4116">
        <v>8</v>
      </c>
    </row>
    <row r="4117" spans="1:3" x14ac:dyDescent="0.3">
      <c r="A4117">
        <v>80171</v>
      </c>
      <c r="B4117">
        <v>1</v>
      </c>
      <c r="C4117">
        <v>8</v>
      </c>
    </row>
    <row r="4118" spans="1:3" x14ac:dyDescent="0.3">
      <c r="A4118">
        <v>80170</v>
      </c>
      <c r="B4118">
        <v>1</v>
      </c>
      <c r="C4118">
        <v>8</v>
      </c>
    </row>
    <row r="4119" spans="1:3" x14ac:dyDescent="0.3">
      <c r="A4119">
        <v>80169</v>
      </c>
      <c r="B4119">
        <v>1</v>
      </c>
      <c r="C4119">
        <v>8</v>
      </c>
    </row>
    <row r="4120" spans="1:3" x14ac:dyDescent="0.3">
      <c r="A4120">
        <v>80168</v>
      </c>
      <c r="B4120">
        <v>1</v>
      </c>
      <c r="C4120">
        <v>8</v>
      </c>
    </row>
    <row r="4121" spans="1:3" x14ac:dyDescent="0.3">
      <c r="A4121">
        <v>80033</v>
      </c>
      <c r="B4121">
        <v>1</v>
      </c>
      <c r="C4121">
        <v>8</v>
      </c>
    </row>
    <row r="4122" spans="1:3" x14ac:dyDescent="0.3">
      <c r="A4122">
        <v>79869</v>
      </c>
      <c r="B4122">
        <v>1</v>
      </c>
      <c r="C4122">
        <v>8</v>
      </c>
    </row>
    <row r="4123" spans="1:3" x14ac:dyDescent="0.3">
      <c r="A4123">
        <v>79811</v>
      </c>
      <c r="B4123">
        <v>1</v>
      </c>
      <c r="C4123">
        <v>8</v>
      </c>
    </row>
    <row r="4124" spans="1:3" x14ac:dyDescent="0.3">
      <c r="A4124">
        <v>79680</v>
      </c>
      <c r="B4124">
        <v>1</v>
      </c>
      <c r="C4124">
        <v>8</v>
      </c>
    </row>
    <row r="4125" spans="1:3" x14ac:dyDescent="0.3">
      <c r="A4125">
        <v>79645</v>
      </c>
      <c r="B4125">
        <v>1</v>
      </c>
      <c r="C4125">
        <v>8</v>
      </c>
    </row>
    <row r="4126" spans="1:3" x14ac:dyDescent="0.3">
      <c r="A4126">
        <v>79111</v>
      </c>
      <c r="B4126">
        <v>1</v>
      </c>
      <c r="C4126">
        <v>8</v>
      </c>
    </row>
    <row r="4127" spans="1:3" x14ac:dyDescent="0.3">
      <c r="A4127">
        <v>78549</v>
      </c>
      <c r="B4127">
        <v>1</v>
      </c>
      <c r="C4127">
        <v>8</v>
      </c>
    </row>
    <row r="4128" spans="1:3" x14ac:dyDescent="0.3">
      <c r="A4128">
        <v>78547</v>
      </c>
      <c r="B4128">
        <v>1</v>
      </c>
      <c r="C4128">
        <v>8</v>
      </c>
    </row>
    <row r="4129" spans="1:3" x14ac:dyDescent="0.3">
      <c r="A4129">
        <v>78546</v>
      </c>
      <c r="B4129">
        <v>1</v>
      </c>
      <c r="C4129">
        <v>8</v>
      </c>
    </row>
    <row r="4130" spans="1:3" x14ac:dyDescent="0.3">
      <c r="A4130">
        <v>78433</v>
      </c>
      <c r="B4130">
        <v>1</v>
      </c>
      <c r="C4130">
        <v>8</v>
      </c>
    </row>
    <row r="4131" spans="1:3" x14ac:dyDescent="0.3">
      <c r="A4131">
        <v>78321</v>
      </c>
      <c r="B4131">
        <v>1</v>
      </c>
      <c r="C4131">
        <v>8</v>
      </c>
    </row>
    <row r="4132" spans="1:3" x14ac:dyDescent="0.3">
      <c r="A4132">
        <v>78009</v>
      </c>
      <c r="B4132">
        <v>1</v>
      </c>
      <c r="C4132">
        <v>8</v>
      </c>
    </row>
    <row r="4133" spans="1:3" x14ac:dyDescent="0.3">
      <c r="A4133">
        <v>77969</v>
      </c>
      <c r="B4133">
        <v>1</v>
      </c>
      <c r="C4133">
        <v>8</v>
      </c>
    </row>
    <row r="4134" spans="1:3" x14ac:dyDescent="0.3">
      <c r="A4134">
        <v>77683</v>
      </c>
      <c r="B4134">
        <v>1</v>
      </c>
      <c r="C4134">
        <v>8</v>
      </c>
    </row>
    <row r="4135" spans="1:3" x14ac:dyDescent="0.3">
      <c r="A4135">
        <v>77550</v>
      </c>
      <c r="B4135">
        <v>1</v>
      </c>
      <c r="C4135">
        <v>8</v>
      </c>
    </row>
    <row r="4136" spans="1:3" x14ac:dyDescent="0.3">
      <c r="A4136">
        <v>77466</v>
      </c>
      <c r="B4136">
        <v>1</v>
      </c>
      <c r="C4136">
        <v>8</v>
      </c>
    </row>
    <row r="4137" spans="1:3" x14ac:dyDescent="0.3">
      <c r="A4137">
        <v>77112</v>
      </c>
      <c r="B4137">
        <v>1</v>
      </c>
      <c r="C4137">
        <v>8</v>
      </c>
    </row>
    <row r="4138" spans="1:3" x14ac:dyDescent="0.3">
      <c r="A4138">
        <v>77082</v>
      </c>
      <c r="B4138">
        <v>1</v>
      </c>
      <c r="C4138">
        <v>8</v>
      </c>
    </row>
    <row r="4139" spans="1:3" x14ac:dyDescent="0.3">
      <c r="A4139">
        <v>77026</v>
      </c>
      <c r="B4139">
        <v>1</v>
      </c>
      <c r="C4139">
        <v>8</v>
      </c>
    </row>
    <row r="4140" spans="1:3" x14ac:dyDescent="0.3">
      <c r="A4140">
        <v>77025</v>
      </c>
      <c r="B4140">
        <v>1</v>
      </c>
      <c r="C4140">
        <v>8</v>
      </c>
    </row>
    <row r="4141" spans="1:3" x14ac:dyDescent="0.3">
      <c r="A4141">
        <v>77024</v>
      </c>
      <c r="B4141">
        <v>1</v>
      </c>
      <c r="C4141">
        <v>8</v>
      </c>
    </row>
    <row r="4142" spans="1:3" x14ac:dyDescent="0.3">
      <c r="A4142">
        <v>77023</v>
      </c>
      <c r="B4142">
        <v>1</v>
      </c>
      <c r="C4142">
        <v>8</v>
      </c>
    </row>
    <row r="4143" spans="1:3" x14ac:dyDescent="0.3">
      <c r="A4143">
        <v>76741</v>
      </c>
      <c r="B4143">
        <v>1</v>
      </c>
      <c r="C4143">
        <v>8</v>
      </c>
    </row>
    <row r="4144" spans="1:3" x14ac:dyDescent="0.3">
      <c r="A4144">
        <v>76740</v>
      </c>
      <c r="B4144">
        <v>1</v>
      </c>
      <c r="C4144">
        <v>8</v>
      </c>
    </row>
    <row r="4145" spans="1:3" x14ac:dyDescent="0.3">
      <c r="A4145">
        <v>76738</v>
      </c>
      <c r="B4145">
        <v>1</v>
      </c>
      <c r="C4145">
        <v>8</v>
      </c>
    </row>
    <row r="4146" spans="1:3" x14ac:dyDescent="0.3">
      <c r="A4146">
        <v>76274</v>
      </c>
      <c r="B4146">
        <v>1</v>
      </c>
      <c r="C4146">
        <v>8</v>
      </c>
    </row>
    <row r="4147" spans="1:3" x14ac:dyDescent="0.3">
      <c r="A4147">
        <v>76202</v>
      </c>
      <c r="B4147">
        <v>1</v>
      </c>
      <c r="C4147">
        <v>8</v>
      </c>
    </row>
    <row r="4148" spans="1:3" x14ac:dyDescent="0.3">
      <c r="A4148">
        <v>76020</v>
      </c>
      <c r="B4148">
        <v>1</v>
      </c>
      <c r="C4148">
        <v>8</v>
      </c>
    </row>
    <row r="4149" spans="1:3" x14ac:dyDescent="0.3">
      <c r="A4149">
        <v>76019</v>
      </c>
      <c r="B4149">
        <v>1</v>
      </c>
      <c r="C4149">
        <v>8</v>
      </c>
    </row>
    <row r="4150" spans="1:3" x14ac:dyDescent="0.3">
      <c r="A4150">
        <v>75690</v>
      </c>
      <c r="B4150">
        <v>1</v>
      </c>
      <c r="C4150">
        <v>8</v>
      </c>
    </row>
    <row r="4151" spans="1:3" x14ac:dyDescent="0.3">
      <c r="A4151">
        <v>75569</v>
      </c>
      <c r="B4151">
        <v>1</v>
      </c>
      <c r="C4151">
        <v>8</v>
      </c>
    </row>
    <row r="4152" spans="1:3" x14ac:dyDescent="0.3">
      <c r="A4152">
        <v>75563</v>
      </c>
      <c r="B4152">
        <v>1</v>
      </c>
      <c r="C4152">
        <v>8</v>
      </c>
    </row>
    <row r="4153" spans="1:3" x14ac:dyDescent="0.3">
      <c r="A4153">
        <v>75520</v>
      </c>
      <c r="B4153">
        <v>1</v>
      </c>
      <c r="C4153">
        <v>8</v>
      </c>
    </row>
    <row r="4154" spans="1:3" x14ac:dyDescent="0.3">
      <c r="A4154">
        <v>75075</v>
      </c>
      <c r="B4154">
        <v>1</v>
      </c>
      <c r="C4154">
        <v>8</v>
      </c>
    </row>
    <row r="4155" spans="1:3" x14ac:dyDescent="0.3">
      <c r="A4155">
        <v>74942</v>
      </c>
      <c r="B4155">
        <v>1</v>
      </c>
      <c r="C4155">
        <v>8</v>
      </c>
    </row>
    <row r="4156" spans="1:3" x14ac:dyDescent="0.3">
      <c r="A4156">
        <v>74765</v>
      </c>
      <c r="B4156">
        <v>1</v>
      </c>
      <c r="C4156">
        <v>8</v>
      </c>
    </row>
    <row r="4157" spans="1:3" x14ac:dyDescent="0.3">
      <c r="A4157">
        <v>74764</v>
      </c>
      <c r="B4157">
        <v>1</v>
      </c>
      <c r="C4157">
        <v>8</v>
      </c>
    </row>
    <row r="4158" spans="1:3" x14ac:dyDescent="0.3">
      <c r="A4158">
        <v>74763</v>
      </c>
      <c r="B4158">
        <v>1</v>
      </c>
      <c r="C4158">
        <v>8</v>
      </c>
    </row>
    <row r="4159" spans="1:3" x14ac:dyDescent="0.3">
      <c r="A4159">
        <v>74532</v>
      </c>
      <c r="B4159">
        <v>1</v>
      </c>
      <c r="C4159">
        <v>8</v>
      </c>
    </row>
    <row r="4160" spans="1:3" x14ac:dyDescent="0.3">
      <c r="A4160">
        <v>74529</v>
      </c>
      <c r="B4160">
        <v>1</v>
      </c>
      <c r="C4160">
        <v>8</v>
      </c>
    </row>
    <row r="4161" spans="1:3" x14ac:dyDescent="0.3">
      <c r="A4161">
        <v>74471</v>
      </c>
      <c r="B4161">
        <v>1</v>
      </c>
      <c r="C4161">
        <v>8</v>
      </c>
    </row>
    <row r="4162" spans="1:3" x14ac:dyDescent="0.3">
      <c r="A4162">
        <v>74262</v>
      </c>
      <c r="B4162">
        <v>1</v>
      </c>
      <c r="C4162">
        <v>8</v>
      </c>
    </row>
    <row r="4163" spans="1:3" x14ac:dyDescent="0.3">
      <c r="A4163">
        <v>74261</v>
      </c>
      <c r="B4163">
        <v>1</v>
      </c>
      <c r="C4163">
        <v>8</v>
      </c>
    </row>
    <row r="4164" spans="1:3" x14ac:dyDescent="0.3">
      <c r="A4164">
        <v>74260</v>
      </c>
      <c r="B4164">
        <v>1</v>
      </c>
      <c r="C4164">
        <v>8</v>
      </c>
    </row>
    <row r="4165" spans="1:3" x14ac:dyDescent="0.3">
      <c r="A4165">
        <v>74259</v>
      </c>
      <c r="B4165">
        <v>1</v>
      </c>
      <c r="C4165">
        <v>8</v>
      </c>
    </row>
    <row r="4166" spans="1:3" x14ac:dyDescent="0.3">
      <c r="A4166">
        <v>74208</v>
      </c>
      <c r="B4166">
        <v>1</v>
      </c>
      <c r="C4166">
        <v>8</v>
      </c>
    </row>
    <row r="4167" spans="1:3" x14ac:dyDescent="0.3">
      <c r="A4167">
        <v>74117</v>
      </c>
      <c r="B4167">
        <v>1</v>
      </c>
      <c r="C4167">
        <v>8</v>
      </c>
    </row>
    <row r="4168" spans="1:3" x14ac:dyDescent="0.3">
      <c r="A4168">
        <v>74116</v>
      </c>
      <c r="B4168">
        <v>1</v>
      </c>
      <c r="C4168">
        <v>8</v>
      </c>
    </row>
    <row r="4169" spans="1:3" x14ac:dyDescent="0.3">
      <c r="A4169">
        <v>74089</v>
      </c>
      <c r="B4169">
        <v>1</v>
      </c>
      <c r="C4169">
        <v>8</v>
      </c>
    </row>
    <row r="4170" spans="1:3" x14ac:dyDescent="0.3">
      <c r="A4170">
        <v>73432</v>
      </c>
      <c r="B4170">
        <v>1</v>
      </c>
      <c r="C4170">
        <v>8</v>
      </c>
    </row>
    <row r="4171" spans="1:3" x14ac:dyDescent="0.3">
      <c r="A4171">
        <v>73208</v>
      </c>
      <c r="B4171">
        <v>1</v>
      </c>
      <c r="C4171">
        <v>8</v>
      </c>
    </row>
    <row r="4172" spans="1:3" x14ac:dyDescent="0.3">
      <c r="A4172">
        <v>72582</v>
      </c>
      <c r="B4172">
        <v>1</v>
      </c>
      <c r="C4172">
        <v>8</v>
      </c>
    </row>
    <row r="4173" spans="1:3" x14ac:dyDescent="0.3">
      <c r="A4173">
        <v>71530</v>
      </c>
      <c r="B4173">
        <v>1</v>
      </c>
      <c r="C4173">
        <v>8</v>
      </c>
    </row>
    <row r="4174" spans="1:3" x14ac:dyDescent="0.3">
      <c r="A4174">
        <v>71430</v>
      </c>
      <c r="B4174">
        <v>1</v>
      </c>
      <c r="C4174">
        <v>8</v>
      </c>
    </row>
    <row r="4175" spans="1:3" x14ac:dyDescent="0.3">
      <c r="A4175">
        <v>71314</v>
      </c>
      <c r="B4175">
        <v>1</v>
      </c>
      <c r="C4175">
        <v>8</v>
      </c>
    </row>
    <row r="4176" spans="1:3" x14ac:dyDescent="0.3">
      <c r="A4176">
        <v>70930</v>
      </c>
      <c r="B4176">
        <v>1</v>
      </c>
      <c r="C4176">
        <v>8</v>
      </c>
    </row>
    <row r="4177" spans="1:3" x14ac:dyDescent="0.3">
      <c r="A4177">
        <v>70826</v>
      </c>
      <c r="B4177">
        <v>1</v>
      </c>
      <c r="C4177">
        <v>8</v>
      </c>
    </row>
    <row r="4178" spans="1:3" x14ac:dyDescent="0.3">
      <c r="A4178">
        <v>70742</v>
      </c>
      <c r="B4178">
        <v>1</v>
      </c>
      <c r="C4178">
        <v>8</v>
      </c>
    </row>
    <row r="4179" spans="1:3" x14ac:dyDescent="0.3">
      <c r="A4179">
        <v>70487</v>
      </c>
      <c r="B4179">
        <v>1</v>
      </c>
      <c r="C4179">
        <v>8</v>
      </c>
    </row>
    <row r="4180" spans="1:3" x14ac:dyDescent="0.3">
      <c r="A4180">
        <v>70349</v>
      </c>
      <c r="B4180">
        <v>1</v>
      </c>
      <c r="C4180">
        <v>8</v>
      </c>
    </row>
    <row r="4181" spans="1:3" x14ac:dyDescent="0.3">
      <c r="A4181">
        <v>70166</v>
      </c>
      <c r="B4181">
        <v>1</v>
      </c>
      <c r="C4181">
        <v>8</v>
      </c>
    </row>
    <row r="4182" spans="1:3" x14ac:dyDescent="0.3">
      <c r="A4182">
        <v>69041</v>
      </c>
      <c r="B4182">
        <v>1</v>
      </c>
      <c r="C4182">
        <v>16</v>
      </c>
    </row>
    <row r="4183" spans="1:3" x14ac:dyDescent="0.3">
      <c r="A4183">
        <v>68947</v>
      </c>
      <c r="B4183">
        <v>1</v>
      </c>
      <c r="C4183">
        <v>8</v>
      </c>
    </row>
    <row r="4184" spans="1:3" x14ac:dyDescent="0.3">
      <c r="A4184">
        <v>68523</v>
      </c>
      <c r="B4184">
        <v>1</v>
      </c>
      <c r="C4184">
        <v>8</v>
      </c>
    </row>
    <row r="4185" spans="1:3" x14ac:dyDescent="0.3">
      <c r="A4185">
        <v>67963</v>
      </c>
      <c r="B4185">
        <v>1</v>
      </c>
      <c r="C4185">
        <v>8</v>
      </c>
    </row>
    <row r="4186" spans="1:3" x14ac:dyDescent="0.3">
      <c r="A4186">
        <v>67805</v>
      </c>
      <c r="B4186">
        <v>1</v>
      </c>
      <c r="C4186">
        <v>8</v>
      </c>
    </row>
    <row r="4187" spans="1:3" x14ac:dyDescent="0.3">
      <c r="A4187">
        <v>67804</v>
      </c>
      <c r="B4187">
        <v>1</v>
      </c>
      <c r="C4187">
        <v>8</v>
      </c>
    </row>
    <row r="4188" spans="1:3" x14ac:dyDescent="0.3">
      <c r="A4188">
        <v>67588</v>
      </c>
      <c r="B4188">
        <v>1</v>
      </c>
      <c r="C4188">
        <v>8</v>
      </c>
    </row>
    <row r="4189" spans="1:3" x14ac:dyDescent="0.3">
      <c r="A4189">
        <v>13942</v>
      </c>
      <c r="B4189">
        <v>1</v>
      </c>
      <c r="C4189">
        <v>16</v>
      </c>
    </row>
    <row r="4190" spans="1:3" x14ac:dyDescent="0.3">
      <c r="A4190">
        <v>65793</v>
      </c>
      <c r="B4190">
        <v>1</v>
      </c>
      <c r="C4190">
        <v>8</v>
      </c>
    </row>
    <row r="4191" spans="1:3" x14ac:dyDescent="0.3">
      <c r="A4191">
        <v>65602</v>
      </c>
      <c r="B4191">
        <v>1</v>
      </c>
      <c r="C4191">
        <v>8</v>
      </c>
    </row>
    <row r="4192" spans="1:3" x14ac:dyDescent="0.3">
      <c r="A4192">
        <v>65430</v>
      </c>
      <c r="B4192">
        <v>1</v>
      </c>
      <c r="C4192">
        <v>8</v>
      </c>
    </row>
    <row r="4193" spans="1:3" x14ac:dyDescent="0.3">
      <c r="A4193">
        <v>65429</v>
      </c>
      <c r="B4193">
        <v>1</v>
      </c>
      <c r="C4193">
        <v>8</v>
      </c>
    </row>
    <row r="4194" spans="1:3" x14ac:dyDescent="0.3">
      <c r="A4194">
        <v>65374</v>
      </c>
      <c r="B4194">
        <v>1</v>
      </c>
      <c r="C4194">
        <v>8</v>
      </c>
    </row>
    <row r="4195" spans="1:3" x14ac:dyDescent="0.3">
      <c r="A4195">
        <v>64772</v>
      </c>
      <c r="B4195">
        <v>1</v>
      </c>
      <c r="C4195">
        <v>8</v>
      </c>
    </row>
    <row r="4196" spans="1:3" x14ac:dyDescent="0.3">
      <c r="A4196">
        <v>64555</v>
      </c>
      <c r="B4196">
        <v>1</v>
      </c>
      <c r="C4196">
        <v>8</v>
      </c>
    </row>
    <row r="4197" spans="1:3" x14ac:dyDescent="0.3">
      <c r="A4197">
        <v>64439</v>
      </c>
      <c r="B4197">
        <v>1</v>
      </c>
      <c r="C4197">
        <v>8</v>
      </c>
    </row>
    <row r="4198" spans="1:3" x14ac:dyDescent="0.3">
      <c r="A4198">
        <v>64148</v>
      </c>
      <c r="B4198">
        <v>1</v>
      </c>
      <c r="C4198">
        <v>8</v>
      </c>
    </row>
    <row r="4199" spans="1:3" x14ac:dyDescent="0.3">
      <c r="A4199">
        <v>62389</v>
      </c>
      <c r="B4199">
        <v>1</v>
      </c>
      <c r="C4199">
        <v>8</v>
      </c>
    </row>
    <row r="4200" spans="1:3" x14ac:dyDescent="0.3">
      <c r="A4200">
        <v>61839</v>
      </c>
      <c r="B4200">
        <v>1</v>
      </c>
      <c r="C4200">
        <v>8</v>
      </c>
    </row>
    <row r="4201" spans="1:3" x14ac:dyDescent="0.3">
      <c r="A4201">
        <v>61441</v>
      </c>
      <c r="B4201">
        <v>1</v>
      </c>
      <c r="C4201">
        <v>16</v>
      </c>
    </row>
    <row r="4202" spans="1:3" x14ac:dyDescent="0.3">
      <c r="A4202">
        <v>58897</v>
      </c>
      <c r="B4202">
        <v>1</v>
      </c>
      <c r="C4202">
        <v>8</v>
      </c>
    </row>
    <row r="4203" spans="1:3" x14ac:dyDescent="0.3">
      <c r="A4203">
        <v>58895</v>
      </c>
      <c r="B4203">
        <v>1</v>
      </c>
      <c r="C4203">
        <v>8</v>
      </c>
    </row>
    <row r="4204" spans="1:3" x14ac:dyDescent="0.3">
      <c r="A4204">
        <v>58893</v>
      </c>
      <c r="B4204">
        <v>1</v>
      </c>
      <c r="C4204">
        <v>8</v>
      </c>
    </row>
    <row r="4205" spans="1:3" x14ac:dyDescent="0.3">
      <c r="A4205">
        <v>57701</v>
      </c>
      <c r="B4205">
        <v>1</v>
      </c>
      <c r="C4205">
        <v>8</v>
      </c>
    </row>
    <row r="4206" spans="1:3" x14ac:dyDescent="0.3">
      <c r="A4206">
        <v>55728</v>
      </c>
      <c r="B4206">
        <v>1</v>
      </c>
      <c r="C4206">
        <v>8</v>
      </c>
    </row>
    <row r="4207" spans="1:3" x14ac:dyDescent="0.3">
      <c r="A4207">
        <v>55124</v>
      </c>
      <c r="B4207">
        <v>1</v>
      </c>
      <c r="C4207">
        <v>8</v>
      </c>
    </row>
    <row r="4208" spans="1:3" x14ac:dyDescent="0.3">
      <c r="A4208">
        <v>55081</v>
      </c>
      <c r="B4208">
        <v>1</v>
      </c>
      <c r="C4208">
        <v>8</v>
      </c>
    </row>
    <row r="4209" spans="1:3" x14ac:dyDescent="0.3">
      <c r="A4209">
        <v>55072</v>
      </c>
      <c r="B4209">
        <v>1</v>
      </c>
      <c r="C4209">
        <v>8</v>
      </c>
    </row>
    <row r="4210" spans="1:3" x14ac:dyDescent="0.3">
      <c r="A4210">
        <v>54563</v>
      </c>
      <c r="B4210">
        <v>1</v>
      </c>
      <c r="C4210">
        <v>8</v>
      </c>
    </row>
    <row r="4211" spans="1:3" x14ac:dyDescent="0.3">
      <c r="A4211">
        <v>54446</v>
      </c>
      <c r="B4211">
        <v>1</v>
      </c>
      <c r="C4211">
        <v>8</v>
      </c>
    </row>
    <row r="4212" spans="1:3" x14ac:dyDescent="0.3">
      <c r="A4212">
        <v>54251</v>
      </c>
      <c r="B4212">
        <v>1</v>
      </c>
      <c r="C4212">
        <v>8</v>
      </c>
    </row>
    <row r="4213" spans="1:3" x14ac:dyDescent="0.3">
      <c r="A4213">
        <v>54250</v>
      </c>
      <c r="B4213">
        <v>1</v>
      </c>
      <c r="C4213">
        <v>8</v>
      </c>
    </row>
    <row r="4214" spans="1:3" x14ac:dyDescent="0.3">
      <c r="A4214">
        <v>16269</v>
      </c>
      <c r="B4214">
        <v>1</v>
      </c>
      <c r="C4214">
        <v>8</v>
      </c>
    </row>
    <row r="4215" spans="1:3" x14ac:dyDescent="0.3">
      <c r="A4215">
        <v>53974</v>
      </c>
      <c r="B4215">
        <v>1</v>
      </c>
      <c r="C4215">
        <v>8</v>
      </c>
    </row>
    <row r="4216" spans="1:3" x14ac:dyDescent="0.3">
      <c r="A4216">
        <v>53181</v>
      </c>
      <c r="B4216">
        <v>1</v>
      </c>
      <c r="C4216">
        <v>16</v>
      </c>
    </row>
    <row r="4217" spans="1:3" x14ac:dyDescent="0.3">
      <c r="A4217">
        <v>53027</v>
      </c>
      <c r="B4217">
        <v>1</v>
      </c>
      <c r="C4217">
        <v>8</v>
      </c>
    </row>
    <row r="4218" spans="1:3" x14ac:dyDescent="0.3">
      <c r="A4218">
        <v>52915</v>
      </c>
      <c r="B4218">
        <v>1</v>
      </c>
      <c r="C4218">
        <v>8</v>
      </c>
    </row>
    <row r="4219" spans="1:3" x14ac:dyDescent="0.3">
      <c r="A4219">
        <v>52526</v>
      </c>
      <c r="B4219">
        <v>1</v>
      </c>
      <c r="C4219">
        <v>8</v>
      </c>
    </row>
    <row r="4220" spans="1:3" x14ac:dyDescent="0.3">
      <c r="A4220">
        <v>52392</v>
      </c>
      <c r="B4220">
        <v>1</v>
      </c>
      <c r="C4220">
        <v>8</v>
      </c>
    </row>
    <row r="4221" spans="1:3" x14ac:dyDescent="0.3">
      <c r="A4221">
        <v>51892</v>
      </c>
      <c r="B4221">
        <v>1</v>
      </c>
      <c r="C4221">
        <v>8</v>
      </c>
    </row>
    <row r="4222" spans="1:3" x14ac:dyDescent="0.3">
      <c r="A4222">
        <v>51710</v>
      </c>
      <c r="B4222">
        <v>1</v>
      </c>
      <c r="C4222">
        <v>8</v>
      </c>
    </row>
    <row r="4223" spans="1:3" x14ac:dyDescent="0.3">
      <c r="A4223">
        <v>51709</v>
      </c>
      <c r="B4223">
        <v>1</v>
      </c>
      <c r="C4223">
        <v>8</v>
      </c>
    </row>
    <row r="4224" spans="1:3" x14ac:dyDescent="0.3">
      <c r="A4224">
        <v>51419</v>
      </c>
      <c r="B4224">
        <v>1</v>
      </c>
      <c r="C4224">
        <v>8</v>
      </c>
    </row>
    <row r="4225" spans="1:3" x14ac:dyDescent="0.3">
      <c r="A4225">
        <v>51049</v>
      </c>
      <c r="B4225">
        <v>1</v>
      </c>
      <c r="C4225">
        <v>8</v>
      </c>
    </row>
    <row r="4226" spans="1:3" x14ac:dyDescent="0.3">
      <c r="A4226">
        <v>51047</v>
      </c>
      <c r="B4226">
        <v>1</v>
      </c>
      <c r="C4226">
        <v>16</v>
      </c>
    </row>
    <row r="4227" spans="1:3" x14ac:dyDescent="0.3">
      <c r="A4227">
        <v>50882</v>
      </c>
      <c r="B4227">
        <v>1</v>
      </c>
      <c r="C4227">
        <v>8</v>
      </c>
    </row>
    <row r="4228" spans="1:3" x14ac:dyDescent="0.3">
      <c r="A4228">
        <v>50487</v>
      </c>
      <c r="B4228">
        <v>1</v>
      </c>
      <c r="C4228">
        <v>8</v>
      </c>
    </row>
    <row r="4229" spans="1:3" x14ac:dyDescent="0.3">
      <c r="A4229">
        <v>50030</v>
      </c>
      <c r="B4229">
        <v>1</v>
      </c>
      <c r="C4229">
        <v>8</v>
      </c>
    </row>
    <row r="4230" spans="1:3" x14ac:dyDescent="0.3">
      <c r="A4230">
        <v>17026</v>
      </c>
      <c r="B4230">
        <v>1</v>
      </c>
      <c r="C4230">
        <v>8</v>
      </c>
    </row>
    <row r="4231" spans="1:3" x14ac:dyDescent="0.3">
      <c r="A4231">
        <v>17066</v>
      </c>
      <c r="B4231">
        <v>1</v>
      </c>
      <c r="C4231">
        <v>8</v>
      </c>
    </row>
    <row r="4232" spans="1:3" x14ac:dyDescent="0.3">
      <c r="A4232">
        <v>49776</v>
      </c>
      <c r="B4232">
        <v>1</v>
      </c>
      <c r="C4232">
        <v>16</v>
      </c>
    </row>
    <row r="4233" spans="1:3" x14ac:dyDescent="0.3">
      <c r="A4233">
        <v>49665</v>
      </c>
      <c r="B4233">
        <v>1</v>
      </c>
      <c r="C4233">
        <v>8</v>
      </c>
    </row>
    <row r="4234" spans="1:3" x14ac:dyDescent="0.3">
      <c r="A4234">
        <v>49214</v>
      </c>
      <c r="B4234">
        <v>1</v>
      </c>
      <c r="C4234">
        <v>8</v>
      </c>
    </row>
    <row r="4235" spans="1:3" x14ac:dyDescent="0.3">
      <c r="A4235">
        <v>49093</v>
      </c>
      <c r="B4235">
        <v>1</v>
      </c>
      <c r="C4235">
        <v>8</v>
      </c>
    </row>
    <row r="4236" spans="1:3" x14ac:dyDescent="0.3">
      <c r="A4236">
        <v>48782</v>
      </c>
      <c r="B4236">
        <v>1</v>
      </c>
      <c r="C4236">
        <v>16</v>
      </c>
    </row>
    <row r="4237" spans="1:3" x14ac:dyDescent="0.3">
      <c r="A4237">
        <v>48654</v>
      </c>
      <c r="B4237">
        <v>1</v>
      </c>
      <c r="C4237">
        <v>8</v>
      </c>
    </row>
    <row r="4238" spans="1:3" x14ac:dyDescent="0.3">
      <c r="A4238">
        <v>47558</v>
      </c>
      <c r="B4238">
        <v>1</v>
      </c>
      <c r="C4238">
        <v>8</v>
      </c>
    </row>
    <row r="4239" spans="1:3" x14ac:dyDescent="0.3">
      <c r="A4239">
        <v>47387</v>
      </c>
      <c r="B4239">
        <v>1</v>
      </c>
      <c r="C4239">
        <v>8</v>
      </c>
    </row>
    <row r="4240" spans="1:3" x14ac:dyDescent="0.3">
      <c r="A4240">
        <v>47122</v>
      </c>
      <c r="B4240">
        <v>1</v>
      </c>
      <c r="C4240">
        <v>8</v>
      </c>
    </row>
    <row r="4241" spans="1:3" x14ac:dyDescent="0.3">
      <c r="A4241">
        <v>46655</v>
      </c>
      <c r="B4241">
        <v>1</v>
      </c>
      <c r="C4241">
        <v>8</v>
      </c>
    </row>
    <row r="4242" spans="1:3" x14ac:dyDescent="0.3">
      <c r="A4242">
        <v>17597</v>
      </c>
      <c r="B4242">
        <v>1</v>
      </c>
      <c r="C4242">
        <v>8</v>
      </c>
    </row>
    <row r="4243" spans="1:3" x14ac:dyDescent="0.3">
      <c r="A4243">
        <v>43061</v>
      </c>
      <c r="B4243">
        <v>1</v>
      </c>
      <c r="C4243">
        <v>8</v>
      </c>
    </row>
    <row r="4244" spans="1:3" x14ac:dyDescent="0.3">
      <c r="A4244">
        <v>17898</v>
      </c>
      <c r="B4244">
        <v>1</v>
      </c>
      <c r="C4244">
        <v>8</v>
      </c>
    </row>
    <row r="4245" spans="1:3" x14ac:dyDescent="0.3">
      <c r="A4245">
        <v>17911</v>
      </c>
      <c r="B4245">
        <v>1</v>
      </c>
      <c r="C4245">
        <v>8</v>
      </c>
    </row>
    <row r="4246" spans="1:3" x14ac:dyDescent="0.3">
      <c r="A4246">
        <v>18214</v>
      </c>
      <c r="B4246">
        <v>1</v>
      </c>
      <c r="C4246">
        <v>8</v>
      </c>
    </row>
    <row r="4247" spans="1:3" x14ac:dyDescent="0.3">
      <c r="A4247">
        <v>38930</v>
      </c>
      <c r="B4247">
        <v>1</v>
      </c>
      <c r="C4247">
        <v>8</v>
      </c>
    </row>
    <row r="4248" spans="1:3" x14ac:dyDescent="0.3">
      <c r="A4248">
        <v>38929</v>
      </c>
      <c r="B4248">
        <v>1</v>
      </c>
      <c r="C4248">
        <v>8</v>
      </c>
    </row>
    <row r="4249" spans="1:3" x14ac:dyDescent="0.3">
      <c r="A4249">
        <v>36995</v>
      </c>
      <c r="B4249">
        <v>1</v>
      </c>
      <c r="C4249">
        <v>8</v>
      </c>
    </row>
    <row r="4250" spans="1:3" x14ac:dyDescent="0.3">
      <c r="A4250">
        <v>36482</v>
      </c>
      <c r="B4250">
        <v>1</v>
      </c>
      <c r="C4250">
        <v>8</v>
      </c>
    </row>
    <row r="4251" spans="1:3" x14ac:dyDescent="0.3">
      <c r="A4251">
        <v>36481</v>
      </c>
      <c r="B4251">
        <v>1</v>
      </c>
      <c r="C4251">
        <v>8</v>
      </c>
    </row>
    <row r="4252" spans="1:3" x14ac:dyDescent="0.3">
      <c r="A4252">
        <v>36479</v>
      </c>
      <c r="B4252">
        <v>1</v>
      </c>
      <c r="C4252">
        <v>8</v>
      </c>
    </row>
    <row r="4253" spans="1:3" x14ac:dyDescent="0.3">
      <c r="A4253">
        <v>36089</v>
      </c>
      <c r="B4253">
        <v>1</v>
      </c>
      <c r="C4253">
        <v>8</v>
      </c>
    </row>
    <row r="4254" spans="1:3" x14ac:dyDescent="0.3">
      <c r="A4254">
        <v>35988</v>
      </c>
      <c r="B4254">
        <v>1</v>
      </c>
      <c r="C4254">
        <v>8</v>
      </c>
    </row>
    <row r="4255" spans="1:3" x14ac:dyDescent="0.3">
      <c r="A4255">
        <v>35638</v>
      </c>
      <c r="B4255">
        <v>1</v>
      </c>
      <c r="C4255">
        <v>8</v>
      </c>
    </row>
    <row r="4256" spans="1:3" x14ac:dyDescent="0.3">
      <c r="A4256">
        <v>18642</v>
      </c>
      <c r="B4256">
        <v>1</v>
      </c>
      <c r="C4256">
        <v>8</v>
      </c>
    </row>
    <row r="4257" spans="1:3" x14ac:dyDescent="0.3">
      <c r="A4257">
        <v>34616</v>
      </c>
      <c r="B4257">
        <v>1</v>
      </c>
      <c r="C4257">
        <v>8</v>
      </c>
    </row>
    <row r="4258" spans="1:3" x14ac:dyDescent="0.3">
      <c r="A4258">
        <v>34615</v>
      </c>
      <c r="B4258">
        <v>1</v>
      </c>
      <c r="C4258">
        <v>8</v>
      </c>
    </row>
    <row r="4259" spans="1:3" x14ac:dyDescent="0.3">
      <c r="A4259">
        <v>33859</v>
      </c>
      <c r="B4259">
        <v>1</v>
      </c>
      <c r="C4259">
        <v>8</v>
      </c>
    </row>
    <row r="4260" spans="1:3" x14ac:dyDescent="0.3">
      <c r="A4260">
        <v>33139</v>
      </c>
      <c r="B4260">
        <v>1</v>
      </c>
      <c r="C4260">
        <v>8</v>
      </c>
    </row>
    <row r="4261" spans="1:3" x14ac:dyDescent="0.3">
      <c r="A4261">
        <v>31707</v>
      </c>
      <c r="B4261">
        <v>1</v>
      </c>
      <c r="C4261">
        <v>8</v>
      </c>
    </row>
    <row r="4262" spans="1:3" x14ac:dyDescent="0.3">
      <c r="A4262">
        <v>30785</v>
      </c>
      <c r="B4262">
        <v>1</v>
      </c>
      <c r="C4262">
        <v>8</v>
      </c>
    </row>
    <row r="4263" spans="1:3" x14ac:dyDescent="0.3">
      <c r="A4263">
        <v>30362</v>
      </c>
      <c r="B4263">
        <v>1</v>
      </c>
      <c r="C4263">
        <v>8</v>
      </c>
    </row>
    <row r="4264" spans="1:3" x14ac:dyDescent="0.3">
      <c r="A4264">
        <v>30165</v>
      </c>
      <c r="B4264">
        <v>1</v>
      </c>
      <c r="C4264">
        <v>8</v>
      </c>
    </row>
    <row r="4265" spans="1:3" x14ac:dyDescent="0.3">
      <c r="A4265">
        <v>28898</v>
      </c>
      <c r="B4265">
        <v>1</v>
      </c>
      <c r="C4265">
        <v>8</v>
      </c>
    </row>
    <row r="4266" spans="1:3" x14ac:dyDescent="0.3">
      <c r="A4266">
        <v>28526</v>
      </c>
      <c r="B4266">
        <v>1</v>
      </c>
      <c r="C4266">
        <v>8</v>
      </c>
    </row>
    <row r="4267" spans="1:3" x14ac:dyDescent="0.3">
      <c r="A4267">
        <v>27627</v>
      </c>
      <c r="B4267">
        <v>1</v>
      </c>
      <c r="C4267">
        <v>8</v>
      </c>
    </row>
    <row r="4268" spans="1:3" x14ac:dyDescent="0.3">
      <c r="A4268">
        <v>27159</v>
      </c>
      <c r="B4268">
        <v>1</v>
      </c>
      <c r="C4268">
        <v>8</v>
      </c>
    </row>
    <row r="4269" spans="1:3" x14ac:dyDescent="0.3">
      <c r="A4269">
        <v>27156</v>
      </c>
      <c r="B4269">
        <v>1</v>
      </c>
      <c r="C4269">
        <v>8</v>
      </c>
    </row>
    <row r="4270" spans="1:3" x14ac:dyDescent="0.3">
      <c r="A4270">
        <v>26894</v>
      </c>
      <c r="B4270">
        <v>1</v>
      </c>
      <c r="C4270">
        <v>8</v>
      </c>
    </row>
    <row r="4271" spans="1:3" x14ac:dyDescent="0.3">
      <c r="A4271">
        <v>20537</v>
      </c>
      <c r="B4271">
        <v>1</v>
      </c>
      <c r="C4271">
        <v>8</v>
      </c>
    </row>
    <row r="4272" spans="1:3" x14ac:dyDescent="0.3">
      <c r="A4272">
        <v>25722</v>
      </c>
      <c r="B4272">
        <v>1</v>
      </c>
      <c r="C4272">
        <v>8</v>
      </c>
    </row>
    <row r="4273" spans="1:3" x14ac:dyDescent="0.3">
      <c r="A4273">
        <v>24005</v>
      </c>
      <c r="B4273">
        <v>1</v>
      </c>
      <c r="C4273">
        <v>8</v>
      </c>
    </row>
    <row r="4274" spans="1:3" x14ac:dyDescent="0.3">
      <c r="A4274">
        <v>23641</v>
      </c>
      <c r="B4274">
        <v>1</v>
      </c>
      <c r="C4274">
        <v>8</v>
      </c>
    </row>
    <row r="4275" spans="1:3" x14ac:dyDescent="0.3">
      <c r="A4275">
        <v>23640</v>
      </c>
      <c r="B4275">
        <v>1</v>
      </c>
      <c r="C4275">
        <v>8</v>
      </c>
    </row>
    <row r="4276" spans="1:3" x14ac:dyDescent="0.3">
      <c r="A4276">
        <v>20891</v>
      </c>
      <c r="B4276">
        <v>1</v>
      </c>
      <c r="C4276">
        <v>8</v>
      </c>
    </row>
    <row r="4277" spans="1:3" x14ac:dyDescent="0.3">
      <c r="A4277">
        <v>21321</v>
      </c>
      <c r="B4277">
        <v>1</v>
      </c>
      <c r="C4277">
        <v>8</v>
      </c>
    </row>
    <row r="4278" spans="1:3" x14ac:dyDescent="0.3">
      <c r="A4278">
        <v>21164</v>
      </c>
      <c r="B4278">
        <v>1</v>
      </c>
      <c r="C4278">
        <v>8</v>
      </c>
    </row>
    <row r="4279" spans="1:3" x14ac:dyDescent="0.3">
      <c r="A4279">
        <v>76903</v>
      </c>
      <c r="B4279">
        <v>1</v>
      </c>
      <c r="C4279">
        <v>8</v>
      </c>
    </row>
    <row r="4280" spans="1:3" x14ac:dyDescent="0.3">
      <c r="A4280">
        <v>11012</v>
      </c>
      <c r="B4280">
        <v>2</v>
      </c>
      <c r="C4280">
        <v>8</v>
      </c>
    </row>
    <row r="4281" spans="1:3" x14ac:dyDescent="0.3">
      <c r="A4281">
        <v>76275</v>
      </c>
      <c r="B4281">
        <v>1</v>
      </c>
      <c r="C4281">
        <v>8</v>
      </c>
    </row>
    <row r="4282" spans="1:3" x14ac:dyDescent="0.3">
      <c r="A4282">
        <v>75835</v>
      </c>
      <c r="B4282">
        <v>1</v>
      </c>
      <c r="C4282">
        <v>8</v>
      </c>
    </row>
    <row r="4283" spans="1:3" x14ac:dyDescent="0.3">
      <c r="A4283">
        <v>73061</v>
      </c>
      <c r="B4283">
        <v>2</v>
      </c>
      <c r="C4283">
        <v>16</v>
      </c>
    </row>
    <row r="4284" spans="1:3" x14ac:dyDescent="0.3">
      <c r="A4284">
        <v>73061</v>
      </c>
      <c r="B4284">
        <v>2</v>
      </c>
      <c r="C4284">
        <v>16</v>
      </c>
    </row>
    <row r="4285" spans="1:3" x14ac:dyDescent="0.3">
      <c r="A4285">
        <v>69076</v>
      </c>
      <c r="B4285">
        <v>2</v>
      </c>
      <c r="C4285">
        <v>16</v>
      </c>
    </row>
    <row r="4286" spans="1:3" x14ac:dyDescent="0.3">
      <c r="A4286">
        <v>69076</v>
      </c>
      <c r="B4286">
        <v>2</v>
      </c>
      <c r="C4286">
        <v>16</v>
      </c>
    </row>
    <row r="4287" spans="1:3" x14ac:dyDescent="0.3">
      <c r="A4287">
        <v>68830</v>
      </c>
      <c r="B4287">
        <v>1</v>
      </c>
      <c r="C4287">
        <v>8</v>
      </c>
    </row>
    <row r="4288" spans="1:3" x14ac:dyDescent="0.3">
      <c r="A4288">
        <v>67437</v>
      </c>
      <c r="B4288">
        <v>1</v>
      </c>
      <c r="C4288">
        <v>8</v>
      </c>
    </row>
    <row r="4289" spans="1:3" x14ac:dyDescent="0.3">
      <c r="A4289">
        <v>14065</v>
      </c>
      <c r="B4289">
        <v>2</v>
      </c>
      <c r="C4289">
        <v>16</v>
      </c>
    </row>
    <row r="4290" spans="1:3" x14ac:dyDescent="0.3">
      <c r="A4290">
        <v>14635</v>
      </c>
      <c r="B4290">
        <v>1</v>
      </c>
      <c r="C4290">
        <v>8</v>
      </c>
    </row>
    <row r="4291" spans="1:3" x14ac:dyDescent="0.3">
      <c r="A4291">
        <v>62890</v>
      </c>
      <c r="B4291">
        <v>1</v>
      </c>
      <c r="C4291">
        <v>8</v>
      </c>
    </row>
    <row r="4292" spans="1:3" x14ac:dyDescent="0.3">
      <c r="A4292">
        <v>62838</v>
      </c>
      <c r="B4292">
        <v>1</v>
      </c>
      <c r="C4292">
        <v>8</v>
      </c>
    </row>
    <row r="4293" spans="1:3" x14ac:dyDescent="0.3">
      <c r="A4293">
        <v>62108</v>
      </c>
      <c r="B4293">
        <v>1</v>
      </c>
      <c r="C4293">
        <v>8</v>
      </c>
    </row>
    <row r="4294" spans="1:3" x14ac:dyDescent="0.3">
      <c r="A4294">
        <v>58336</v>
      </c>
      <c r="B4294">
        <v>2</v>
      </c>
      <c r="C4294">
        <v>16</v>
      </c>
    </row>
    <row r="4295" spans="1:3" x14ac:dyDescent="0.3">
      <c r="A4295">
        <v>58336</v>
      </c>
      <c r="B4295">
        <v>2</v>
      </c>
      <c r="C4295">
        <v>16</v>
      </c>
    </row>
    <row r="4296" spans="1:3" x14ac:dyDescent="0.3">
      <c r="A4296">
        <v>15950</v>
      </c>
      <c r="B4296">
        <v>1</v>
      </c>
      <c r="C4296">
        <v>8</v>
      </c>
    </row>
    <row r="4297" spans="1:3" x14ac:dyDescent="0.3">
      <c r="A4297">
        <v>57272</v>
      </c>
      <c r="B4297">
        <v>1</v>
      </c>
      <c r="C4297">
        <v>8</v>
      </c>
    </row>
    <row r="4298" spans="1:3" x14ac:dyDescent="0.3">
      <c r="A4298">
        <v>57271</v>
      </c>
      <c r="B4298">
        <v>1</v>
      </c>
      <c r="C4298">
        <v>8</v>
      </c>
    </row>
    <row r="4299" spans="1:3" x14ac:dyDescent="0.3">
      <c r="A4299">
        <v>52572</v>
      </c>
      <c r="B4299">
        <v>1</v>
      </c>
      <c r="C4299">
        <v>8</v>
      </c>
    </row>
    <row r="4300" spans="1:3" x14ac:dyDescent="0.3">
      <c r="A4300">
        <v>52308</v>
      </c>
      <c r="B4300">
        <v>2</v>
      </c>
      <c r="C4300">
        <v>16</v>
      </c>
    </row>
    <row r="4301" spans="1:3" x14ac:dyDescent="0.3">
      <c r="A4301">
        <v>16754</v>
      </c>
      <c r="B4301">
        <v>1</v>
      </c>
      <c r="C4301">
        <v>8</v>
      </c>
    </row>
    <row r="4302" spans="1:3" x14ac:dyDescent="0.3">
      <c r="A4302">
        <v>50775</v>
      </c>
      <c r="B4302">
        <v>1</v>
      </c>
      <c r="C4302">
        <v>16</v>
      </c>
    </row>
    <row r="4303" spans="1:3" x14ac:dyDescent="0.3">
      <c r="A4303">
        <v>49787</v>
      </c>
      <c r="B4303">
        <v>1</v>
      </c>
      <c r="C4303">
        <v>8</v>
      </c>
    </row>
    <row r="4304" spans="1:3" x14ac:dyDescent="0.3">
      <c r="A4304">
        <v>49786</v>
      </c>
      <c r="B4304">
        <v>1</v>
      </c>
      <c r="C4304">
        <v>8</v>
      </c>
    </row>
    <row r="4305" spans="1:3" x14ac:dyDescent="0.3">
      <c r="A4305">
        <v>49785</v>
      </c>
      <c r="B4305">
        <v>1</v>
      </c>
      <c r="C4305">
        <v>8</v>
      </c>
    </row>
    <row r="4306" spans="1:3" x14ac:dyDescent="0.3">
      <c r="A4306">
        <v>17197</v>
      </c>
      <c r="B4306">
        <v>1</v>
      </c>
      <c r="C4306">
        <v>8</v>
      </c>
    </row>
    <row r="4307" spans="1:3" x14ac:dyDescent="0.3">
      <c r="A4307">
        <v>46135</v>
      </c>
      <c r="B4307">
        <v>2</v>
      </c>
      <c r="C4307">
        <v>16</v>
      </c>
    </row>
    <row r="4308" spans="1:3" x14ac:dyDescent="0.3">
      <c r="A4308">
        <v>43661</v>
      </c>
      <c r="B4308">
        <v>2</v>
      </c>
      <c r="C4308">
        <v>16</v>
      </c>
    </row>
    <row r="4309" spans="1:3" x14ac:dyDescent="0.3">
      <c r="A4309">
        <v>43661</v>
      </c>
      <c r="B4309">
        <v>2</v>
      </c>
      <c r="C4309">
        <v>16</v>
      </c>
    </row>
    <row r="4310" spans="1:3" x14ac:dyDescent="0.3">
      <c r="A4310">
        <v>42030</v>
      </c>
      <c r="B4310">
        <v>4</v>
      </c>
      <c r="C4310">
        <v>16</v>
      </c>
    </row>
    <row r="4311" spans="1:3" x14ac:dyDescent="0.3">
      <c r="A4311">
        <v>42030</v>
      </c>
      <c r="B4311">
        <v>4</v>
      </c>
      <c r="C4311">
        <v>16</v>
      </c>
    </row>
    <row r="4312" spans="1:3" x14ac:dyDescent="0.3">
      <c r="A4312">
        <v>42030</v>
      </c>
      <c r="B4312">
        <v>4</v>
      </c>
      <c r="C4312">
        <v>16</v>
      </c>
    </row>
    <row r="4313" spans="1:3" x14ac:dyDescent="0.3">
      <c r="A4313">
        <v>42030</v>
      </c>
      <c r="B4313">
        <v>4</v>
      </c>
      <c r="C4313">
        <v>16</v>
      </c>
    </row>
    <row r="4314" spans="1:3" x14ac:dyDescent="0.3">
      <c r="A4314">
        <v>18177</v>
      </c>
      <c r="B4314">
        <v>1</v>
      </c>
      <c r="C4314">
        <v>8</v>
      </c>
    </row>
    <row r="4315" spans="1:3" x14ac:dyDescent="0.3">
      <c r="A4315">
        <v>18573</v>
      </c>
      <c r="B4315">
        <v>1</v>
      </c>
      <c r="C4315">
        <v>8</v>
      </c>
    </row>
    <row r="4316" spans="1:3" x14ac:dyDescent="0.3">
      <c r="A4316">
        <v>34100</v>
      </c>
      <c r="B4316">
        <v>2</v>
      </c>
      <c r="C4316">
        <v>16</v>
      </c>
    </row>
    <row r="4317" spans="1:3" x14ac:dyDescent="0.3">
      <c r="A4317">
        <v>31714</v>
      </c>
      <c r="B4317">
        <v>1</v>
      </c>
      <c r="C4317">
        <v>8</v>
      </c>
    </row>
    <row r="4318" spans="1:3" x14ac:dyDescent="0.3">
      <c r="A4318">
        <v>31317</v>
      </c>
      <c r="B4318">
        <v>2</v>
      </c>
      <c r="C4318">
        <v>16</v>
      </c>
    </row>
    <row r="4319" spans="1:3" x14ac:dyDescent="0.3">
      <c r="A4319">
        <v>31317</v>
      </c>
      <c r="B4319">
        <v>2</v>
      </c>
      <c r="C4319">
        <v>16</v>
      </c>
    </row>
    <row r="4320" spans="1:3" x14ac:dyDescent="0.3">
      <c r="A4320">
        <v>29176</v>
      </c>
      <c r="B4320">
        <v>1</v>
      </c>
      <c r="C4320">
        <v>8</v>
      </c>
    </row>
    <row r="4321" spans="1:3" x14ac:dyDescent="0.3">
      <c r="A4321">
        <v>29031</v>
      </c>
      <c r="B4321">
        <v>1</v>
      </c>
      <c r="C4321">
        <v>8</v>
      </c>
    </row>
    <row r="4322" spans="1:3" x14ac:dyDescent="0.3">
      <c r="A4322">
        <v>28433</v>
      </c>
      <c r="B4322">
        <v>2</v>
      </c>
      <c r="C4322">
        <v>16</v>
      </c>
    </row>
    <row r="4323" spans="1:3" x14ac:dyDescent="0.3">
      <c r="A4323">
        <v>28433</v>
      </c>
      <c r="B4323">
        <v>2</v>
      </c>
      <c r="C4323">
        <v>16</v>
      </c>
    </row>
    <row r="4324" spans="1:3" x14ac:dyDescent="0.3">
      <c r="A4324">
        <v>28302</v>
      </c>
      <c r="B4324">
        <v>1</v>
      </c>
      <c r="C4324">
        <v>8</v>
      </c>
    </row>
    <row r="4325" spans="1:3" x14ac:dyDescent="0.3">
      <c r="A4325">
        <v>26826</v>
      </c>
      <c r="B4325">
        <v>1</v>
      </c>
      <c r="C4325">
        <v>8</v>
      </c>
    </row>
    <row r="4326" spans="1:3" x14ac:dyDescent="0.3">
      <c r="A4326">
        <v>80176</v>
      </c>
      <c r="B4326">
        <v>1</v>
      </c>
      <c r="C4326">
        <v>8</v>
      </c>
    </row>
    <row r="4327" spans="1:3" x14ac:dyDescent="0.3">
      <c r="A4327">
        <v>80040</v>
      </c>
      <c r="B4327">
        <v>1</v>
      </c>
      <c r="C4327">
        <v>8</v>
      </c>
    </row>
    <row r="4328" spans="1:3" x14ac:dyDescent="0.3">
      <c r="A4328">
        <v>80039</v>
      </c>
      <c r="B4328">
        <v>1</v>
      </c>
      <c r="C4328">
        <v>8</v>
      </c>
    </row>
    <row r="4329" spans="1:3" x14ac:dyDescent="0.3">
      <c r="A4329">
        <v>80038</v>
      </c>
      <c r="B4329">
        <v>1</v>
      </c>
      <c r="C4329">
        <v>8</v>
      </c>
    </row>
    <row r="4330" spans="1:3" x14ac:dyDescent="0.3">
      <c r="A4330">
        <v>79946</v>
      </c>
      <c r="B4330">
        <v>1</v>
      </c>
      <c r="C4330">
        <v>8</v>
      </c>
    </row>
    <row r="4331" spans="1:3" x14ac:dyDescent="0.3">
      <c r="A4331">
        <v>79822</v>
      </c>
      <c r="B4331">
        <v>1</v>
      </c>
      <c r="C4331">
        <v>8</v>
      </c>
    </row>
    <row r="4332" spans="1:3" x14ac:dyDescent="0.3">
      <c r="A4332">
        <v>79647</v>
      </c>
      <c r="B4332">
        <v>1</v>
      </c>
      <c r="C4332">
        <v>8</v>
      </c>
    </row>
    <row r="4333" spans="1:3" x14ac:dyDescent="0.3">
      <c r="A4333">
        <v>79567</v>
      </c>
      <c r="B4333">
        <v>1</v>
      </c>
      <c r="C4333">
        <v>8</v>
      </c>
    </row>
    <row r="4334" spans="1:3" x14ac:dyDescent="0.3">
      <c r="A4334">
        <v>79399</v>
      </c>
      <c r="B4334">
        <v>1</v>
      </c>
      <c r="C4334">
        <v>8</v>
      </c>
    </row>
    <row r="4335" spans="1:3" x14ac:dyDescent="0.3">
      <c r="A4335">
        <v>79315</v>
      </c>
      <c r="B4335">
        <v>1</v>
      </c>
      <c r="C4335">
        <v>8</v>
      </c>
    </row>
    <row r="4336" spans="1:3" x14ac:dyDescent="0.3">
      <c r="A4336">
        <v>79218</v>
      </c>
      <c r="B4336">
        <v>1</v>
      </c>
      <c r="C4336">
        <v>8</v>
      </c>
    </row>
    <row r="4337" spans="1:3" x14ac:dyDescent="0.3">
      <c r="A4337">
        <v>78554</v>
      </c>
      <c r="B4337">
        <v>1</v>
      </c>
      <c r="C4337">
        <v>8</v>
      </c>
    </row>
    <row r="4338" spans="1:3" x14ac:dyDescent="0.3">
      <c r="A4338">
        <v>78553</v>
      </c>
      <c r="B4338">
        <v>1</v>
      </c>
      <c r="C4338">
        <v>8</v>
      </c>
    </row>
    <row r="4339" spans="1:3" x14ac:dyDescent="0.3">
      <c r="A4339">
        <v>78552</v>
      </c>
      <c r="B4339">
        <v>1</v>
      </c>
      <c r="C4339">
        <v>8</v>
      </c>
    </row>
    <row r="4340" spans="1:3" x14ac:dyDescent="0.3">
      <c r="A4340">
        <v>78457</v>
      </c>
      <c r="B4340">
        <v>1</v>
      </c>
      <c r="C4340">
        <v>8</v>
      </c>
    </row>
    <row r="4341" spans="1:3" x14ac:dyDescent="0.3">
      <c r="A4341">
        <v>78456</v>
      </c>
      <c r="B4341">
        <v>1</v>
      </c>
      <c r="C4341">
        <v>8</v>
      </c>
    </row>
    <row r="4342" spans="1:3" x14ac:dyDescent="0.3">
      <c r="A4342">
        <v>78280</v>
      </c>
      <c r="B4342">
        <v>1</v>
      </c>
      <c r="C4342">
        <v>8</v>
      </c>
    </row>
    <row r="4343" spans="1:3" x14ac:dyDescent="0.3">
      <c r="A4343">
        <v>78259</v>
      </c>
      <c r="B4343">
        <v>1</v>
      </c>
      <c r="C4343">
        <v>16</v>
      </c>
    </row>
    <row r="4344" spans="1:3" x14ac:dyDescent="0.3">
      <c r="A4344">
        <v>78097</v>
      </c>
      <c r="B4344">
        <v>1</v>
      </c>
      <c r="C4344">
        <v>8</v>
      </c>
    </row>
    <row r="4345" spans="1:3" x14ac:dyDescent="0.3">
      <c r="A4345">
        <v>78096</v>
      </c>
      <c r="B4345">
        <v>1</v>
      </c>
      <c r="C4345">
        <v>8</v>
      </c>
    </row>
    <row r="4346" spans="1:3" x14ac:dyDescent="0.3">
      <c r="A4346">
        <v>77689</v>
      </c>
      <c r="B4346">
        <v>1</v>
      </c>
      <c r="C4346">
        <v>8</v>
      </c>
    </row>
    <row r="4347" spans="1:3" x14ac:dyDescent="0.3">
      <c r="A4347">
        <v>77688</v>
      </c>
      <c r="B4347">
        <v>1</v>
      </c>
      <c r="C4347">
        <v>8</v>
      </c>
    </row>
    <row r="4348" spans="1:3" x14ac:dyDescent="0.3">
      <c r="A4348">
        <v>77557</v>
      </c>
      <c r="B4348">
        <v>1</v>
      </c>
      <c r="C4348">
        <v>8</v>
      </c>
    </row>
    <row r="4349" spans="1:3" x14ac:dyDescent="0.3">
      <c r="A4349">
        <v>77363</v>
      </c>
      <c r="B4349">
        <v>1</v>
      </c>
      <c r="C4349">
        <v>8</v>
      </c>
    </row>
    <row r="4350" spans="1:3" x14ac:dyDescent="0.3">
      <c r="A4350">
        <v>77246</v>
      </c>
      <c r="B4350">
        <v>1</v>
      </c>
      <c r="C4350">
        <v>8</v>
      </c>
    </row>
    <row r="4351" spans="1:3" x14ac:dyDescent="0.3">
      <c r="A4351">
        <v>77028</v>
      </c>
      <c r="B4351">
        <v>1</v>
      </c>
      <c r="C4351">
        <v>8</v>
      </c>
    </row>
    <row r="4352" spans="1:3" x14ac:dyDescent="0.3">
      <c r="A4352">
        <v>76904</v>
      </c>
      <c r="B4352">
        <v>1</v>
      </c>
      <c r="C4352">
        <v>8</v>
      </c>
    </row>
    <row r="4353" spans="1:3" x14ac:dyDescent="0.3">
      <c r="A4353">
        <v>76803</v>
      </c>
      <c r="B4353">
        <v>1</v>
      </c>
      <c r="C4353">
        <v>8</v>
      </c>
    </row>
    <row r="4354" spans="1:3" x14ac:dyDescent="0.3">
      <c r="A4354">
        <v>76606</v>
      </c>
      <c r="B4354">
        <v>1</v>
      </c>
      <c r="C4354">
        <v>8</v>
      </c>
    </row>
    <row r="4355" spans="1:3" x14ac:dyDescent="0.3">
      <c r="A4355">
        <v>76554</v>
      </c>
      <c r="B4355">
        <v>1</v>
      </c>
      <c r="C4355">
        <v>8</v>
      </c>
    </row>
    <row r="4356" spans="1:3" x14ac:dyDescent="0.3">
      <c r="A4356">
        <v>76553</v>
      </c>
      <c r="B4356">
        <v>1</v>
      </c>
      <c r="C4356">
        <v>8</v>
      </c>
    </row>
    <row r="4357" spans="1:3" x14ac:dyDescent="0.3">
      <c r="A4357">
        <v>76151</v>
      </c>
      <c r="B4357">
        <v>1</v>
      </c>
      <c r="C4357">
        <v>8</v>
      </c>
    </row>
    <row r="4358" spans="1:3" x14ac:dyDescent="0.3">
      <c r="A4358">
        <v>76097</v>
      </c>
      <c r="B4358">
        <v>1</v>
      </c>
      <c r="C4358">
        <v>8</v>
      </c>
    </row>
    <row r="4359" spans="1:3" x14ac:dyDescent="0.3">
      <c r="A4359">
        <v>75834</v>
      </c>
      <c r="B4359">
        <v>1</v>
      </c>
      <c r="C4359">
        <v>8</v>
      </c>
    </row>
    <row r="4360" spans="1:3" x14ac:dyDescent="0.3">
      <c r="A4360">
        <v>75726</v>
      </c>
      <c r="B4360">
        <v>1</v>
      </c>
      <c r="C4360">
        <v>8</v>
      </c>
    </row>
    <row r="4361" spans="1:3" x14ac:dyDescent="0.3">
      <c r="A4361">
        <v>75725</v>
      </c>
      <c r="B4361">
        <v>1</v>
      </c>
      <c r="C4361">
        <v>8</v>
      </c>
    </row>
    <row r="4362" spans="1:3" x14ac:dyDescent="0.3">
      <c r="A4362">
        <v>75722</v>
      </c>
      <c r="B4362">
        <v>1</v>
      </c>
      <c r="C4362">
        <v>8</v>
      </c>
    </row>
    <row r="4363" spans="1:3" x14ac:dyDescent="0.3">
      <c r="A4363">
        <v>75594</v>
      </c>
      <c r="B4363">
        <v>1</v>
      </c>
      <c r="C4363">
        <v>8</v>
      </c>
    </row>
    <row r="4364" spans="1:3" x14ac:dyDescent="0.3">
      <c r="A4364">
        <v>75507</v>
      </c>
      <c r="B4364">
        <v>1</v>
      </c>
      <c r="C4364">
        <v>8</v>
      </c>
    </row>
    <row r="4365" spans="1:3" x14ac:dyDescent="0.3">
      <c r="A4365">
        <v>75503</v>
      </c>
      <c r="B4365">
        <v>1</v>
      </c>
      <c r="C4365">
        <v>8</v>
      </c>
    </row>
    <row r="4366" spans="1:3" x14ac:dyDescent="0.3">
      <c r="A4366">
        <v>75501</v>
      </c>
      <c r="B4366">
        <v>1</v>
      </c>
      <c r="C4366">
        <v>8</v>
      </c>
    </row>
    <row r="4367" spans="1:3" x14ac:dyDescent="0.3">
      <c r="A4367">
        <v>75190</v>
      </c>
      <c r="B4367">
        <v>1</v>
      </c>
      <c r="C4367">
        <v>8</v>
      </c>
    </row>
    <row r="4368" spans="1:3" x14ac:dyDescent="0.3">
      <c r="A4368">
        <v>75084</v>
      </c>
      <c r="B4368">
        <v>1</v>
      </c>
      <c r="C4368">
        <v>8</v>
      </c>
    </row>
    <row r="4369" spans="1:3" x14ac:dyDescent="0.3">
      <c r="A4369">
        <v>74772</v>
      </c>
      <c r="B4369">
        <v>1</v>
      </c>
      <c r="C4369">
        <v>8</v>
      </c>
    </row>
    <row r="4370" spans="1:3" x14ac:dyDescent="0.3">
      <c r="A4370">
        <v>74771</v>
      </c>
      <c r="B4370">
        <v>1</v>
      </c>
      <c r="C4370">
        <v>8</v>
      </c>
    </row>
    <row r="4371" spans="1:3" x14ac:dyDescent="0.3">
      <c r="A4371">
        <v>74770</v>
      </c>
      <c r="B4371">
        <v>1</v>
      </c>
      <c r="C4371">
        <v>8</v>
      </c>
    </row>
    <row r="4372" spans="1:3" x14ac:dyDescent="0.3">
      <c r="A4372">
        <v>74270</v>
      </c>
      <c r="B4372">
        <v>1</v>
      </c>
      <c r="C4372">
        <v>8</v>
      </c>
    </row>
    <row r="4373" spans="1:3" x14ac:dyDescent="0.3">
      <c r="A4373">
        <v>74119</v>
      </c>
      <c r="B4373">
        <v>1</v>
      </c>
      <c r="C4373">
        <v>8</v>
      </c>
    </row>
    <row r="4374" spans="1:3" x14ac:dyDescent="0.3">
      <c r="A4374">
        <v>73499</v>
      </c>
      <c r="B4374">
        <v>1</v>
      </c>
      <c r="C4374">
        <v>8</v>
      </c>
    </row>
    <row r="4375" spans="1:3" x14ac:dyDescent="0.3">
      <c r="A4375">
        <v>72716</v>
      </c>
      <c r="B4375">
        <v>1</v>
      </c>
      <c r="C4375">
        <v>8</v>
      </c>
    </row>
    <row r="4376" spans="1:3" x14ac:dyDescent="0.3">
      <c r="A4376">
        <v>72715</v>
      </c>
      <c r="B4376">
        <v>1</v>
      </c>
      <c r="C4376">
        <v>8</v>
      </c>
    </row>
    <row r="4377" spans="1:3" x14ac:dyDescent="0.3">
      <c r="A4377">
        <v>72714</v>
      </c>
      <c r="B4377">
        <v>1</v>
      </c>
      <c r="C4377">
        <v>8</v>
      </c>
    </row>
    <row r="4378" spans="1:3" x14ac:dyDescent="0.3">
      <c r="A4378">
        <v>72713</v>
      </c>
      <c r="B4378">
        <v>1</v>
      </c>
      <c r="C4378">
        <v>8</v>
      </c>
    </row>
    <row r="4379" spans="1:3" x14ac:dyDescent="0.3">
      <c r="A4379">
        <v>71748</v>
      </c>
      <c r="B4379">
        <v>1</v>
      </c>
      <c r="C4379">
        <v>8</v>
      </c>
    </row>
    <row r="4380" spans="1:3" x14ac:dyDescent="0.3">
      <c r="A4380">
        <v>70838</v>
      </c>
      <c r="B4380">
        <v>1</v>
      </c>
      <c r="C4380">
        <v>8</v>
      </c>
    </row>
    <row r="4381" spans="1:3" x14ac:dyDescent="0.3">
      <c r="A4381">
        <v>70508</v>
      </c>
      <c r="B4381">
        <v>1</v>
      </c>
      <c r="C4381">
        <v>8</v>
      </c>
    </row>
    <row r="4382" spans="1:3" x14ac:dyDescent="0.3">
      <c r="A4382">
        <v>12863</v>
      </c>
      <c r="B4382">
        <v>1</v>
      </c>
      <c r="C4382">
        <v>8</v>
      </c>
    </row>
    <row r="4383" spans="1:3" x14ac:dyDescent="0.3">
      <c r="A4383">
        <v>69397</v>
      </c>
      <c r="B4383">
        <v>1</v>
      </c>
      <c r="C4383">
        <v>8</v>
      </c>
    </row>
    <row r="4384" spans="1:3" x14ac:dyDescent="0.3">
      <c r="A4384">
        <v>69396</v>
      </c>
      <c r="B4384">
        <v>1</v>
      </c>
      <c r="C4384">
        <v>8</v>
      </c>
    </row>
    <row r="4385" spans="1:3" x14ac:dyDescent="0.3">
      <c r="A4385">
        <v>69327</v>
      </c>
      <c r="B4385">
        <v>1</v>
      </c>
      <c r="C4385">
        <v>8</v>
      </c>
    </row>
    <row r="4386" spans="1:3" x14ac:dyDescent="0.3">
      <c r="A4386">
        <v>69325</v>
      </c>
      <c r="B4386">
        <v>1</v>
      </c>
      <c r="C4386">
        <v>8</v>
      </c>
    </row>
    <row r="4387" spans="1:3" x14ac:dyDescent="0.3">
      <c r="A4387">
        <v>68891</v>
      </c>
      <c r="B4387">
        <v>1</v>
      </c>
      <c r="C4387">
        <v>8</v>
      </c>
    </row>
    <row r="4388" spans="1:3" x14ac:dyDescent="0.3">
      <c r="A4388">
        <v>68377</v>
      </c>
      <c r="B4388">
        <v>1</v>
      </c>
      <c r="C4388">
        <v>8</v>
      </c>
    </row>
    <row r="4389" spans="1:3" x14ac:dyDescent="0.3">
      <c r="A4389">
        <v>68375</v>
      </c>
      <c r="B4389">
        <v>1</v>
      </c>
      <c r="C4389">
        <v>16</v>
      </c>
    </row>
    <row r="4390" spans="1:3" x14ac:dyDescent="0.3">
      <c r="A4390">
        <v>67598</v>
      </c>
      <c r="B4390">
        <v>1</v>
      </c>
      <c r="C4390">
        <v>8</v>
      </c>
    </row>
    <row r="4391" spans="1:3" x14ac:dyDescent="0.3">
      <c r="A4391">
        <v>67597</v>
      </c>
      <c r="B4391">
        <v>1</v>
      </c>
      <c r="C4391">
        <v>8</v>
      </c>
    </row>
    <row r="4392" spans="1:3" x14ac:dyDescent="0.3">
      <c r="A4392">
        <v>67596</v>
      </c>
      <c r="B4392">
        <v>1</v>
      </c>
      <c r="C4392">
        <v>16</v>
      </c>
    </row>
    <row r="4393" spans="1:3" x14ac:dyDescent="0.3">
      <c r="A4393">
        <v>67045</v>
      </c>
      <c r="B4393">
        <v>1</v>
      </c>
      <c r="C4393">
        <v>8</v>
      </c>
    </row>
    <row r="4394" spans="1:3" x14ac:dyDescent="0.3">
      <c r="A4394">
        <v>66922</v>
      </c>
      <c r="B4394">
        <v>1</v>
      </c>
      <c r="C4394">
        <v>8</v>
      </c>
    </row>
    <row r="4395" spans="1:3" x14ac:dyDescent="0.3">
      <c r="A4395">
        <v>13644</v>
      </c>
      <c r="B4395">
        <v>1</v>
      </c>
      <c r="C4395">
        <v>8</v>
      </c>
    </row>
    <row r="4396" spans="1:3" x14ac:dyDescent="0.3">
      <c r="A4396">
        <v>66240</v>
      </c>
      <c r="B4396">
        <v>1</v>
      </c>
      <c r="C4396">
        <v>8</v>
      </c>
    </row>
    <row r="4397" spans="1:3" x14ac:dyDescent="0.3">
      <c r="A4397">
        <v>66145</v>
      </c>
      <c r="B4397">
        <v>1</v>
      </c>
      <c r="C4397">
        <v>8</v>
      </c>
    </row>
    <row r="4398" spans="1:3" x14ac:dyDescent="0.3">
      <c r="A4398">
        <v>14514</v>
      </c>
      <c r="B4398">
        <v>1</v>
      </c>
      <c r="C4398">
        <v>8</v>
      </c>
    </row>
    <row r="4399" spans="1:3" x14ac:dyDescent="0.3">
      <c r="A4399">
        <v>14698</v>
      </c>
      <c r="B4399">
        <v>1</v>
      </c>
      <c r="C4399">
        <v>8</v>
      </c>
    </row>
    <row r="4400" spans="1:3" x14ac:dyDescent="0.3">
      <c r="A4400">
        <v>63795</v>
      </c>
      <c r="B4400">
        <v>1</v>
      </c>
      <c r="C4400">
        <v>16</v>
      </c>
    </row>
    <row r="4401" spans="1:3" x14ac:dyDescent="0.3">
      <c r="A4401">
        <v>63455</v>
      </c>
      <c r="B4401">
        <v>1</v>
      </c>
      <c r="C4401">
        <v>8</v>
      </c>
    </row>
    <row r="4402" spans="1:3" x14ac:dyDescent="0.3">
      <c r="A4402" s="26">
        <v>62891</v>
      </c>
      <c r="B4402" s="26">
        <v>1</v>
      </c>
      <c r="C4402" s="26">
        <v>16</v>
      </c>
    </row>
    <row r="4403" spans="1:3" x14ac:dyDescent="0.3">
      <c r="A4403">
        <v>62889</v>
      </c>
      <c r="B4403">
        <v>1</v>
      </c>
      <c r="C4403">
        <v>16</v>
      </c>
    </row>
    <row r="4404" spans="1:3" x14ac:dyDescent="0.3">
      <c r="A4404">
        <v>62404</v>
      </c>
      <c r="B4404">
        <v>1</v>
      </c>
      <c r="C4404">
        <v>8</v>
      </c>
    </row>
    <row r="4405" spans="1:3" x14ac:dyDescent="0.3">
      <c r="A4405">
        <v>62109</v>
      </c>
      <c r="B4405">
        <v>1</v>
      </c>
      <c r="C4405">
        <v>8</v>
      </c>
    </row>
    <row r="4406" spans="1:3" x14ac:dyDescent="0.3">
      <c r="A4406">
        <v>62107</v>
      </c>
      <c r="B4406">
        <v>1</v>
      </c>
      <c r="C4406">
        <v>8</v>
      </c>
    </row>
    <row r="4407" spans="1:3" x14ac:dyDescent="0.3">
      <c r="A4407">
        <v>62106</v>
      </c>
      <c r="B4407">
        <v>1</v>
      </c>
      <c r="C4407">
        <v>8</v>
      </c>
    </row>
    <row r="4408" spans="1:3" x14ac:dyDescent="0.3">
      <c r="A4408">
        <v>62105</v>
      </c>
      <c r="B4408">
        <v>1</v>
      </c>
      <c r="C4408">
        <v>8</v>
      </c>
    </row>
    <row r="4409" spans="1:3" x14ac:dyDescent="0.3">
      <c r="A4409">
        <v>62102</v>
      </c>
      <c r="B4409">
        <v>1</v>
      </c>
      <c r="C4409">
        <v>8</v>
      </c>
    </row>
    <row r="4410" spans="1:3" x14ac:dyDescent="0.3">
      <c r="A4410">
        <v>61217</v>
      </c>
      <c r="B4410">
        <v>1</v>
      </c>
      <c r="C4410">
        <v>8</v>
      </c>
    </row>
    <row r="4411" spans="1:3" x14ac:dyDescent="0.3">
      <c r="A4411">
        <v>60485</v>
      </c>
      <c r="B4411">
        <v>1</v>
      </c>
      <c r="C4411">
        <v>16</v>
      </c>
    </row>
    <row r="4412" spans="1:3" x14ac:dyDescent="0.3">
      <c r="A4412">
        <v>60484</v>
      </c>
      <c r="B4412">
        <v>1</v>
      </c>
      <c r="C4412">
        <v>16</v>
      </c>
    </row>
    <row r="4413" spans="1:3" x14ac:dyDescent="0.3">
      <c r="A4413">
        <v>60105</v>
      </c>
      <c r="B4413">
        <v>1</v>
      </c>
      <c r="C4413">
        <v>8</v>
      </c>
    </row>
    <row r="4414" spans="1:3" x14ac:dyDescent="0.3">
      <c r="A4414">
        <v>15679</v>
      </c>
      <c r="B4414">
        <v>1</v>
      </c>
      <c r="C4414">
        <v>8</v>
      </c>
    </row>
    <row r="4415" spans="1:3" x14ac:dyDescent="0.3">
      <c r="A4415">
        <v>58919</v>
      </c>
      <c r="B4415">
        <v>1</v>
      </c>
      <c r="C4415">
        <v>8</v>
      </c>
    </row>
    <row r="4416" spans="1:3" x14ac:dyDescent="0.3">
      <c r="A4416">
        <v>57796</v>
      </c>
      <c r="B4416">
        <v>1</v>
      </c>
      <c r="C4416">
        <v>8</v>
      </c>
    </row>
    <row r="4417" spans="1:3" x14ac:dyDescent="0.3">
      <c r="A4417">
        <v>57708</v>
      </c>
      <c r="B4417">
        <v>1</v>
      </c>
      <c r="C4417">
        <v>8</v>
      </c>
    </row>
    <row r="4418" spans="1:3" x14ac:dyDescent="0.3">
      <c r="A4418">
        <v>15948</v>
      </c>
      <c r="B4418">
        <v>1</v>
      </c>
      <c r="C4418">
        <v>8</v>
      </c>
    </row>
    <row r="4419" spans="1:3" x14ac:dyDescent="0.3">
      <c r="A4419">
        <v>56862</v>
      </c>
      <c r="B4419">
        <v>1</v>
      </c>
      <c r="C4419">
        <v>8</v>
      </c>
    </row>
    <row r="4420" spans="1:3" x14ac:dyDescent="0.3">
      <c r="A4420">
        <v>56861</v>
      </c>
      <c r="B4420">
        <v>1</v>
      </c>
      <c r="C4420">
        <v>16</v>
      </c>
    </row>
    <row r="4421" spans="1:3" x14ac:dyDescent="0.3">
      <c r="A4421">
        <v>16110</v>
      </c>
      <c r="B4421">
        <v>1</v>
      </c>
      <c r="C4421">
        <v>16</v>
      </c>
    </row>
    <row r="4422" spans="1:3" x14ac:dyDescent="0.3">
      <c r="A4422">
        <v>16141</v>
      </c>
      <c r="B4422">
        <v>1</v>
      </c>
      <c r="C4422">
        <v>8</v>
      </c>
    </row>
    <row r="4423" spans="1:3" x14ac:dyDescent="0.3">
      <c r="A4423">
        <v>54151</v>
      </c>
      <c r="B4423">
        <v>1</v>
      </c>
      <c r="C4423">
        <v>8</v>
      </c>
    </row>
    <row r="4424" spans="1:3" x14ac:dyDescent="0.3">
      <c r="A4424">
        <v>52980</v>
      </c>
      <c r="B4424">
        <v>1</v>
      </c>
      <c r="C4424">
        <v>8</v>
      </c>
    </row>
    <row r="4425" spans="1:3" x14ac:dyDescent="0.3">
      <c r="A4425">
        <v>52633</v>
      </c>
      <c r="B4425">
        <v>1</v>
      </c>
      <c r="C4425">
        <v>8</v>
      </c>
    </row>
    <row r="4426" spans="1:3" x14ac:dyDescent="0.3">
      <c r="A4426">
        <v>52533</v>
      </c>
      <c r="B4426">
        <v>1</v>
      </c>
      <c r="C4426">
        <v>8</v>
      </c>
    </row>
    <row r="4427" spans="1:3" x14ac:dyDescent="0.3">
      <c r="A4427">
        <v>51427</v>
      </c>
      <c r="B4427">
        <v>1</v>
      </c>
      <c r="C4427">
        <v>8</v>
      </c>
    </row>
    <row r="4428" spans="1:3" x14ac:dyDescent="0.3">
      <c r="A4428">
        <v>51426</v>
      </c>
      <c r="B4428">
        <v>1</v>
      </c>
      <c r="C4428">
        <v>8</v>
      </c>
    </row>
    <row r="4429" spans="1:3" x14ac:dyDescent="0.3">
      <c r="A4429">
        <v>16907</v>
      </c>
      <c r="B4429">
        <v>1</v>
      </c>
      <c r="C4429">
        <v>16</v>
      </c>
    </row>
    <row r="4430" spans="1:3" x14ac:dyDescent="0.3">
      <c r="A4430">
        <v>17078</v>
      </c>
      <c r="B4430">
        <v>1</v>
      </c>
      <c r="C4430">
        <v>8</v>
      </c>
    </row>
    <row r="4431" spans="1:3" x14ac:dyDescent="0.3">
      <c r="A4431">
        <v>49105</v>
      </c>
      <c r="B4431">
        <v>1</v>
      </c>
      <c r="C4431">
        <v>8</v>
      </c>
    </row>
    <row r="4432" spans="1:3" x14ac:dyDescent="0.3">
      <c r="A4432">
        <v>49059</v>
      </c>
      <c r="B4432">
        <v>1</v>
      </c>
      <c r="C4432">
        <v>8</v>
      </c>
    </row>
    <row r="4433" spans="1:3" x14ac:dyDescent="0.3">
      <c r="A4433">
        <v>17195</v>
      </c>
      <c r="B4433">
        <v>1</v>
      </c>
      <c r="C4433">
        <v>8</v>
      </c>
    </row>
    <row r="4434" spans="1:3" x14ac:dyDescent="0.3">
      <c r="A4434">
        <v>17196</v>
      </c>
      <c r="B4434">
        <v>1</v>
      </c>
      <c r="C4434">
        <v>16</v>
      </c>
    </row>
    <row r="4435" spans="1:3" x14ac:dyDescent="0.3">
      <c r="A4435">
        <v>47398</v>
      </c>
      <c r="B4435">
        <v>1</v>
      </c>
      <c r="C4435">
        <v>8</v>
      </c>
    </row>
    <row r="4436" spans="1:3" x14ac:dyDescent="0.3">
      <c r="A4436">
        <v>47295</v>
      </c>
      <c r="B4436">
        <v>1</v>
      </c>
      <c r="C4436">
        <v>16</v>
      </c>
    </row>
    <row r="4437" spans="1:3" x14ac:dyDescent="0.3">
      <c r="A4437">
        <v>46806</v>
      </c>
      <c r="B4437">
        <v>1</v>
      </c>
      <c r="C4437">
        <v>8</v>
      </c>
    </row>
    <row r="4438" spans="1:3" x14ac:dyDescent="0.3">
      <c r="A4438">
        <v>46474</v>
      </c>
      <c r="B4438">
        <v>1</v>
      </c>
      <c r="C4438">
        <v>8</v>
      </c>
    </row>
    <row r="4439" spans="1:3" x14ac:dyDescent="0.3">
      <c r="A4439">
        <v>45355</v>
      </c>
      <c r="B4439">
        <v>1</v>
      </c>
      <c r="C4439">
        <v>8</v>
      </c>
    </row>
    <row r="4440" spans="1:3" x14ac:dyDescent="0.3">
      <c r="A4440">
        <v>42388</v>
      </c>
      <c r="B4440">
        <v>1</v>
      </c>
      <c r="C4440">
        <v>8</v>
      </c>
    </row>
    <row r="4441" spans="1:3" x14ac:dyDescent="0.3">
      <c r="A4441">
        <v>41684</v>
      </c>
      <c r="B4441">
        <v>1</v>
      </c>
      <c r="C4441">
        <v>8</v>
      </c>
    </row>
    <row r="4442" spans="1:3" x14ac:dyDescent="0.3">
      <c r="A4442">
        <v>40639</v>
      </c>
      <c r="B4442">
        <v>1</v>
      </c>
      <c r="C4442">
        <v>16</v>
      </c>
    </row>
    <row r="4443" spans="1:3" x14ac:dyDescent="0.3">
      <c r="A4443">
        <v>40416</v>
      </c>
      <c r="B4443">
        <v>1</v>
      </c>
      <c r="C4443">
        <v>8</v>
      </c>
    </row>
    <row r="4444" spans="1:3" x14ac:dyDescent="0.3">
      <c r="A4444">
        <v>39916</v>
      </c>
      <c r="B4444">
        <v>1</v>
      </c>
      <c r="C4444">
        <v>16</v>
      </c>
    </row>
    <row r="4445" spans="1:3" x14ac:dyDescent="0.3">
      <c r="A4445">
        <v>38699</v>
      </c>
      <c r="B4445">
        <v>1</v>
      </c>
      <c r="C4445">
        <v>16</v>
      </c>
    </row>
    <row r="4446" spans="1:3" x14ac:dyDescent="0.3">
      <c r="A4446">
        <v>38290</v>
      </c>
      <c r="B4446">
        <v>1</v>
      </c>
      <c r="C4446">
        <v>8</v>
      </c>
    </row>
    <row r="4447" spans="1:3" x14ac:dyDescent="0.3">
      <c r="A4447">
        <v>37001</v>
      </c>
      <c r="B4447">
        <v>1</v>
      </c>
      <c r="C4447">
        <v>8</v>
      </c>
    </row>
    <row r="4448" spans="1:3" x14ac:dyDescent="0.3">
      <c r="A4448">
        <v>36492</v>
      </c>
      <c r="B4448">
        <v>1</v>
      </c>
      <c r="C4448">
        <v>8</v>
      </c>
    </row>
    <row r="4449" spans="1:3" x14ac:dyDescent="0.3">
      <c r="A4449">
        <v>36381</v>
      </c>
      <c r="B4449">
        <v>1</v>
      </c>
      <c r="C4449">
        <v>8</v>
      </c>
    </row>
    <row r="4450" spans="1:3" x14ac:dyDescent="0.3">
      <c r="A4450">
        <v>35859</v>
      </c>
      <c r="B4450">
        <v>1</v>
      </c>
      <c r="C4450">
        <v>8</v>
      </c>
    </row>
    <row r="4451" spans="1:3" x14ac:dyDescent="0.3">
      <c r="A4451">
        <v>35108</v>
      </c>
      <c r="B4451">
        <v>1</v>
      </c>
      <c r="C4451">
        <v>8</v>
      </c>
    </row>
    <row r="4452" spans="1:3" x14ac:dyDescent="0.3">
      <c r="A4452">
        <v>33879</v>
      </c>
      <c r="B4452">
        <v>1</v>
      </c>
      <c r="C4452">
        <v>8</v>
      </c>
    </row>
    <row r="4453" spans="1:3" x14ac:dyDescent="0.3">
      <c r="A4453">
        <v>33489</v>
      </c>
      <c r="B4453">
        <v>1</v>
      </c>
      <c r="C4453">
        <v>16</v>
      </c>
    </row>
    <row r="4454" spans="1:3" x14ac:dyDescent="0.3">
      <c r="A4454">
        <v>33148</v>
      </c>
      <c r="B4454">
        <v>1</v>
      </c>
      <c r="C4454">
        <v>16</v>
      </c>
    </row>
    <row r="4455" spans="1:3" x14ac:dyDescent="0.3">
      <c r="A4455">
        <v>32998</v>
      </c>
      <c r="B4455">
        <v>1</v>
      </c>
      <c r="C4455">
        <v>8</v>
      </c>
    </row>
    <row r="4456" spans="1:3" x14ac:dyDescent="0.3">
      <c r="A4456">
        <v>32640</v>
      </c>
      <c r="B4456">
        <v>1</v>
      </c>
      <c r="C4456">
        <v>8</v>
      </c>
    </row>
    <row r="4457" spans="1:3" x14ac:dyDescent="0.3">
      <c r="A4457">
        <v>32265</v>
      </c>
      <c r="B4457">
        <v>1</v>
      </c>
      <c r="C4457">
        <v>8</v>
      </c>
    </row>
    <row r="4458" spans="1:3" x14ac:dyDescent="0.3">
      <c r="A4458">
        <v>32010</v>
      </c>
      <c r="B4458">
        <v>1</v>
      </c>
      <c r="C4458">
        <v>8</v>
      </c>
    </row>
    <row r="4459" spans="1:3" x14ac:dyDescent="0.3">
      <c r="A4459">
        <v>19072</v>
      </c>
      <c r="B4459">
        <v>1</v>
      </c>
      <c r="C4459">
        <v>8</v>
      </c>
    </row>
    <row r="4460" spans="1:3" x14ac:dyDescent="0.3">
      <c r="A4460">
        <v>19074</v>
      </c>
      <c r="B4460">
        <v>1</v>
      </c>
      <c r="C4460">
        <v>8</v>
      </c>
    </row>
    <row r="4461" spans="1:3" x14ac:dyDescent="0.3">
      <c r="A4461">
        <v>30797</v>
      </c>
      <c r="B4461">
        <v>1</v>
      </c>
      <c r="C4461">
        <v>16</v>
      </c>
    </row>
    <row r="4462" spans="1:3" x14ac:dyDescent="0.3">
      <c r="A4462">
        <v>30664</v>
      </c>
      <c r="B4462">
        <v>1</v>
      </c>
      <c r="C4462">
        <v>8</v>
      </c>
    </row>
    <row r="4463" spans="1:3" x14ac:dyDescent="0.3">
      <c r="A4463">
        <v>30377</v>
      </c>
      <c r="B4463">
        <v>1</v>
      </c>
      <c r="C4463">
        <v>8</v>
      </c>
    </row>
    <row r="4464" spans="1:3" x14ac:dyDescent="0.3">
      <c r="A4464">
        <v>30376</v>
      </c>
      <c r="B4464">
        <v>1</v>
      </c>
      <c r="C4464">
        <v>8</v>
      </c>
    </row>
    <row r="4465" spans="1:3" x14ac:dyDescent="0.3">
      <c r="A4465">
        <v>29571</v>
      </c>
      <c r="B4465">
        <v>1</v>
      </c>
      <c r="C4465">
        <v>16</v>
      </c>
    </row>
    <row r="4466" spans="1:3" x14ac:dyDescent="0.3">
      <c r="A4466">
        <v>29265</v>
      </c>
      <c r="B4466">
        <v>1</v>
      </c>
      <c r="C4466">
        <v>8</v>
      </c>
    </row>
    <row r="4467" spans="1:3" x14ac:dyDescent="0.3">
      <c r="A4467">
        <v>29177</v>
      </c>
      <c r="B4467">
        <v>1</v>
      </c>
      <c r="C4467">
        <v>8</v>
      </c>
    </row>
    <row r="4468" spans="1:3" x14ac:dyDescent="0.3">
      <c r="A4468">
        <v>29030</v>
      </c>
      <c r="B4468">
        <v>1</v>
      </c>
      <c r="C4468">
        <v>8</v>
      </c>
    </row>
    <row r="4469" spans="1:3" x14ac:dyDescent="0.3">
      <c r="A4469">
        <v>28432</v>
      </c>
      <c r="B4469">
        <v>1</v>
      </c>
      <c r="C4469">
        <v>16</v>
      </c>
    </row>
    <row r="4470" spans="1:3" x14ac:dyDescent="0.3">
      <c r="A4470">
        <v>19810</v>
      </c>
      <c r="B4470">
        <v>1</v>
      </c>
      <c r="C4470">
        <v>8</v>
      </c>
    </row>
    <row r="4471" spans="1:3" x14ac:dyDescent="0.3">
      <c r="A4471">
        <v>27514</v>
      </c>
      <c r="B4471">
        <v>1</v>
      </c>
      <c r="C4471">
        <v>16</v>
      </c>
    </row>
    <row r="4472" spans="1:3" x14ac:dyDescent="0.3">
      <c r="A4472">
        <v>20570</v>
      </c>
      <c r="B4472">
        <v>1</v>
      </c>
      <c r="C4472">
        <v>8</v>
      </c>
    </row>
    <row r="4473" spans="1:3" x14ac:dyDescent="0.3">
      <c r="A4473">
        <v>25627</v>
      </c>
      <c r="B4473">
        <v>1</v>
      </c>
      <c r="C4473">
        <v>8</v>
      </c>
    </row>
    <row r="4474" spans="1:3" x14ac:dyDescent="0.3">
      <c r="A4474">
        <v>25469</v>
      </c>
      <c r="B4474">
        <v>1</v>
      </c>
      <c r="C4474">
        <v>8</v>
      </c>
    </row>
    <row r="4475" spans="1:3" x14ac:dyDescent="0.3">
      <c r="A4475">
        <v>25468</v>
      </c>
      <c r="B4475">
        <v>1</v>
      </c>
      <c r="C4475">
        <v>8</v>
      </c>
    </row>
    <row r="4476" spans="1:3" x14ac:dyDescent="0.3">
      <c r="A4476">
        <v>24228</v>
      </c>
      <c r="B4476">
        <v>1</v>
      </c>
      <c r="C4476">
        <v>8</v>
      </c>
    </row>
    <row r="4477" spans="1:3" x14ac:dyDescent="0.3">
      <c r="A4477">
        <v>24009</v>
      </c>
      <c r="B4477">
        <v>1</v>
      </c>
      <c r="C4477">
        <v>8</v>
      </c>
    </row>
    <row r="4478" spans="1:3" x14ac:dyDescent="0.3">
      <c r="A4478">
        <v>23559</v>
      </c>
      <c r="B4478">
        <v>1</v>
      </c>
      <c r="C4478">
        <v>8</v>
      </c>
    </row>
    <row r="4479" spans="1:3" x14ac:dyDescent="0.3">
      <c r="A4479">
        <v>20901</v>
      </c>
      <c r="B4479">
        <v>1</v>
      </c>
      <c r="C4479">
        <v>8</v>
      </c>
    </row>
    <row r="4480" spans="1:3" x14ac:dyDescent="0.3">
      <c r="A4480">
        <v>80050</v>
      </c>
      <c r="B4480">
        <v>1</v>
      </c>
      <c r="C4480">
        <v>8</v>
      </c>
    </row>
    <row r="4481" spans="1:3" x14ac:dyDescent="0.3">
      <c r="A4481">
        <v>79404</v>
      </c>
      <c r="B4481">
        <v>1</v>
      </c>
      <c r="C4481">
        <v>8</v>
      </c>
    </row>
    <row r="4482" spans="1:3" x14ac:dyDescent="0.3">
      <c r="A4482">
        <v>77205</v>
      </c>
      <c r="B4482">
        <v>1</v>
      </c>
      <c r="C4482">
        <v>8</v>
      </c>
    </row>
    <row r="4483" spans="1:3" x14ac:dyDescent="0.3">
      <c r="A4483">
        <v>74737</v>
      </c>
      <c r="B4483">
        <v>1</v>
      </c>
      <c r="C4483">
        <v>8</v>
      </c>
    </row>
    <row r="4484" spans="1:3" x14ac:dyDescent="0.3">
      <c r="A4484">
        <v>11829</v>
      </c>
      <c r="B4484">
        <v>2</v>
      </c>
      <c r="C4484">
        <v>8</v>
      </c>
    </row>
    <row r="4485" spans="1:3" x14ac:dyDescent="0.3">
      <c r="A4485">
        <v>70305</v>
      </c>
      <c r="B4485">
        <v>2</v>
      </c>
      <c r="C4485">
        <v>16</v>
      </c>
    </row>
    <row r="4486" spans="1:3" x14ac:dyDescent="0.3">
      <c r="A4486">
        <v>70305</v>
      </c>
      <c r="B4486">
        <v>2</v>
      </c>
      <c r="C4486">
        <v>16</v>
      </c>
    </row>
    <row r="4487" spans="1:3" x14ac:dyDescent="0.3">
      <c r="A4487">
        <v>65745</v>
      </c>
      <c r="B4487">
        <v>1</v>
      </c>
      <c r="C4487">
        <v>8</v>
      </c>
    </row>
    <row r="4488" spans="1:3" x14ac:dyDescent="0.3">
      <c r="A4488">
        <v>61125</v>
      </c>
      <c r="B4488">
        <v>1</v>
      </c>
      <c r="C4488">
        <v>8</v>
      </c>
    </row>
    <row r="4489" spans="1:3" x14ac:dyDescent="0.3">
      <c r="A4489">
        <v>60462</v>
      </c>
      <c r="B4489">
        <v>1</v>
      </c>
      <c r="C4489">
        <v>8</v>
      </c>
    </row>
    <row r="4490" spans="1:3" x14ac:dyDescent="0.3">
      <c r="A4490">
        <v>59498</v>
      </c>
      <c r="B4490">
        <v>2</v>
      </c>
      <c r="C4490">
        <v>16</v>
      </c>
    </row>
    <row r="4491" spans="1:3" x14ac:dyDescent="0.3">
      <c r="A4491">
        <v>59498</v>
      </c>
      <c r="B4491">
        <v>2</v>
      </c>
      <c r="C4491">
        <v>16</v>
      </c>
    </row>
    <row r="4492" spans="1:3" x14ac:dyDescent="0.3">
      <c r="A4492">
        <v>15741</v>
      </c>
      <c r="B4492">
        <v>1</v>
      </c>
      <c r="C4492">
        <v>8</v>
      </c>
    </row>
    <row r="4493" spans="1:3" x14ac:dyDescent="0.3">
      <c r="A4493">
        <v>57602</v>
      </c>
      <c r="B4493">
        <v>1</v>
      </c>
      <c r="C4493">
        <v>8</v>
      </c>
    </row>
    <row r="4494" spans="1:3" x14ac:dyDescent="0.3">
      <c r="A4494">
        <v>16013</v>
      </c>
      <c r="B4494">
        <v>2</v>
      </c>
      <c r="C4494">
        <v>16</v>
      </c>
    </row>
    <row r="4495" spans="1:3" x14ac:dyDescent="0.3">
      <c r="A4495">
        <v>52522</v>
      </c>
      <c r="B4495">
        <v>2</v>
      </c>
      <c r="C4495">
        <v>16</v>
      </c>
    </row>
    <row r="4496" spans="1:3" x14ac:dyDescent="0.3">
      <c r="A4496">
        <v>50719</v>
      </c>
      <c r="B4496">
        <v>2</v>
      </c>
      <c r="C4496">
        <v>16</v>
      </c>
    </row>
    <row r="4497" spans="1:3" x14ac:dyDescent="0.3">
      <c r="A4497">
        <v>50354</v>
      </c>
      <c r="B4497">
        <v>1</v>
      </c>
      <c r="C4497">
        <v>8</v>
      </c>
    </row>
    <row r="4498" spans="1:3" x14ac:dyDescent="0.3">
      <c r="A4498">
        <v>16976</v>
      </c>
      <c r="B4498">
        <v>2</v>
      </c>
      <c r="C4498">
        <v>8</v>
      </c>
    </row>
    <row r="4499" spans="1:3" x14ac:dyDescent="0.3">
      <c r="A4499">
        <v>17265</v>
      </c>
      <c r="B4499">
        <v>1</v>
      </c>
      <c r="C4499">
        <v>8</v>
      </c>
    </row>
    <row r="4500" spans="1:3" x14ac:dyDescent="0.3">
      <c r="A4500">
        <v>43517</v>
      </c>
      <c r="B4500">
        <v>1</v>
      </c>
      <c r="C4500">
        <v>8</v>
      </c>
    </row>
    <row r="4501" spans="1:3" x14ac:dyDescent="0.3">
      <c r="A4501">
        <v>41910</v>
      </c>
      <c r="B4501">
        <v>1</v>
      </c>
      <c r="C4501">
        <v>8</v>
      </c>
    </row>
    <row r="4502" spans="1:3" x14ac:dyDescent="0.3">
      <c r="A4502">
        <v>41226</v>
      </c>
      <c r="B4502">
        <v>2</v>
      </c>
      <c r="C4502">
        <v>8</v>
      </c>
    </row>
    <row r="4503" spans="1:3" x14ac:dyDescent="0.3">
      <c r="A4503">
        <v>39228</v>
      </c>
      <c r="B4503">
        <v>1</v>
      </c>
      <c r="C4503">
        <v>8</v>
      </c>
    </row>
    <row r="4504" spans="1:3" x14ac:dyDescent="0.3">
      <c r="A4504">
        <v>38611</v>
      </c>
      <c r="B4504">
        <v>1</v>
      </c>
      <c r="C4504">
        <v>16</v>
      </c>
    </row>
    <row r="4505" spans="1:3" x14ac:dyDescent="0.3">
      <c r="A4505">
        <v>36823</v>
      </c>
      <c r="B4505">
        <v>1</v>
      </c>
      <c r="C4505">
        <v>8</v>
      </c>
    </row>
    <row r="4506" spans="1:3" x14ac:dyDescent="0.3">
      <c r="A4506">
        <v>36365</v>
      </c>
      <c r="B4506">
        <v>1</v>
      </c>
      <c r="C4506">
        <v>8</v>
      </c>
    </row>
    <row r="4507" spans="1:3" x14ac:dyDescent="0.3">
      <c r="A4507">
        <v>35736</v>
      </c>
      <c r="B4507">
        <v>1</v>
      </c>
      <c r="C4507">
        <v>8</v>
      </c>
    </row>
    <row r="4508" spans="1:3" x14ac:dyDescent="0.3">
      <c r="A4508">
        <v>35225</v>
      </c>
      <c r="B4508">
        <v>2</v>
      </c>
      <c r="C4508">
        <v>16</v>
      </c>
    </row>
    <row r="4509" spans="1:3" x14ac:dyDescent="0.3">
      <c r="A4509">
        <v>35225</v>
      </c>
      <c r="B4509">
        <v>2</v>
      </c>
      <c r="C4509">
        <v>16</v>
      </c>
    </row>
    <row r="4510" spans="1:3" x14ac:dyDescent="0.3">
      <c r="A4510">
        <v>33708</v>
      </c>
      <c r="B4510">
        <v>1</v>
      </c>
      <c r="C4510">
        <v>16</v>
      </c>
    </row>
    <row r="4511" spans="1:3" x14ac:dyDescent="0.3">
      <c r="A4511">
        <v>33706</v>
      </c>
      <c r="B4511">
        <v>1</v>
      </c>
      <c r="C4511">
        <v>8</v>
      </c>
    </row>
    <row r="4512" spans="1:3" x14ac:dyDescent="0.3">
      <c r="A4512">
        <v>32494</v>
      </c>
      <c r="B4512">
        <v>1</v>
      </c>
      <c r="C4512">
        <v>8</v>
      </c>
    </row>
    <row r="4513" spans="1:3" x14ac:dyDescent="0.3">
      <c r="A4513">
        <v>30766</v>
      </c>
      <c r="B4513">
        <v>1</v>
      </c>
      <c r="C4513">
        <v>8</v>
      </c>
    </row>
    <row r="4514" spans="1:3" x14ac:dyDescent="0.3">
      <c r="A4514">
        <v>30339</v>
      </c>
      <c r="B4514">
        <v>1</v>
      </c>
      <c r="C4514">
        <v>16</v>
      </c>
    </row>
    <row r="4515" spans="1:3" x14ac:dyDescent="0.3">
      <c r="A4515">
        <v>28871</v>
      </c>
      <c r="B4515">
        <v>2</v>
      </c>
      <c r="C4515">
        <v>8</v>
      </c>
    </row>
    <row r="4516" spans="1:3" x14ac:dyDescent="0.3">
      <c r="A4516">
        <v>28128</v>
      </c>
      <c r="B4516">
        <v>1</v>
      </c>
      <c r="C4516">
        <v>8</v>
      </c>
    </row>
    <row r="4517" spans="1:3" x14ac:dyDescent="0.3">
      <c r="A4517">
        <v>28126</v>
      </c>
      <c r="B4517">
        <v>1</v>
      </c>
      <c r="C4517">
        <v>8</v>
      </c>
    </row>
    <row r="4518" spans="1:3" x14ac:dyDescent="0.3">
      <c r="A4518">
        <v>19811</v>
      </c>
      <c r="B4518">
        <v>1</v>
      </c>
      <c r="C4518">
        <v>16</v>
      </c>
    </row>
    <row r="4519" spans="1:3" x14ac:dyDescent="0.3">
      <c r="A4519">
        <v>27613</v>
      </c>
      <c r="B4519">
        <v>1</v>
      </c>
      <c r="C4519">
        <v>8</v>
      </c>
    </row>
    <row r="4520" spans="1:3" x14ac:dyDescent="0.3">
      <c r="A4520">
        <v>27419</v>
      </c>
      <c r="B4520">
        <v>1</v>
      </c>
      <c r="C4520">
        <v>8</v>
      </c>
    </row>
    <row r="4521" spans="1:3" x14ac:dyDescent="0.3">
      <c r="A4521">
        <v>26257</v>
      </c>
      <c r="B4521">
        <v>2</v>
      </c>
      <c r="C4521">
        <v>16</v>
      </c>
    </row>
    <row r="4522" spans="1:3" x14ac:dyDescent="0.3">
      <c r="A4522">
        <v>20772</v>
      </c>
      <c r="B4522">
        <v>2</v>
      </c>
      <c r="C4522">
        <v>8</v>
      </c>
    </row>
    <row r="4523" spans="1:3" x14ac:dyDescent="0.3">
      <c r="A4523">
        <v>23047</v>
      </c>
      <c r="B4523">
        <v>1</v>
      </c>
      <c r="C4523">
        <v>16</v>
      </c>
    </row>
    <row r="4524" spans="1:3" x14ac:dyDescent="0.3">
      <c r="A4524">
        <v>22896</v>
      </c>
      <c r="B4524">
        <v>2</v>
      </c>
      <c r="C4524">
        <v>16</v>
      </c>
    </row>
    <row r="4525" spans="1:3" x14ac:dyDescent="0.3">
      <c r="A4525">
        <v>22896</v>
      </c>
      <c r="B4525">
        <v>2</v>
      </c>
      <c r="C4525">
        <v>16</v>
      </c>
    </row>
    <row r="4526" spans="1:3" x14ac:dyDescent="0.3">
      <c r="A4526">
        <v>80747</v>
      </c>
      <c r="B4526">
        <v>1</v>
      </c>
      <c r="C4526">
        <v>8</v>
      </c>
    </row>
    <row r="4527" spans="1:3" x14ac:dyDescent="0.3">
      <c r="A4527">
        <v>80391</v>
      </c>
      <c r="B4527">
        <v>1</v>
      </c>
      <c r="C4527">
        <v>8</v>
      </c>
    </row>
    <row r="4528" spans="1:3" x14ac:dyDescent="0.3">
      <c r="A4528">
        <v>80294</v>
      </c>
      <c r="B4528">
        <v>1</v>
      </c>
      <c r="C4528">
        <v>8</v>
      </c>
    </row>
    <row r="4529" spans="1:3" x14ac:dyDescent="0.3">
      <c r="A4529">
        <v>80293</v>
      </c>
      <c r="B4529">
        <v>1</v>
      </c>
      <c r="C4529">
        <v>8</v>
      </c>
    </row>
    <row r="4530" spans="1:3" x14ac:dyDescent="0.3">
      <c r="A4530">
        <v>80292</v>
      </c>
      <c r="B4530">
        <v>1</v>
      </c>
      <c r="C4530">
        <v>8</v>
      </c>
    </row>
    <row r="4531" spans="1:3" x14ac:dyDescent="0.3">
      <c r="A4531">
        <v>80291</v>
      </c>
      <c r="B4531">
        <v>1</v>
      </c>
      <c r="C4531">
        <v>8</v>
      </c>
    </row>
    <row r="4532" spans="1:3" x14ac:dyDescent="0.3">
      <c r="A4532">
        <v>80186</v>
      </c>
      <c r="B4532">
        <v>1</v>
      </c>
      <c r="C4532">
        <v>8</v>
      </c>
    </row>
    <row r="4533" spans="1:3" x14ac:dyDescent="0.3">
      <c r="A4533">
        <v>80185</v>
      </c>
      <c r="B4533">
        <v>1</v>
      </c>
      <c r="C4533">
        <v>8</v>
      </c>
    </row>
    <row r="4534" spans="1:3" x14ac:dyDescent="0.3">
      <c r="A4534">
        <v>80184</v>
      </c>
      <c r="B4534">
        <v>1</v>
      </c>
      <c r="C4534">
        <v>8</v>
      </c>
    </row>
    <row r="4535" spans="1:3" x14ac:dyDescent="0.3">
      <c r="A4535">
        <v>80049</v>
      </c>
      <c r="B4535">
        <v>1</v>
      </c>
      <c r="C4535">
        <v>8</v>
      </c>
    </row>
    <row r="4536" spans="1:3" x14ac:dyDescent="0.3">
      <c r="A4536">
        <v>80048</v>
      </c>
      <c r="B4536">
        <v>1</v>
      </c>
      <c r="C4536">
        <v>8</v>
      </c>
    </row>
    <row r="4537" spans="1:3" x14ac:dyDescent="0.3">
      <c r="A4537">
        <v>79949</v>
      </c>
      <c r="B4537">
        <v>1</v>
      </c>
      <c r="C4537">
        <v>8</v>
      </c>
    </row>
    <row r="4538" spans="1:3" x14ac:dyDescent="0.3">
      <c r="A4538">
        <v>79829</v>
      </c>
      <c r="B4538">
        <v>1</v>
      </c>
      <c r="C4538">
        <v>8</v>
      </c>
    </row>
    <row r="4539" spans="1:3" x14ac:dyDescent="0.3">
      <c r="A4539">
        <v>79828</v>
      </c>
      <c r="B4539">
        <v>1</v>
      </c>
      <c r="C4539">
        <v>8</v>
      </c>
    </row>
    <row r="4540" spans="1:3" x14ac:dyDescent="0.3">
      <c r="A4540">
        <v>79649</v>
      </c>
      <c r="B4540">
        <v>1</v>
      </c>
      <c r="C4540">
        <v>8</v>
      </c>
    </row>
    <row r="4541" spans="1:3" x14ac:dyDescent="0.3">
      <c r="A4541">
        <v>79569</v>
      </c>
      <c r="B4541">
        <v>1</v>
      </c>
      <c r="C4541">
        <v>8</v>
      </c>
    </row>
    <row r="4542" spans="1:3" x14ac:dyDescent="0.3">
      <c r="A4542">
        <v>79405</v>
      </c>
      <c r="B4542">
        <v>1</v>
      </c>
      <c r="C4542">
        <v>8</v>
      </c>
    </row>
    <row r="4543" spans="1:3" x14ac:dyDescent="0.3">
      <c r="A4543">
        <v>79319</v>
      </c>
      <c r="B4543">
        <v>1</v>
      </c>
      <c r="C4543">
        <v>8</v>
      </c>
    </row>
    <row r="4544" spans="1:3" x14ac:dyDescent="0.3">
      <c r="A4544">
        <v>79318</v>
      </c>
      <c r="B4544">
        <v>1</v>
      </c>
      <c r="C4544">
        <v>8</v>
      </c>
    </row>
    <row r="4545" spans="1:3" x14ac:dyDescent="0.3">
      <c r="A4545">
        <v>79316</v>
      </c>
      <c r="B4545">
        <v>1</v>
      </c>
      <c r="C4545">
        <v>8</v>
      </c>
    </row>
    <row r="4546" spans="1:3" x14ac:dyDescent="0.3">
      <c r="A4546">
        <v>79197</v>
      </c>
      <c r="B4546">
        <v>1</v>
      </c>
      <c r="C4546">
        <v>8</v>
      </c>
    </row>
    <row r="4547" spans="1:3" x14ac:dyDescent="0.3">
      <c r="A4547">
        <v>79196</v>
      </c>
      <c r="B4547">
        <v>1</v>
      </c>
      <c r="C4547">
        <v>8</v>
      </c>
    </row>
    <row r="4548" spans="1:3" x14ac:dyDescent="0.3">
      <c r="A4548">
        <v>78458</v>
      </c>
      <c r="B4548">
        <v>1</v>
      </c>
      <c r="C4548">
        <v>8</v>
      </c>
    </row>
    <row r="4549" spans="1:3" x14ac:dyDescent="0.3">
      <c r="A4549">
        <v>78388</v>
      </c>
      <c r="B4549">
        <v>1</v>
      </c>
      <c r="C4549">
        <v>8</v>
      </c>
    </row>
    <row r="4550" spans="1:3" x14ac:dyDescent="0.3">
      <c r="A4550">
        <v>78387</v>
      </c>
      <c r="B4550">
        <v>1</v>
      </c>
      <c r="C4550">
        <v>8</v>
      </c>
    </row>
    <row r="4551" spans="1:3" x14ac:dyDescent="0.3">
      <c r="A4551">
        <v>78192</v>
      </c>
      <c r="B4551">
        <v>1</v>
      </c>
      <c r="C4551">
        <v>8</v>
      </c>
    </row>
    <row r="4552" spans="1:3" x14ac:dyDescent="0.3">
      <c r="A4552">
        <v>78016</v>
      </c>
      <c r="B4552">
        <v>1</v>
      </c>
      <c r="C4552">
        <v>8</v>
      </c>
    </row>
    <row r="4553" spans="1:3" x14ac:dyDescent="0.3">
      <c r="A4553">
        <v>78015</v>
      </c>
      <c r="B4553">
        <v>1</v>
      </c>
      <c r="C4553">
        <v>8</v>
      </c>
    </row>
    <row r="4554" spans="1:3" x14ac:dyDescent="0.3">
      <c r="A4554">
        <v>77693</v>
      </c>
      <c r="B4554">
        <v>1</v>
      </c>
      <c r="C4554">
        <v>8</v>
      </c>
    </row>
    <row r="4555" spans="1:3" x14ac:dyDescent="0.3">
      <c r="A4555">
        <v>77560</v>
      </c>
      <c r="B4555">
        <v>1</v>
      </c>
      <c r="C4555">
        <v>8</v>
      </c>
    </row>
    <row r="4556" spans="1:3" x14ac:dyDescent="0.3">
      <c r="A4556">
        <v>77559</v>
      </c>
      <c r="B4556">
        <v>1</v>
      </c>
      <c r="C4556">
        <v>8</v>
      </c>
    </row>
    <row r="4557" spans="1:3" x14ac:dyDescent="0.3">
      <c r="A4557">
        <v>77248</v>
      </c>
      <c r="B4557">
        <v>1</v>
      </c>
      <c r="C4557">
        <v>8</v>
      </c>
    </row>
    <row r="4558" spans="1:3" x14ac:dyDescent="0.3">
      <c r="A4558">
        <v>77247</v>
      </c>
      <c r="B4558">
        <v>1</v>
      </c>
      <c r="C4558">
        <v>8</v>
      </c>
    </row>
    <row r="4559" spans="1:3" x14ac:dyDescent="0.3">
      <c r="A4559">
        <v>77029</v>
      </c>
      <c r="B4559">
        <v>1</v>
      </c>
      <c r="C4559">
        <v>8</v>
      </c>
    </row>
    <row r="4560" spans="1:3" x14ac:dyDescent="0.3">
      <c r="A4560">
        <v>76969</v>
      </c>
      <c r="B4560">
        <v>1</v>
      </c>
      <c r="C4560">
        <v>8</v>
      </c>
    </row>
    <row r="4561" spans="1:3" x14ac:dyDescent="0.3">
      <c r="A4561">
        <v>76470</v>
      </c>
      <c r="B4561">
        <v>1</v>
      </c>
      <c r="C4561">
        <v>8</v>
      </c>
    </row>
    <row r="4562" spans="1:3" x14ac:dyDescent="0.3">
      <c r="A4562">
        <v>76469</v>
      </c>
      <c r="B4562">
        <v>1</v>
      </c>
      <c r="C4562">
        <v>8</v>
      </c>
    </row>
    <row r="4563" spans="1:3" x14ac:dyDescent="0.3">
      <c r="A4563">
        <v>76278</v>
      </c>
      <c r="B4563">
        <v>1</v>
      </c>
      <c r="C4563">
        <v>8</v>
      </c>
    </row>
    <row r="4564" spans="1:3" x14ac:dyDescent="0.3">
      <c r="A4564">
        <v>76154</v>
      </c>
      <c r="B4564">
        <v>1</v>
      </c>
      <c r="C4564">
        <v>8</v>
      </c>
    </row>
    <row r="4565" spans="1:3" x14ac:dyDescent="0.3">
      <c r="A4565">
        <v>75928</v>
      </c>
      <c r="B4565">
        <v>1</v>
      </c>
      <c r="C4565">
        <v>8</v>
      </c>
    </row>
    <row r="4566" spans="1:3" x14ac:dyDescent="0.3">
      <c r="A4566">
        <v>75685</v>
      </c>
      <c r="B4566">
        <v>1</v>
      </c>
      <c r="C4566">
        <v>8</v>
      </c>
    </row>
    <row r="4567" spans="1:3" x14ac:dyDescent="0.3">
      <c r="A4567">
        <v>75346</v>
      </c>
      <c r="B4567">
        <v>1</v>
      </c>
      <c r="C4567">
        <v>8</v>
      </c>
    </row>
    <row r="4568" spans="1:3" x14ac:dyDescent="0.3">
      <c r="A4568">
        <v>75182</v>
      </c>
      <c r="B4568">
        <v>1</v>
      </c>
      <c r="C4568">
        <v>8</v>
      </c>
    </row>
    <row r="4569" spans="1:3" x14ac:dyDescent="0.3">
      <c r="A4569">
        <v>75181</v>
      </c>
      <c r="B4569">
        <v>1</v>
      </c>
      <c r="C4569">
        <v>8</v>
      </c>
    </row>
    <row r="4570" spans="1:3" x14ac:dyDescent="0.3">
      <c r="A4570">
        <v>11491</v>
      </c>
      <c r="B4570">
        <v>1</v>
      </c>
      <c r="C4570">
        <v>8</v>
      </c>
    </row>
    <row r="4571" spans="1:3" x14ac:dyDescent="0.3">
      <c r="A4571">
        <v>74938</v>
      </c>
      <c r="B4571">
        <v>1</v>
      </c>
      <c r="C4571">
        <v>8</v>
      </c>
    </row>
    <row r="4572" spans="1:3" x14ac:dyDescent="0.3">
      <c r="A4572">
        <v>74911</v>
      </c>
      <c r="B4572">
        <v>1</v>
      </c>
      <c r="C4572">
        <v>8</v>
      </c>
    </row>
    <row r="4573" spans="1:3" x14ac:dyDescent="0.3">
      <c r="A4573">
        <v>74739</v>
      </c>
      <c r="B4573">
        <v>1</v>
      </c>
      <c r="C4573">
        <v>8</v>
      </c>
    </row>
    <row r="4574" spans="1:3" x14ac:dyDescent="0.3">
      <c r="A4574">
        <v>74462</v>
      </c>
      <c r="B4574">
        <v>1</v>
      </c>
      <c r="C4574">
        <v>8</v>
      </c>
    </row>
    <row r="4575" spans="1:3" x14ac:dyDescent="0.3">
      <c r="A4575">
        <v>74326</v>
      </c>
      <c r="B4575">
        <v>1</v>
      </c>
      <c r="C4575">
        <v>8</v>
      </c>
    </row>
    <row r="4576" spans="1:3" x14ac:dyDescent="0.3">
      <c r="A4576">
        <v>74254</v>
      </c>
      <c r="B4576">
        <v>1</v>
      </c>
      <c r="C4576">
        <v>8</v>
      </c>
    </row>
    <row r="4577" spans="1:3" x14ac:dyDescent="0.3">
      <c r="A4577">
        <v>73707</v>
      </c>
      <c r="B4577">
        <v>1</v>
      </c>
      <c r="C4577">
        <v>8</v>
      </c>
    </row>
    <row r="4578" spans="1:3" x14ac:dyDescent="0.3">
      <c r="A4578">
        <v>73706</v>
      </c>
      <c r="B4578">
        <v>1</v>
      </c>
      <c r="C4578">
        <v>8</v>
      </c>
    </row>
    <row r="4579" spans="1:3" x14ac:dyDescent="0.3">
      <c r="A4579">
        <v>72844</v>
      </c>
      <c r="B4579">
        <v>1</v>
      </c>
      <c r="C4579">
        <v>8</v>
      </c>
    </row>
    <row r="4580" spans="1:3" x14ac:dyDescent="0.3">
      <c r="A4580">
        <v>72681</v>
      </c>
      <c r="B4580">
        <v>1</v>
      </c>
      <c r="C4580">
        <v>8</v>
      </c>
    </row>
    <row r="4581" spans="1:3" x14ac:dyDescent="0.3">
      <c r="A4581">
        <v>72680</v>
      </c>
      <c r="B4581">
        <v>1</v>
      </c>
      <c r="C4581">
        <v>8</v>
      </c>
    </row>
    <row r="4582" spans="1:3" x14ac:dyDescent="0.3">
      <c r="A4582">
        <v>72260</v>
      </c>
      <c r="B4582">
        <v>1</v>
      </c>
      <c r="C4582">
        <v>8</v>
      </c>
    </row>
    <row r="4583" spans="1:3" x14ac:dyDescent="0.3">
      <c r="A4583">
        <v>72029</v>
      </c>
      <c r="B4583">
        <v>1</v>
      </c>
      <c r="C4583">
        <v>16</v>
      </c>
    </row>
    <row r="4584" spans="1:3" x14ac:dyDescent="0.3">
      <c r="A4584">
        <v>71818</v>
      </c>
      <c r="B4584">
        <v>1</v>
      </c>
      <c r="C4584">
        <v>8</v>
      </c>
    </row>
    <row r="4585" spans="1:3" x14ac:dyDescent="0.3">
      <c r="A4585">
        <v>71817</v>
      </c>
      <c r="B4585">
        <v>1</v>
      </c>
      <c r="C4585">
        <v>8</v>
      </c>
    </row>
    <row r="4586" spans="1:3" x14ac:dyDescent="0.3">
      <c r="A4586">
        <v>71191</v>
      </c>
      <c r="B4586">
        <v>1</v>
      </c>
      <c r="C4586">
        <v>8</v>
      </c>
    </row>
    <row r="4587" spans="1:3" x14ac:dyDescent="0.3">
      <c r="A4587">
        <v>71105</v>
      </c>
      <c r="B4587">
        <v>1</v>
      </c>
      <c r="C4587">
        <v>8</v>
      </c>
    </row>
    <row r="4588" spans="1:3" x14ac:dyDescent="0.3">
      <c r="A4588">
        <v>70306</v>
      </c>
      <c r="B4588">
        <v>1</v>
      </c>
      <c r="C4588">
        <v>8</v>
      </c>
    </row>
    <row r="4589" spans="1:3" x14ac:dyDescent="0.3">
      <c r="A4589">
        <v>70304</v>
      </c>
      <c r="B4589">
        <v>1</v>
      </c>
      <c r="C4589">
        <v>16</v>
      </c>
    </row>
    <row r="4590" spans="1:3" x14ac:dyDescent="0.3">
      <c r="A4590">
        <v>12960</v>
      </c>
      <c r="B4590">
        <v>1</v>
      </c>
      <c r="C4590">
        <v>8</v>
      </c>
    </row>
    <row r="4591" spans="1:3" x14ac:dyDescent="0.3">
      <c r="A4591">
        <v>69740</v>
      </c>
      <c r="B4591">
        <v>1</v>
      </c>
      <c r="C4591">
        <v>8</v>
      </c>
    </row>
    <row r="4592" spans="1:3" x14ac:dyDescent="0.3">
      <c r="A4592">
        <v>69559</v>
      </c>
      <c r="B4592">
        <v>1</v>
      </c>
      <c r="C4592">
        <v>16</v>
      </c>
    </row>
    <row r="4593" spans="1:3" x14ac:dyDescent="0.3">
      <c r="A4593">
        <v>69031</v>
      </c>
      <c r="B4593">
        <v>1</v>
      </c>
      <c r="C4593">
        <v>8</v>
      </c>
    </row>
    <row r="4594" spans="1:3" x14ac:dyDescent="0.3">
      <c r="A4594">
        <v>69030</v>
      </c>
      <c r="B4594">
        <v>1</v>
      </c>
      <c r="C4594">
        <v>8</v>
      </c>
    </row>
    <row r="4595" spans="1:3" x14ac:dyDescent="0.3">
      <c r="A4595">
        <v>69029</v>
      </c>
      <c r="B4595">
        <v>1</v>
      </c>
      <c r="C4595">
        <v>8</v>
      </c>
    </row>
    <row r="4596" spans="1:3" x14ac:dyDescent="0.3">
      <c r="A4596">
        <v>69027</v>
      </c>
      <c r="B4596">
        <v>1</v>
      </c>
      <c r="C4596">
        <v>8</v>
      </c>
    </row>
    <row r="4597" spans="1:3" x14ac:dyDescent="0.3">
      <c r="A4597">
        <v>68886</v>
      </c>
      <c r="B4597">
        <v>1</v>
      </c>
      <c r="C4597">
        <v>8</v>
      </c>
    </row>
    <row r="4598" spans="1:3" x14ac:dyDescent="0.3">
      <c r="A4598">
        <v>68266</v>
      </c>
      <c r="B4598">
        <v>1</v>
      </c>
      <c r="C4598">
        <v>8</v>
      </c>
    </row>
    <row r="4599" spans="1:3" x14ac:dyDescent="0.3">
      <c r="A4599">
        <v>67994</v>
      </c>
      <c r="B4599">
        <v>1</v>
      </c>
      <c r="C4599">
        <v>8</v>
      </c>
    </row>
    <row r="4600" spans="1:3" x14ac:dyDescent="0.3">
      <c r="A4600">
        <v>67918</v>
      </c>
      <c r="B4600">
        <v>1</v>
      </c>
      <c r="C4600">
        <v>8</v>
      </c>
    </row>
    <row r="4601" spans="1:3" x14ac:dyDescent="0.3">
      <c r="A4601">
        <v>67358</v>
      </c>
      <c r="B4601">
        <v>1</v>
      </c>
      <c r="C4601">
        <v>8</v>
      </c>
    </row>
    <row r="4602" spans="1:3" x14ac:dyDescent="0.3">
      <c r="A4602">
        <v>67109</v>
      </c>
      <c r="B4602">
        <v>1</v>
      </c>
      <c r="C4602">
        <v>8</v>
      </c>
    </row>
    <row r="4603" spans="1:3" x14ac:dyDescent="0.3">
      <c r="A4603">
        <v>66891</v>
      </c>
      <c r="B4603">
        <v>1</v>
      </c>
      <c r="C4603">
        <v>8</v>
      </c>
    </row>
    <row r="4604" spans="1:3" x14ac:dyDescent="0.3">
      <c r="A4604">
        <v>66890</v>
      </c>
      <c r="B4604">
        <v>1</v>
      </c>
      <c r="C4604">
        <v>8</v>
      </c>
    </row>
    <row r="4605" spans="1:3" x14ac:dyDescent="0.3">
      <c r="A4605">
        <v>66889</v>
      </c>
      <c r="B4605">
        <v>1</v>
      </c>
      <c r="C4605">
        <v>8</v>
      </c>
    </row>
    <row r="4606" spans="1:3" x14ac:dyDescent="0.3">
      <c r="A4606">
        <v>66888</v>
      </c>
      <c r="B4606">
        <v>1</v>
      </c>
      <c r="C4606">
        <v>8</v>
      </c>
    </row>
    <row r="4607" spans="1:3" x14ac:dyDescent="0.3">
      <c r="A4607">
        <v>66887</v>
      </c>
      <c r="B4607">
        <v>1</v>
      </c>
      <c r="C4607">
        <v>8</v>
      </c>
    </row>
    <row r="4608" spans="1:3" x14ac:dyDescent="0.3">
      <c r="A4608">
        <v>66886</v>
      </c>
      <c r="B4608">
        <v>1</v>
      </c>
      <c r="C4608">
        <v>8</v>
      </c>
    </row>
    <row r="4609" spans="1:3" x14ac:dyDescent="0.3">
      <c r="A4609">
        <v>66885</v>
      </c>
      <c r="B4609">
        <v>1</v>
      </c>
      <c r="C4609">
        <v>8</v>
      </c>
    </row>
    <row r="4610" spans="1:3" x14ac:dyDescent="0.3">
      <c r="A4610">
        <v>66884</v>
      </c>
      <c r="B4610">
        <v>1</v>
      </c>
      <c r="C4610">
        <v>8</v>
      </c>
    </row>
    <row r="4611" spans="1:3" x14ac:dyDescent="0.3">
      <c r="A4611">
        <v>66883</v>
      </c>
      <c r="B4611">
        <v>1</v>
      </c>
      <c r="C4611">
        <v>8</v>
      </c>
    </row>
    <row r="4612" spans="1:3" x14ac:dyDescent="0.3">
      <c r="A4612">
        <v>66882</v>
      </c>
      <c r="B4612">
        <v>1</v>
      </c>
      <c r="C4612">
        <v>8</v>
      </c>
    </row>
    <row r="4613" spans="1:3" x14ac:dyDescent="0.3">
      <c r="A4613">
        <v>66881</v>
      </c>
      <c r="B4613">
        <v>1</v>
      </c>
      <c r="C4613">
        <v>8</v>
      </c>
    </row>
    <row r="4614" spans="1:3" x14ac:dyDescent="0.3">
      <c r="A4614">
        <v>66880</v>
      </c>
      <c r="B4614">
        <v>1</v>
      </c>
      <c r="C4614">
        <v>8</v>
      </c>
    </row>
    <row r="4615" spans="1:3" x14ac:dyDescent="0.3">
      <c r="A4615">
        <v>66794</v>
      </c>
      <c r="B4615">
        <v>1</v>
      </c>
      <c r="C4615">
        <v>8</v>
      </c>
    </row>
    <row r="4616" spans="1:3" x14ac:dyDescent="0.3">
      <c r="A4616">
        <v>66792</v>
      </c>
      <c r="B4616">
        <v>1</v>
      </c>
      <c r="C4616">
        <v>8</v>
      </c>
    </row>
    <row r="4617" spans="1:3" x14ac:dyDescent="0.3">
      <c r="A4617">
        <v>66709</v>
      </c>
      <c r="B4617">
        <v>1</v>
      </c>
      <c r="C4617">
        <v>16</v>
      </c>
    </row>
    <row r="4618" spans="1:3" x14ac:dyDescent="0.3">
      <c r="A4618">
        <v>66559</v>
      </c>
      <c r="B4618">
        <v>1</v>
      </c>
      <c r="C4618">
        <v>8</v>
      </c>
    </row>
    <row r="4619" spans="1:3" x14ac:dyDescent="0.3">
      <c r="A4619">
        <v>66076</v>
      </c>
      <c r="B4619">
        <v>1</v>
      </c>
      <c r="C4619">
        <v>8</v>
      </c>
    </row>
    <row r="4620" spans="1:3" x14ac:dyDescent="0.3">
      <c r="A4620">
        <v>66021</v>
      </c>
      <c r="B4620">
        <v>1</v>
      </c>
      <c r="C4620">
        <v>8</v>
      </c>
    </row>
    <row r="4621" spans="1:3" x14ac:dyDescent="0.3">
      <c r="A4621">
        <v>65743</v>
      </c>
      <c r="B4621">
        <v>1</v>
      </c>
      <c r="C4621">
        <v>8</v>
      </c>
    </row>
    <row r="4622" spans="1:3" x14ac:dyDescent="0.3">
      <c r="A4622">
        <v>65134</v>
      </c>
      <c r="B4622">
        <v>1</v>
      </c>
      <c r="C4622">
        <v>8</v>
      </c>
    </row>
    <row r="4623" spans="1:3" x14ac:dyDescent="0.3">
      <c r="A4623">
        <v>63865</v>
      </c>
      <c r="B4623">
        <v>1</v>
      </c>
      <c r="C4623">
        <v>8</v>
      </c>
    </row>
    <row r="4624" spans="1:3" x14ac:dyDescent="0.3">
      <c r="A4624">
        <v>14827</v>
      </c>
      <c r="B4624">
        <v>1</v>
      </c>
      <c r="C4624">
        <v>8</v>
      </c>
    </row>
    <row r="4625" spans="1:3" x14ac:dyDescent="0.3">
      <c r="A4625">
        <v>62984</v>
      </c>
      <c r="B4625">
        <v>1</v>
      </c>
      <c r="C4625">
        <v>8</v>
      </c>
    </row>
    <row r="4626" spans="1:3" x14ac:dyDescent="0.3">
      <c r="A4626">
        <v>62088</v>
      </c>
      <c r="B4626">
        <v>1</v>
      </c>
      <c r="C4626">
        <v>8</v>
      </c>
    </row>
    <row r="4627" spans="1:3" x14ac:dyDescent="0.3">
      <c r="A4627">
        <v>62087</v>
      </c>
      <c r="B4627">
        <v>1</v>
      </c>
      <c r="C4627">
        <v>8</v>
      </c>
    </row>
    <row r="4628" spans="1:3" x14ac:dyDescent="0.3">
      <c r="A4628">
        <v>62085</v>
      </c>
      <c r="B4628">
        <v>1</v>
      </c>
      <c r="C4628">
        <v>8</v>
      </c>
    </row>
    <row r="4629" spans="1:3" x14ac:dyDescent="0.3">
      <c r="A4629">
        <v>61424</v>
      </c>
      <c r="B4629">
        <v>1</v>
      </c>
      <c r="C4629">
        <v>8</v>
      </c>
    </row>
    <row r="4630" spans="1:3" x14ac:dyDescent="0.3">
      <c r="A4630">
        <v>61423</v>
      </c>
      <c r="B4630">
        <v>1</v>
      </c>
      <c r="C4630">
        <v>8</v>
      </c>
    </row>
    <row r="4631" spans="1:3" x14ac:dyDescent="0.3">
      <c r="A4631">
        <v>15245</v>
      </c>
      <c r="B4631">
        <v>1</v>
      </c>
      <c r="C4631">
        <v>8</v>
      </c>
    </row>
    <row r="4632" spans="1:3" x14ac:dyDescent="0.3">
      <c r="A4632">
        <v>61188</v>
      </c>
      <c r="B4632">
        <v>1</v>
      </c>
      <c r="C4632">
        <v>8</v>
      </c>
    </row>
    <row r="4633" spans="1:3" x14ac:dyDescent="0.3">
      <c r="A4633">
        <v>60555</v>
      </c>
      <c r="B4633">
        <v>1</v>
      </c>
      <c r="C4633">
        <v>8</v>
      </c>
    </row>
    <row r="4634" spans="1:3" x14ac:dyDescent="0.3">
      <c r="A4634">
        <v>60175</v>
      </c>
      <c r="B4634">
        <v>1</v>
      </c>
      <c r="C4634">
        <v>8</v>
      </c>
    </row>
    <row r="4635" spans="1:3" x14ac:dyDescent="0.3">
      <c r="A4635">
        <v>60069</v>
      </c>
      <c r="B4635">
        <v>1</v>
      </c>
      <c r="C4635">
        <v>8</v>
      </c>
    </row>
    <row r="4636" spans="1:3" x14ac:dyDescent="0.3">
      <c r="A4636">
        <v>59497</v>
      </c>
      <c r="B4636">
        <v>1</v>
      </c>
      <c r="C4636">
        <v>8</v>
      </c>
    </row>
    <row r="4637" spans="1:3" x14ac:dyDescent="0.3">
      <c r="A4637">
        <v>57848</v>
      </c>
      <c r="B4637">
        <v>1</v>
      </c>
      <c r="C4637">
        <v>8</v>
      </c>
    </row>
    <row r="4638" spans="1:3" x14ac:dyDescent="0.3">
      <c r="A4638">
        <v>57682</v>
      </c>
      <c r="B4638">
        <v>1</v>
      </c>
      <c r="C4638">
        <v>8</v>
      </c>
    </row>
    <row r="4639" spans="1:3" x14ac:dyDescent="0.3">
      <c r="A4639">
        <v>57681</v>
      </c>
      <c r="B4639">
        <v>1</v>
      </c>
      <c r="C4639">
        <v>8</v>
      </c>
    </row>
    <row r="4640" spans="1:3" x14ac:dyDescent="0.3">
      <c r="A4640">
        <v>57370</v>
      </c>
      <c r="B4640">
        <v>1</v>
      </c>
      <c r="C4640">
        <v>8</v>
      </c>
    </row>
    <row r="4641" spans="1:3" x14ac:dyDescent="0.3">
      <c r="A4641">
        <v>55858</v>
      </c>
      <c r="B4641">
        <v>1</v>
      </c>
      <c r="C4641">
        <v>16</v>
      </c>
    </row>
    <row r="4642" spans="1:3" x14ac:dyDescent="0.3">
      <c r="A4642">
        <v>53789</v>
      </c>
      <c r="B4642">
        <v>1</v>
      </c>
      <c r="C4642">
        <v>8</v>
      </c>
    </row>
    <row r="4643" spans="1:3" x14ac:dyDescent="0.3">
      <c r="A4643">
        <v>53692</v>
      </c>
      <c r="B4643">
        <v>1</v>
      </c>
      <c r="C4643">
        <v>8</v>
      </c>
    </row>
    <row r="4644" spans="1:3" x14ac:dyDescent="0.3">
      <c r="A4644">
        <v>52565</v>
      </c>
      <c r="B4644">
        <v>1</v>
      </c>
      <c r="C4644">
        <v>8</v>
      </c>
    </row>
    <row r="4645" spans="1:3" x14ac:dyDescent="0.3">
      <c r="A4645">
        <v>51292</v>
      </c>
      <c r="B4645">
        <v>1</v>
      </c>
      <c r="C4645">
        <v>8</v>
      </c>
    </row>
    <row r="4646" spans="1:3" x14ac:dyDescent="0.3">
      <c r="A4646">
        <v>50720</v>
      </c>
      <c r="B4646">
        <v>1</v>
      </c>
      <c r="C4646">
        <v>8</v>
      </c>
    </row>
    <row r="4647" spans="1:3" x14ac:dyDescent="0.3">
      <c r="A4647">
        <v>50350</v>
      </c>
      <c r="B4647">
        <v>1</v>
      </c>
      <c r="C4647">
        <v>8</v>
      </c>
    </row>
    <row r="4648" spans="1:3" x14ac:dyDescent="0.3">
      <c r="A4648">
        <v>49316</v>
      </c>
      <c r="B4648">
        <v>1</v>
      </c>
      <c r="C4648">
        <v>8</v>
      </c>
    </row>
    <row r="4649" spans="1:3" x14ac:dyDescent="0.3">
      <c r="A4649">
        <v>49089</v>
      </c>
      <c r="B4649">
        <v>1</v>
      </c>
      <c r="C4649">
        <v>16</v>
      </c>
    </row>
    <row r="4650" spans="1:3" x14ac:dyDescent="0.3">
      <c r="A4650">
        <v>48104</v>
      </c>
      <c r="B4650">
        <v>1</v>
      </c>
      <c r="C4650">
        <v>16</v>
      </c>
    </row>
    <row r="4651" spans="1:3" x14ac:dyDescent="0.3">
      <c r="A4651">
        <v>48071</v>
      </c>
      <c r="B4651">
        <v>1</v>
      </c>
      <c r="C4651">
        <v>8</v>
      </c>
    </row>
    <row r="4652" spans="1:3" x14ac:dyDescent="0.3">
      <c r="A4652">
        <v>48067</v>
      </c>
      <c r="B4652">
        <v>1</v>
      </c>
      <c r="C4652">
        <v>8</v>
      </c>
    </row>
    <row r="4653" spans="1:3" x14ac:dyDescent="0.3">
      <c r="A4653">
        <v>48065</v>
      </c>
      <c r="B4653">
        <v>1</v>
      </c>
      <c r="C4653">
        <v>16</v>
      </c>
    </row>
    <row r="4654" spans="1:3" x14ac:dyDescent="0.3">
      <c r="A4654">
        <v>17382</v>
      </c>
      <c r="B4654">
        <v>1</v>
      </c>
      <c r="C4654">
        <v>8</v>
      </c>
    </row>
    <row r="4655" spans="1:3" x14ac:dyDescent="0.3">
      <c r="A4655">
        <v>47075</v>
      </c>
      <c r="B4655">
        <v>1</v>
      </c>
      <c r="C4655">
        <v>8</v>
      </c>
    </row>
    <row r="4656" spans="1:3" x14ac:dyDescent="0.3">
      <c r="A4656">
        <v>47074</v>
      </c>
      <c r="B4656">
        <v>1</v>
      </c>
      <c r="C4656">
        <v>8</v>
      </c>
    </row>
    <row r="4657" spans="1:3" x14ac:dyDescent="0.3">
      <c r="A4657">
        <v>45941</v>
      </c>
      <c r="B4657">
        <v>1</v>
      </c>
      <c r="C4657">
        <v>16</v>
      </c>
    </row>
    <row r="4658" spans="1:3" x14ac:dyDescent="0.3">
      <c r="A4658">
        <v>45656</v>
      </c>
      <c r="B4658">
        <v>1</v>
      </c>
      <c r="C4658">
        <v>8</v>
      </c>
    </row>
    <row r="4659" spans="1:3" x14ac:dyDescent="0.3">
      <c r="A4659">
        <v>45655</v>
      </c>
      <c r="B4659">
        <v>1</v>
      </c>
      <c r="C4659">
        <v>8</v>
      </c>
    </row>
    <row r="4660" spans="1:3" x14ac:dyDescent="0.3">
      <c r="A4660">
        <v>45344</v>
      </c>
      <c r="B4660">
        <v>1</v>
      </c>
      <c r="C4660">
        <v>16</v>
      </c>
    </row>
    <row r="4661" spans="1:3" x14ac:dyDescent="0.3">
      <c r="A4661">
        <v>43676</v>
      </c>
      <c r="B4661">
        <v>1</v>
      </c>
      <c r="C4661">
        <v>8</v>
      </c>
    </row>
    <row r="4662" spans="1:3" x14ac:dyDescent="0.3">
      <c r="A4662">
        <v>43516</v>
      </c>
      <c r="B4662">
        <v>1</v>
      </c>
      <c r="C4662">
        <v>16</v>
      </c>
    </row>
    <row r="4663" spans="1:3" x14ac:dyDescent="0.3">
      <c r="A4663">
        <v>43165</v>
      </c>
      <c r="B4663">
        <v>1</v>
      </c>
      <c r="C4663">
        <v>8</v>
      </c>
    </row>
    <row r="4664" spans="1:3" x14ac:dyDescent="0.3">
      <c r="A4664">
        <v>42270</v>
      </c>
      <c r="B4664">
        <v>1</v>
      </c>
      <c r="C4664">
        <v>8</v>
      </c>
    </row>
    <row r="4665" spans="1:3" x14ac:dyDescent="0.3">
      <c r="A4665">
        <v>42176</v>
      </c>
      <c r="B4665">
        <v>1</v>
      </c>
      <c r="C4665">
        <v>8</v>
      </c>
    </row>
    <row r="4666" spans="1:3" x14ac:dyDescent="0.3">
      <c r="A4666">
        <v>41916</v>
      </c>
      <c r="B4666">
        <v>1</v>
      </c>
      <c r="C4666">
        <v>8</v>
      </c>
    </row>
    <row r="4667" spans="1:3" x14ac:dyDescent="0.3">
      <c r="A4667">
        <v>41914</v>
      </c>
      <c r="B4667">
        <v>1</v>
      </c>
      <c r="C4667">
        <v>16</v>
      </c>
    </row>
    <row r="4668" spans="1:3" x14ac:dyDescent="0.3">
      <c r="A4668">
        <v>41315</v>
      </c>
      <c r="B4668">
        <v>1</v>
      </c>
      <c r="C4668">
        <v>8</v>
      </c>
    </row>
    <row r="4669" spans="1:3" x14ac:dyDescent="0.3">
      <c r="A4669">
        <v>40863</v>
      </c>
      <c r="B4669">
        <v>1</v>
      </c>
      <c r="C4669">
        <v>8</v>
      </c>
    </row>
    <row r="4670" spans="1:3" x14ac:dyDescent="0.3">
      <c r="A4670">
        <v>40072</v>
      </c>
      <c r="B4670">
        <v>1</v>
      </c>
      <c r="C4670">
        <v>8</v>
      </c>
    </row>
    <row r="4671" spans="1:3" x14ac:dyDescent="0.3">
      <c r="A4671">
        <v>39902</v>
      </c>
      <c r="B4671">
        <v>1</v>
      </c>
      <c r="C4671">
        <v>8</v>
      </c>
    </row>
    <row r="4672" spans="1:3" x14ac:dyDescent="0.3">
      <c r="A4672">
        <v>39901</v>
      </c>
      <c r="B4672">
        <v>1</v>
      </c>
      <c r="C4672">
        <v>8</v>
      </c>
    </row>
    <row r="4673" spans="1:3" x14ac:dyDescent="0.3">
      <c r="A4673">
        <v>39227</v>
      </c>
      <c r="B4673">
        <v>1</v>
      </c>
      <c r="C4673">
        <v>8</v>
      </c>
    </row>
    <row r="4674" spans="1:3" x14ac:dyDescent="0.3">
      <c r="A4674">
        <v>38864</v>
      </c>
      <c r="B4674">
        <v>1</v>
      </c>
      <c r="C4674">
        <v>8</v>
      </c>
    </row>
    <row r="4675" spans="1:3" x14ac:dyDescent="0.3">
      <c r="A4675">
        <v>36668</v>
      </c>
      <c r="B4675">
        <v>1</v>
      </c>
      <c r="C4675">
        <v>16</v>
      </c>
    </row>
    <row r="4676" spans="1:3" x14ac:dyDescent="0.3">
      <c r="A4676">
        <v>36076</v>
      </c>
      <c r="B4676">
        <v>1</v>
      </c>
      <c r="C4676">
        <v>16</v>
      </c>
    </row>
    <row r="4677" spans="1:3" x14ac:dyDescent="0.3">
      <c r="A4677">
        <v>36075</v>
      </c>
      <c r="B4677">
        <v>1</v>
      </c>
      <c r="C4677">
        <v>8</v>
      </c>
    </row>
    <row r="4678" spans="1:3" x14ac:dyDescent="0.3">
      <c r="A4678">
        <v>35735</v>
      </c>
      <c r="B4678">
        <v>1</v>
      </c>
      <c r="C4678">
        <v>8</v>
      </c>
    </row>
    <row r="4679" spans="1:3" x14ac:dyDescent="0.3">
      <c r="A4679">
        <v>34583</v>
      </c>
      <c r="B4679">
        <v>1</v>
      </c>
      <c r="C4679">
        <v>8</v>
      </c>
    </row>
    <row r="4680" spans="1:3" x14ac:dyDescent="0.3">
      <c r="A4680">
        <v>34191</v>
      </c>
      <c r="B4680">
        <v>1</v>
      </c>
      <c r="C4680">
        <v>8</v>
      </c>
    </row>
    <row r="4681" spans="1:3" x14ac:dyDescent="0.3">
      <c r="A4681">
        <v>33709</v>
      </c>
      <c r="B4681">
        <v>1</v>
      </c>
      <c r="C4681">
        <v>8</v>
      </c>
    </row>
    <row r="4682" spans="1:3" x14ac:dyDescent="0.3">
      <c r="A4682">
        <v>32964</v>
      </c>
      <c r="B4682">
        <v>1</v>
      </c>
      <c r="C4682">
        <v>8</v>
      </c>
    </row>
    <row r="4683" spans="1:3" x14ac:dyDescent="0.3">
      <c r="A4683">
        <v>32590</v>
      </c>
      <c r="B4683">
        <v>1</v>
      </c>
      <c r="C4683">
        <v>16</v>
      </c>
    </row>
    <row r="4684" spans="1:3" x14ac:dyDescent="0.3">
      <c r="A4684">
        <v>31992</v>
      </c>
      <c r="B4684">
        <v>1</v>
      </c>
      <c r="C4684">
        <v>8</v>
      </c>
    </row>
    <row r="4685" spans="1:3" x14ac:dyDescent="0.3">
      <c r="A4685">
        <v>31787</v>
      </c>
      <c r="B4685">
        <v>1</v>
      </c>
      <c r="C4685">
        <v>8</v>
      </c>
    </row>
    <row r="4686" spans="1:3" x14ac:dyDescent="0.3">
      <c r="A4686">
        <v>30616</v>
      </c>
      <c r="B4686">
        <v>1</v>
      </c>
      <c r="C4686">
        <v>8</v>
      </c>
    </row>
    <row r="4687" spans="1:3" x14ac:dyDescent="0.3">
      <c r="A4687">
        <v>28872</v>
      </c>
      <c r="B4687">
        <v>1</v>
      </c>
      <c r="C4687">
        <v>8</v>
      </c>
    </row>
    <row r="4688" spans="1:3" x14ac:dyDescent="0.3">
      <c r="A4688">
        <v>28623</v>
      </c>
      <c r="B4688">
        <v>1</v>
      </c>
      <c r="C4688">
        <v>8</v>
      </c>
    </row>
    <row r="4689" spans="1:3" x14ac:dyDescent="0.3">
      <c r="A4689">
        <v>28130</v>
      </c>
      <c r="B4689">
        <v>1</v>
      </c>
      <c r="C4689">
        <v>8</v>
      </c>
    </row>
    <row r="4690" spans="1:3" x14ac:dyDescent="0.3">
      <c r="A4690">
        <v>24589</v>
      </c>
      <c r="B4690">
        <v>1</v>
      </c>
      <c r="C4690">
        <v>8</v>
      </c>
    </row>
    <row r="4691" spans="1:3" x14ac:dyDescent="0.3">
      <c r="A4691">
        <v>24353</v>
      </c>
      <c r="B4691">
        <v>1</v>
      </c>
      <c r="C4691">
        <v>8</v>
      </c>
    </row>
    <row r="4692" spans="1:3" x14ac:dyDescent="0.3">
      <c r="A4692">
        <v>24352</v>
      </c>
      <c r="B4692">
        <v>1</v>
      </c>
      <c r="C4692">
        <v>16</v>
      </c>
    </row>
    <row r="4693" spans="1:3" x14ac:dyDescent="0.3">
      <c r="A4693">
        <v>77653</v>
      </c>
      <c r="B4693">
        <v>1</v>
      </c>
      <c r="C4693">
        <v>8</v>
      </c>
    </row>
    <row r="4694" spans="1:3" x14ac:dyDescent="0.3">
      <c r="A4694">
        <v>21425</v>
      </c>
      <c r="B4694">
        <v>2</v>
      </c>
      <c r="C4694">
        <v>16</v>
      </c>
    </row>
    <row r="4695" spans="1:3" x14ac:dyDescent="0.3">
      <c r="A4695">
        <v>59484</v>
      </c>
      <c r="B4695">
        <v>1</v>
      </c>
      <c r="C4695">
        <v>16</v>
      </c>
    </row>
    <row r="4696" spans="1:3" x14ac:dyDescent="0.3">
      <c r="A4696">
        <v>79504</v>
      </c>
      <c r="B4696">
        <v>1</v>
      </c>
      <c r="C4696">
        <v>8</v>
      </c>
    </row>
    <row r="4697" spans="1:3" x14ac:dyDescent="0.3">
      <c r="A4697">
        <v>78596</v>
      </c>
      <c r="B4697">
        <v>1</v>
      </c>
      <c r="C4697">
        <v>8</v>
      </c>
    </row>
    <row r="4698" spans="1:3" x14ac:dyDescent="0.3">
      <c r="A4698">
        <v>73804</v>
      </c>
      <c r="B4698">
        <v>1</v>
      </c>
      <c r="C4698">
        <v>8</v>
      </c>
    </row>
    <row r="4699" spans="1:3" x14ac:dyDescent="0.3">
      <c r="A4699">
        <v>13676</v>
      </c>
      <c r="B4699">
        <v>2</v>
      </c>
      <c r="C4699">
        <v>16</v>
      </c>
    </row>
    <row r="4700" spans="1:3" x14ac:dyDescent="0.3">
      <c r="A4700">
        <v>16740</v>
      </c>
      <c r="B4700">
        <v>1</v>
      </c>
      <c r="C4700">
        <v>8</v>
      </c>
    </row>
    <row r="4701" spans="1:3" x14ac:dyDescent="0.3">
      <c r="A4701">
        <v>77832</v>
      </c>
      <c r="B4701">
        <v>2</v>
      </c>
      <c r="C4701">
        <v>8</v>
      </c>
    </row>
    <row r="4702" spans="1:3" x14ac:dyDescent="0.3">
      <c r="A4702">
        <v>17101</v>
      </c>
      <c r="B4702">
        <v>2</v>
      </c>
      <c r="C4702">
        <v>16</v>
      </c>
    </row>
    <row r="4703" spans="1:3" x14ac:dyDescent="0.3">
      <c r="A4703">
        <v>18323</v>
      </c>
      <c r="B4703">
        <v>1</v>
      </c>
      <c r="C4703">
        <v>8</v>
      </c>
    </row>
    <row r="4704" spans="1:3" x14ac:dyDescent="0.3">
      <c r="A4704">
        <v>23906</v>
      </c>
      <c r="B4704">
        <v>1</v>
      </c>
      <c r="C4704">
        <v>16</v>
      </c>
    </row>
    <row r="4705" spans="1:3" x14ac:dyDescent="0.3">
      <c r="A4705">
        <v>27869</v>
      </c>
      <c r="B4705">
        <v>2</v>
      </c>
      <c r="C4705">
        <v>16</v>
      </c>
    </row>
    <row r="4706" spans="1:3" x14ac:dyDescent="0.3">
      <c r="A4706">
        <v>29998</v>
      </c>
      <c r="B4706">
        <v>2</v>
      </c>
      <c r="C4706">
        <v>16</v>
      </c>
    </row>
    <row r="4707" spans="1:3" x14ac:dyDescent="0.3">
      <c r="A4707">
        <v>70598</v>
      </c>
      <c r="B4707">
        <v>1</v>
      </c>
      <c r="C4707">
        <v>16</v>
      </c>
    </row>
    <row r="4708" spans="1:3" x14ac:dyDescent="0.3">
      <c r="A4708">
        <v>30479</v>
      </c>
      <c r="B4708">
        <v>2</v>
      </c>
      <c r="C4708">
        <v>8</v>
      </c>
    </row>
    <row r="4709" spans="1:3" x14ac:dyDescent="0.3">
      <c r="A4709">
        <v>30558</v>
      </c>
      <c r="B4709">
        <v>1</v>
      </c>
      <c r="C4709">
        <v>16</v>
      </c>
    </row>
    <row r="4710" spans="1:3" x14ac:dyDescent="0.3">
      <c r="A4710">
        <v>68709</v>
      </c>
      <c r="B4710">
        <v>2</v>
      </c>
      <c r="C4710">
        <v>16</v>
      </c>
    </row>
    <row r="4711" spans="1:3" x14ac:dyDescent="0.3">
      <c r="A4711">
        <v>31966</v>
      </c>
      <c r="B4711">
        <v>1</v>
      </c>
      <c r="C4711">
        <v>8</v>
      </c>
    </row>
    <row r="4712" spans="1:3" x14ac:dyDescent="0.3">
      <c r="A4712">
        <v>33412</v>
      </c>
      <c r="B4712">
        <v>1</v>
      </c>
      <c r="C4712">
        <v>8</v>
      </c>
    </row>
    <row r="4713" spans="1:3" x14ac:dyDescent="0.3">
      <c r="A4713">
        <v>66013</v>
      </c>
      <c r="B4713">
        <v>2</v>
      </c>
      <c r="C4713">
        <v>16</v>
      </c>
    </row>
    <row r="4714" spans="1:3" x14ac:dyDescent="0.3">
      <c r="A4714">
        <v>34705</v>
      </c>
      <c r="B4714">
        <v>1</v>
      </c>
      <c r="C4714">
        <v>16</v>
      </c>
    </row>
    <row r="4715" spans="1:3" x14ac:dyDescent="0.3">
      <c r="A4715">
        <v>35205</v>
      </c>
      <c r="B4715">
        <v>1</v>
      </c>
      <c r="C4715">
        <v>8</v>
      </c>
    </row>
    <row r="4716" spans="1:3" x14ac:dyDescent="0.3">
      <c r="A4716">
        <v>36811</v>
      </c>
      <c r="B4716">
        <v>1</v>
      </c>
      <c r="C4716">
        <v>8</v>
      </c>
    </row>
    <row r="4717" spans="1:3" x14ac:dyDescent="0.3">
      <c r="A4717">
        <v>59108</v>
      </c>
      <c r="B4717">
        <v>2</v>
      </c>
      <c r="C4717">
        <v>16</v>
      </c>
    </row>
    <row r="4718" spans="1:3" x14ac:dyDescent="0.3">
      <c r="A4718">
        <v>58469</v>
      </c>
      <c r="B4718">
        <v>1</v>
      </c>
      <c r="C4718">
        <v>16</v>
      </c>
    </row>
    <row r="4719" spans="1:3" x14ac:dyDescent="0.3">
      <c r="A4719">
        <v>58468</v>
      </c>
      <c r="B4719">
        <v>1</v>
      </c>
      <c r="C4719">
        <v>16</v>
      </c>
    </row>
    <row r="4720" spans="1:3" x14ac:dyDescent="0.3">
      <c r="A4720">
        <v>39640</v>
      </c>
      <c r="B4720">
        <v>1</v>
      </c>
      <c r="C4720">
        <v>8</v>
      </c>
    </row>
    <row r="4721" spans="1:3" x14ac:dyDescent="0.3">
      <c r="A4721">
        <v>56825</v>
      </c>
      <c r="B4721">
        <v>2</v>
      </c>
      <c r="C4721">
        <v>8</v>
      </c>
    </row>
    <row r="4722" spans="1:3" x14ac:dyDescent="0.3">
      <c r="A4722">
        <v>40187</v>
      </c>
      <c r="B4722">
        <v>1</v>
      </c>
      <c r="C4722">
        <v>16</v>
      </c>
    </row>
    <row r="4723" spans="1:3" x14ac:dyDescent="0.3">
      <c r="A4723">
        <v>41093</v>
      </c>
      <c r="B4723">
        <v>1</v>
      </c>
      <c r="C4723">
        <v>8</v>
      </c>
    </row>
    <row r="4724" spans="1:3" x14ac:dyDescent="0.3">
      <c r="A4724">
        <v>50706</v>
      </c>
      <c r="B4724">
        <v>1</v>
      </c>
      <c r="C4724">
        <v>16</v>
      </c>
    </row>
    <row r="4725" spans="1:3" x14ac:dyDescent="0.3">
      <c r="A4725">
        <v>45938</v>
      </c>
      <c r="B4725">
        <v>1</v>
      </c>
      <c r="C4725">
        <v>8</v>
      </c>
    </row>
    <row r="4726" spans="1:3" x14ac:dyDescent="0.3">
      <c r="A4726">
        <v>13531</v>
      </c>
      <c r="B4726">
        <v>2</v>
      </c>
      <c r="C4726">
        <v>16</v>
      </c>
    </row>
    <row r="4727" spans="1:3" x14ac:dyDescent="0.3">
      <c r="A4727">
        <v>13531</v>
      </c>
      <c r="B4727">
        <v>2</v>
      </c>
      <c r="C4727">
        <v>16</v>
      </c>
    </row>
    <row r="4728" spans="1:3" x14ac:dyDescent="0.3">
      <c r="A4728">
        <v>16095</v>
      </c>
      <c r="B4728">
        <v>2</v>
      </c>
      <c r="C4728">
        <v>16</v>
      </c>
    </row>
    <row r="4729" spans="1:3" x14ac:dyDescent="0.3">
      <c r="A4729">
        <v>16095</v>
      </c>
      <c r="B4729">
        <v>2</v>
      </c>
      <c r="C4729">
        <v>16</v>
      </c>
    </row>
    <row r="4730" spans="1:3" x14ac:dyDescent="0.3">
      <c r="A4730">
        <v>19245</v>
      </c>
      <c r="B4730">
        <v>2</v>
      </c>
      <c r="C4730">
        <v>16</v>
      </c>
    </row>
    <row r="4731" spans="1:3" x14ac:dyDescent="0.3">
      <c r="A4731">
        <v>19245</v>
      </c>
      <c r="B4731">
        <v>2</v>
      </c>
      <c r="C4731">
        <v>16</v>
      </c>
    </row>
    <row r="4732" spans="1:3" x14ac:dyDescent="0.3">
      <c r="A4732">
        <v>75513</v>
      </c>
      <c r="B4732">
        <v>2</v>
      </c>
      <c r="C4732">
        <v>16</v>
      </c>
    </row>
    <row r="4733" spans="1:3" x14ac:dyDescent="0.3">
      <c r="A4733">
        <v>75513</v>
      </c>
      <c r="B4733">
        <v>2</v>
      </c>
      <c r="C4733">
        <v>16</v>
      </c>
    </row>
    <row r="4734" spans="1:3" x14ac:dyDescent="0.3">
      <c r="A4734">
        <v>23663</v>
      </c>
      <c r="B4734">
        <v>2</v>
      </c>
      <c r="C4734">
        <v>16</v>
      </c>
    </row>
    <row r="4735" spans="1:3" x14ac:dyDescent="0.3">
      <c r="A4735">
        <v>23663</v>
      </c>
      <c r="B4735">
        <v>2</v>
      </c>
      <c r="C4735">
        <v>16</v>
      </c>
    </row>
    <row r="4736" spans="1:3" x14ac:dyDescent="0.3">
      <c r="A4736">
        <v>30295</v>
      </c>
      <c r="B4736">
        <v>2</v>
      </c>
      <c r="C4736">
        <v>16</v>
      </c>
    </row>
    <row r="4737" spans="1:3" x14ac:dyDescent="0.3">
      <c r="A4737">
        <v>30295</v>
      </c>
      <c r="B4737">
        <v>2</v>
      </c>
      <c r="C4737">
        <v>16</v>
      </c>
    </row>
    <row r="4738" spans="1:3" x14ac:dyDescent="0.3">
      <c r="A4738">
        <v>31677</v>
      </c>
      <c r="B4738">
        <v>2</v>
      </c>
      <c r="C4738">
        <v>16</v>
      </c>
    </row>
    <row r="4739" spans="1:3" x14ac:dyDescent="0.3">
      <c r="A4739">
        <v>31677</v>
      </c>
      <c r="B4739">
        <v>2</v>
      </c>
      <c r="C4739">
        <v>16</v>
      </c>
    </row>
    <row r="4740" spans="1:3" x14ac:dyDescent="0.3">
      <c r="A4740">
        <v>61579</v>
      </c>
      <c r="B4740">
        <v>2</v>
      </c>
      <c r="C4740">
        <v>16</v>
      </c>
    </row>
    <row r="4741" spans="1:3" x14ac:dyDescent="0.3">
      <c r="A4741">
        <v>61579</v>
      </c>
      <c r="B4741">
        <v>2</v>
      </c>
      <c r="C4741">
        <v>16</v>
      </c>
    </row>
    <row r="4742" spans="1:3" x14ac:dyDescent="0.3">
      <c r="A4742">
        <v>39641</v>
      </c>
      <c r="B4742">
        <v>2</v>
      </c>
      <c r="C4742">
        <v>16</v>
      </c>
    </row>
    <row r="4743" spans="1:3" x14ac:dyDescent="0.3">
      <c r="A4743">
        <v>39641</v>
      </c>
      <c r="B4743">
        <v>2</v>
      </c>
      <c r="C4743">
        <v>16</v>
      </c>
    </row>
    <row r="4744" spans="1:3" x14ac:dyDescent="0.3">
      <c r="A4744">
        <v>39696</v>
      </c>
      <c r="B4744">
        <v>2</v>
      </c>
      <c r="C4744">
        <v>16</v>
      </c>
    </row>
    <row r="4745" spans="1:3" x14ac:dyDescent="0.3">
      <c r="A4745">
        <v>39696</v>
      </c>
      <c r="B4745">
        <v>2</v>
      </c>
      <c r="C4745">
        <v>16</v>
      </c>
    </row>
    <row r="4746" spans="1:3" x14ac:dyDescent="0.3">
      <c r="A4746">
        <v>51987</v>
      </c>
      <c r="B4746">
        <v>2</v>
      </c>
      <c r="C4746">
        <v>16</v>
      </c>
    </row>
    <row r="4747" spans="1:3" x14ac:dyDescent="0.3">
      <c r="A4747">
        <v>51987</v>
      </c>
      <c r="B4747">
        <v>2</v>
      </c>
      <c r="C4747">
        <v>16</v>
      </c>
    </row>
    <row r="4748" spans="1:3" x14ac:dyDescent="0.3">
      <c r="A4748">
        <v>48347</v>
      </c>
      <c r="B4748">
        <v>2</v>
      </c>
      <c r="C4748">
        <v>16</v>
      </c>
    </row>
    <row r="4749" spans="1:3" x14ac:dyDescent="0.3">
      <c r="A4749">
        <v>48347</v>
      </c>
      <c r="B4749">
        <v>2</v>
      </c>
      <c r="C4749">
        <v>16</v>
      </c>
    </row>
    <row r="4750" spans="1:3" x14ac:dyDescent="0.3">
      <c r="A4750">
        <v>48112</v>
      </c>
      <c r="B4750">
        <v>2</v>
      </c>
      <c r="C4750">
        <v>16</v>
      </c>
    </row>
    <row r="4751" spans="1:3" x14ac:dyDescent="0.3">
      <c r="A4751">
        <v>48112</v>
      </c>
      <c r="B4751">
        <v>2</v>
      </c>
      <c r="C4751">
        <v>16</v>
      </c>
    </row>
    <row r="4752" spans="1:3" x14ac:dyDescent="0.3">
      <c r="A4752">
        <v>10578</v>
      </c>
      <c r="B4752">
        <v>1</v>
      </c>
      <c r="C4752">
        <v>16</v>
      </c>
    </row>
    <row r="4753" spans="1:3" x14ac:dyDescent="0.3">
      <c r="A4753">
        <v>79984</v>
      </c>
      <c r="B4753">
        <v>1</v>
      </c>
      <c r="C4753">
        <v>8</v>
      </c>
    </row>
    <row r="4754" spans="1:3" x14ac:dyDescent="0.3">
      <c r="A4754">
        <v>79745</v>
      </c>
      <c r="B4754">
        <v>2</v>
      </c>
      <c r="C4754">
        <v>8</v>
      </c>
    </row>
    <row r="4755" spans="1:3" x14ac:dyDescent="0.3">
      <c r="A4755">
        <v>79615</v>
      </c>
      <c r="B4755">
        <v>2</v>
      </c>
      <c r="C4755">
        <v>8</v>
      </c>
    </row>
    <row r="4756" spans="1:3" x14ac:dyDescent="0.3">
      <c r="A4756">
        <v>79610</v>
      </c>
      <c r="B4756">
        <v>2</v>
      </c>
      <c r="C4756">
        <v>8</v>
      </c>
    </row>
    <row r="4757" spans="1:3" x14ac:dyDescent="0.3">
      <c r="A4757">
        <v>79605</v>
      </c>
      <c r="B4757">
        <v>2</v>
      </c>
      <c r="C4757">
        <v>8</v>
      </c>
    </row>
    <row r="4758" spans="1:3" x14ac:dyDescent="0.3">
      <c r="A4758">
        <v>79539</v>
      </c>
      <c r="B4758">
        <v>1</v>
      </c>
      <c r="C4758">
        <v>8</v>
      </c>
    </row>
    <row r="4759" spans="1:3" x14ac:dyDescent="0.3">
      <c r="A4759">
        <v>11752</v>
      </c>
      <c r="B4759">
        <v>2</v>
      </c>
      <c r="C4759">
        <v>16</v>
      </c>
    </row>
    <row r="4760" spans="1:3" x14ac:dyDescent="0.3">
      <c r="A4760">
        <v>12052</v>
      </c>
      <c r="B4760">
        <v>1</v>
      </c>
      <c r="C4760">
        <v>8</v>
      </c>
    </row>
    <row r="4761" spans="1:3" x14ac:dyDescent="0.3">
      <c r="A4761">
        <v>79353</v>
      </c>
      <c r="B4761">
        <v>1</v>
      </c>
      <c r="C4761">
        <v>8</v>
      </c>
    </row>
    <row r="4762" spans="1:3" x14ac:dyDescent="0.3">
      <c r="A4762">
        <v>12227</v>
      </c>
      <c r="B4762">
        <v>1</v>
      </c>
      <c r="C4762">
        <v>8</v>
      </c>
    </row>
    <row r="4763" spans="1:3" x14ac:dyDescent="0.3">
      <c r="A4763">
        <v>12232</v>
      </c>
      <c r="B4763">
        <v>1</v>
      </c>
      <c r="C4763">
        <v>8</v>
      </c>
    </row>
    <row r="4764" spans="1:3" x14ac:dyDescent="0.3">
      <c r="A4764">
        <v>79278</v>
      </c>
      <c r="B4764">
        <v>2</v>
      </c>
      <c r="C4764">
        <v>8</v>
      </c>
    </row>
    <row r="4765" spans="1:3" x14ac:dyDescent="0.3">
      <c r="A4765">
        <v>12406</v>
      </c>
      <c r="B4765">
        <v>1</v>
      </c>
      <c r="C4765">
        <v>8</v>
      </c>
    </row>
    <row r="4766" spans="1:3" x14ac:dyDescent="0.3">
      <c r="A4766">
        <v>12418</v>
      </c>
      <c r="B4766">
        <v>2</v>
      </c>
      <c r="C4766">
        <v>16</v>
      </c>
    </row>
    <row r="4767" spans="1:3" x14ac:dyDescent="0.3">
      <c r="A4767">
        <v>12427</v>
      </c>
      <c r="B4767">
        <v>1</v>
      </c>
      <c r="C4767">
        <v>8</v>
      </c>
    </row>
    <row r="4768" spans="1:3" x14ac:dyDescent="0.3">
      <c r="A4768">
        <v>13435</v>
      </c>
      <c r="B4768">
        <v>1</v>
      </c>
      <c r="C4768">
        <v>8</v>
      </c>
    </row>
    <row r="4769" spans="1:3" x14ac:dyDescent="0.3">
      <c r="A4769">
        <v>13444</v>
      </c>
      <c r="B4769">
        <v>1</v>
      </c>
      <c r="C4769">
        <v>16</v>
      </c>
    </row>
    <row r="4770" spans="1:3" x14ac:dyDescent="0.3">
      <c r="A4770">
        <v>78788</v>
      </c>
      <c r="B4770">
        <v>2</v>
      </c>
      <c r="C4770">
        <v>8</v>
      </c>
    </row>
    <row r="4771" spans="1:3" x14ac:dyDescent="0.3">
      <c r="A4771">
        <v>14090</v>
      </c>
      <c r="B4771">
        <v>2</v>
      </c>
      <c r="C4771">
        <v>16</v>
      </c>
    </row>
    <row r="4772" spans="1:3" x14ac:dyDescent="0.3">
      <c r="A4772">
        <v>14860</v>
      </c>
      <c r="B4772">
        <v>2</v>
      </c>
      <c r="C4772">
        <v>16</v>
      </c>
    </row>
    <row r="4773" spans="1:3" x14ac:dyDescent="0.3">
      <c r="A4773">
        <v>78504</v>
      </c>
      <c r="B4773">
        <v>2</v>
      </c>
      <c r="C4773">
        <v>16</v>
      </c>
    </row>
    <row r="4774" spans="1:3" x14ac:dyDescent="0.3">
      <c r="A4774">
        <v>15421</v>
      </c>
      <c r="B4774">
        <v>1</v>
      </c>
      <c r="C4774">
        <v>16</v>
      </c>
    </row>
    <row r="4775" spans="1:3" x14ac:dyDescent="0.3">
      <c r="A4775">
        <v>15439</v>
      </c>
      <c r="B4775">
        <v>1</v>
      </c>
      <c r="C4775">
        <v>8</v>
      </c>
    </row>
    <row r="4776" spans="1:3" x14ac:dyDescent="0.3">
      <c r="A4776">
        <v>15601</v>
      </c>
      <c r="B4776">
        <v>2</v>
      </c>
      <c r="C4776">
        <v>16</v>
      </c>
    </row>
    <row r="4777" spans="1:3" x14ac:dyDescent="0.3">
      <c r="A4777">
        <v>15603</v>
      </c>
      <c r="B4777">
        <v>2</v>
      </c>
      <c r="C4777">
        <v>8</v>
      </c>
    </row>
    <row r="4778" spans="1:3" x14ac:dyDescent="0.3">
      <c r="A4778">
        <v>78293</v>
      </c>
      <c r="B4778">
        <v>1</v>
      </c>
      <c r="C4778">
        <v>8</v>
      </c>
    </row>
    <row r="4779" spans="1:3" x14ac:dyDescent="0.3">
      <c r="A4779">
        <v>78241</v>
      </c>
      <c r="B4779">
        <v>2</v>
      </c>
      <c r="C4779">
        <v>8</v>
      </c>
    </row>
    <row r="4780" spans="1:3" x14ac:dyDescent="0.3">
      <c r="A4780">
        <v>78240</v>
      </c>
      <c r="B4780">
        <v>1</v>
      </c>
      <c r="C4780">
        <v>8</v>
      </c>
    </row>
    <row r="4781" spans="1:3" x14ac:dyDescent="0.3">
      <c r="A4781">
        <v>78238</v>
      </c>
      <c r="B4781">
        <v>1</v>
      </c>
      <c r="C4781">
        <v>8</v>
      </c>
    </row>
    <row r="4782" spans="1:3" x14ac:dyDescent="0.3">
      <c r="A4782">
        <v>16395</v>
      </c>
      <c r="B4782">
        <v>1</v>
      </c>
      <c r="C4782">
        <v>8</v>
      </c>
    </row>
    <row r="4783" spans="1:3" x14ac:dyDescent="0.3">
      <c r="A4783">
        <v>78068</v>
      </c>
      <c r="B4783">
        <v>2</v>
      </c>
      <c r="C4783">
        <v>8</v>
      </c>
    </row>
    <row r="4784" spans="1:3" x14ac:dyDescent="0.3">
      <c r="A4784">
        <v>16741</v>
      </c>
      <c r="B4784">
        <v>1</v>
      </c>
      <c r="C4784">
        <v>8</v>
      </c>
    </row>
    <row r="4785" spans="1:3" x14ac:dyDescent="0.3">
      <c r="A4785">
        <v>77922</v>
      </c>
      <c r="B4785">
        <v>1</v>
      </c>
      <c r="C4785">
        <v>8</v>
      </c>
    </row>
    <row r="4786" spans="1:3" x14ac:dyDescent="0.3">
      <c r="A4786">
        <v>77644</v>
      </c>
      <c r="B4786">
        <v>1</v>
      </c>
      <c r="C4786">
        <v>8</v>
      </c>
    </row>
    <row r="4787" spans="1:3" x14ac:dyDescent="0.3">
      <c r="A4787">
        <v>17488</v>
      </c>
      <c r="B4787">
        <v>1</v>
      </c>
      <c r="C4787">
        <v>16</v>
      </c>
    </row>
    <row r="4788" spans="1:3" x14ac:dyDescent="0.3">
      <c r="A4788">
        <v>17567</v>
      </c>
      <c r="B4788">
        <v>1</v>
      </c>
      <c r="C4788">
        <v>8</v>
      </c>
    </row>
    <row r="4789" spans="1:3" x14ac:dyDescent="0.3">
      <c r="A4789">
        <v>77440</v>
      </c>
      <c r="B4789">
        <v>1</v>
      </c>
      <c r="C4789">
        <v>8</v>
      </c>
    </row>
    <row r="4790" spans="1:3" x14ac:dyDescent="0.3">
      <c r="A4790">
        <v>17978</v>
      </c>
      <c r="B4790">
        <v>1</v>
      </c>
      <c r="C4790">
        <v>16</v>
      </c>
    </row>
    <row r="4791" spans="1:3" x14ac:dyDescent="0.3">
      <c r="A4791">
        <v>17996</v>
      </c>
      <c r="B4791">
        <v>1</v>
      </c>
      <c r="C4791">
        <v>8</v>
      </c>
    </row>
    <row r="4792" spans="1:3" x14ac:dyDescent="0.3">
      <c r="A4792">
        <v>77337</v>
      </c>
      <c r="B4792">
        <v>1</v>
      </c>
      <c r="C4792">
        <v>8</v>
      </c>
    </row>
    <row r="4793" spans="1:3" x14ac:dyDescent="0.3">
      <c r="A4793">
        <v>77127</v>
      </c>
      <c r="B4793">
        <v>1</v>
      </c>
      <c r="C4793">
        <v>8</v>
      </c>
    </row>
    <row r="4794" spans="1:3" x14ac:dyDescent="0.3">
      <c r="A4794">
        <v>77124</v>
      </c>
      <c r="B4794">
        <v>1</v>
      </c>
      <c r="C4794">
        <v>8</v>
      </c>
    </row>
    <row r="4795" spans="1:3" x14ac:dyDescent="0.3">
      <c r="A4795">
        <v>77123</v>
      </c>
      <c r="B4795">
        <v>1</v>
      </c>
      <c r="C4795">
        <v>8</v>
      </c>
    </row>
    <row r="4796" spans="1:3" x14ac:dyDescent="0.3">
      <c r="A4796">
        <v>77122</v>
      </c>
      <c r="B4796">
        <v>1</v>
      </c>
      <c r="C4796">
        <v>8</v>
      </c>
    </row>
    <row r="4797" spans="1:3" x14ac:dyDescent="0.3">
      <c r="A4797">
        <v>18703</v>
      </c>
      <c r="B4797">
        <v>1</v>
      </c>
      <c r="C4797">
        <v>8</v>
      </c>
    </row>
    <row r="4798" spans="1:3" x14ac:dyDescent="0.3">
      <c r="A4798">
        <v>76946</v>
      </c>
      <c r="B4798">
        <v>1</v>
      </c>
      <c r="C4798">
        <v>8</v>
      </c>
    </row>
    <row r="4799" spans="1:3" x14ac:dyDescent="0.3">
      <c r="A4799">
        <v>76942</v>
      </c>
      <c r="B4799">
        <v>1</v>
      </c>
      <c r="C4799">
        <v>8</v>
      </c>
    </row>
    <row r="4800" spans="1:3" x14ac:dyDescent="0.3">
      <c r="A4800">
        <v>76940</v>
      </c>
      <c r="B4800">
        <v>1</v>
      </c>
      <c r="C4800">
        <v>8</v>
      </c>
    </row>
    <row r="4801" spans="1:3" x14ac:dyDescent="0.3">
      <c r="A4801">
        <v>76936</v>
      </c>
      <c r="B4801">
        <v>1</v>
      </c>
      <c r="C4801">
        <v>8</v>
      </c>
    </row>
    <row r="4802" spans="1:3" x14ac:dyDescent="0.3">
      <c r="A4802" s="26">
        <v>76935</v>
      </c>
      <c r="B4802" s="26">
        <v>1</v>
      </c>
      <c r="C4802" s="26">
        <v>8</v>
      </c>
    </row>
    <row r="4803" spans="1:3" x14ac:dyDescent="0.3">
      <c r="A4803">
        <v>76933</v>
      </c>
      <c r="B4803">
        <v>1</v>
      </c>
      <c r="C4803">
        <v>8</v>
      </c>
    </row>
    <row r="4804" spans="1:3" x14ac:dyDescent="0.3">
      <c r="A4804">
        <v>76877</v>
      </c>
      <c r="B4804">
        <v>1</v>
      </c>
      <c r="C4804">
        <v>8</v>
      </c>
    </row>
    <row r="4805" spans="1:3" x14ac:dyDescent="0.3">
      <c r="A4805">
        <v>76791</v>
      </c>
      <c r="B4805">
        <v>1</v>
      </c>
      <c r="C4805">
        <v>8</v>
      </c>
    </row>
    <row r="4806" spans="1:3" x14ac:dyDescent="0.3">
      <c r="A4806">
        <v>76787</v>
      </c>
      <c r="B4806">
        <v>1</v>
      </c>
      <c r="C4806">
        <v>8</v>
      </c>
    </row>
    <row r="4807" spans="1:3" x14ac:dyDescent="0.3">
      <c r="A4807">
        <v>76712</v>
      </c>
      <c r="B4807">
        <v>2</v>
      </c>
      <c r="C4807">
        <v>8</v>
      </c>
    </row>
    <row r="4808" spans="1:3" x14ac:dyDescent="0.3">
      <c r="A4808">
        <v>20561</v>
      </c>
      <c r="B4808">
        <v>1</v>
      </c>
      <c r="C4808">
        <v>8</v>
      </c>
    </row>
    <row r="4809" spans="1:3" x14ac:dyDescent="0.3">
      <c r="A4809">
        <v>20628</v>
      </c>
      <c r="B4809">
        <v>4</v>
      </c>
      <c r="C4809">
        <v>16</v>
      </c>
    </row>
    <row r="4810" spans="1:3" x14ac:dyDescent="0.3">
      <c r="A4810">
        <v>20635</v>
      </c>
      <c r="B4810">
        <v>1</v>
      </c>
      <c r="C4810">
        <v>8</v>
      </c>
    </row>
    <row r="4811" spans="1:3" x14ac:dyDescent="0.3">
      <c r="A4811">
        <v>76534</v>
      </c>
      <c r="B4811">
        <v>1</v>
      </c>
      <c r="C4811">
        <v>8</v>
      </c>
    </row>
    <row r="4812" spans="1:3" x14ac:dyDescent="0.3">
      <c r="A4812">
        <v>76531</v>
      </c>
      <c r="B4812">
        <v>1</v>
      </c>
      <c r="C4812">
        <v>8</v>
      </c>
    </row>
    <row r="4813" spans="1:3" x14ac:dyDescent="0.3">
      <c r="A4813">
        <v>76530</v>
      </c>
      <c r="B4813">
        <v>1</v>
      </c>
      <c r="C4813">
        <v>8</v>
      </c>
    </row>
    <row r="4814" spans="1:3" x14ac:dyDescent="0.3">
      <c r="A4814">
        <v>76525</v>
      </c>
      <c r="B4814">
        <v>1</v>
      </c>
      <c r="C4814">
        <v>8</v>
      </c>
    </row>
    <row r="4815" spans="1:3" x14ac:dyDescent="0.3">
      <c r="A4815">
        <v>76524</v>
      </c>
      <c r="B4815">
        <v>1</v>
      </c>
      <c r="C4815">
        <v>8</v>
      </c>
    </row>
    <row r="4816" spans="1:3" x14ac:dyDescent="0.3">
      <c r="A4816">
        <v>76494</v>
      </c>
      <c r="B4816">
        <v>1</v>
      </c>
      <c r="C4816">
        <v>8</v>
      </c>
    </row>
    <row r="4817" spans="1:3" x14ac:dyDescent="0.3">
      <c r="A4817">
        <v>21083</v>
      </c>
      <c r="B4817">
        <v>1</v>
      </c>
      <c r="C4817">
        <v>8</v>
      </c>
    </row>
    <row r="4818" spans="1:3" x14ac:dyDescent="0.3">
      <c r="A4818">
        <v>76406</v>
      </c>
      <c r="B4818">
        <v>2</v>
      </c>
      <c r="C4818">
        <v>8</v>
      </c>
    </row>
    <row r="4819" spans="1:3" x14ac:dyDescent="0.3">
      <c r="A4819">
        <v>76402</v>
      </c>
      <c r="B4819">
        <v>2</v>
      </c>
      <c r="C4819">
        <v>8</v>
      </c>
    </row>
    <row r="4820" spans="1:3" x14ac:dyDescent="0.3">
      <c r="A4820">
        <v>76298</v>
      </c>
      <c r="B4820">
        <v>1</v>
      </c>
      <c r="C4820">
        <v>8</v>
      </c>
    </row>
    <row r="4821" spans="1:3" x14ac:dyDescent="0.3">
      <c r="A4821">
        <v>76249</v>
      </c>
      <c r="B4821">
        <v>1</v>
      </c>
      <c r="C4821">
        <v>8</v>
      </c>
    </row>
    <row r="4822" spans="1:3" x14ac:dyDescent="0.3">
      <c r="A4822">
        <v>76224</v>
      </c>
      <c r="B4822">
        <v>1</v>
      </c>
      <c r="C4822">
        <v>8</v>
      </c>
    </row>
    <row r="4823" spans="1:3" x14ac:dyDescent="0.3">
      <c r="A4823">
        <v>76221</v>
      </c>
      <c r="B4823">
        <v>1</v>
      </c>
      <c r="C4823">
        <v>8</v>
      </c>
    </row>
    <row r="4824" spans="1:3" x14ac:dyDescent="0.3">
      <c r="A4824">
        <v>21792</v>
      </c>
      <c r="B4824">
        <v>1</v>
      </c>
      <c r="C4824">
        <v>16</v>
      </c>
    </row>
    <row r="4825" spans="1:3" x14ac:dyDescent="0.3">
      <c r="A4825">
        <v>76182</v>
      </c>
      <c r="B4825">
        <v>1</v>
      </c>
      <c r="C4825">
        <v>8</v>
      </c>
    </row>
    <row r="4826" spans="1:3" x14ac:dyDescent="0.3">
      <c r="A4826">
        <v>76103</v>
      </c>
      <c r="B4826">
        <v>1</v>
      </c>
      <c r="C4826">
        <v>8</v>
      </c>
    </row>
    <row r="4827" spans="1:3" x14ac:dyDescent="0.3">
      <c r="A4827">
        <v>76085</v>
      </c>
      <c r="B4827">
        <v>1</v>
      </c>
      <c r="C4827">
        <v>8</v>
      </c>
    </row>
    <row r="4828" spans="1:3" x14ac:dyDescent="0.3">
      <c r="A4828">
        <v>76080</v>
      </c>
      <c r="B4828">
        <v>1</v>
      </c>
      <c r="C4828">
        <v>8</v>
      </c>
    </row>
    <row r="4829" spans="1:3" x14ac:dyDescent="0.3">
      <c r="A4829">
        <v>75908</v>
      </c>
      <c r="B4829">
        <v>1</v>
      </c>
      <c r="C4829">
        <v>8</v>
      </c>
    </row>
    <row r="4830" spans="1:3" x14ac:dyDescent="0.3">
      <c r="A4830">
        <v>75907</v>
      </c>
      <c r="B4830">
        <v>1</v>
      </c>
      <c r="C4830">
        <v>8</v>
      </c>
    </row>
    <row r="4831" spans="1:3" x14ac:dyDescent="0.3">
      <c r="A4831">
        <v>22762</v>
      </c>
      <c r="B4831">
        <v>2</v>
      </c>
      <c r="C4831">
        <v>8</v>
      </c>
    </row>
    <row r="4832" spans="1:3" x14ac:dyDescent="0.3">
      <c r="A4832">
        <v>22822</v>
      </c>
      <c r="B4832">
        <v>2</v>
      </c>
      <c r="C4832">
        <v>16</v>
      </c>
    </row>
    <row r="4833" spans="1:3" x14ac:dyDescent="0.3">
      <c r="A4833">
        <v>75687</v>
      </c>
      <c r="B4833">
        <v>1</v>
      </c>
      <c r="C4833">
        <v>8</v>
      </c>
    </row>
    <row r="4834" spans="1:3" x14ac:dyDescent="0.3">
      <c r="A4834">
        <v>23142</v>
      </c>
      <c r="B4834">
        <v>1</v>
      </c>
      <c r="C4834">
        <v>8</v>
      </c>
    </row>
    <row r="4835" spans="1:3" x14ac:dyDescent="0.3">
      <c r="A4835">
        <v>23143</v>
      </c>
      <c r="B4835">
        <v>3</v>
      </c>
      <c r="C4835">
        <v>16</v>
      </c>
    </row>
    <row r="4836" spans="1:3" x14ac:dyDescent="0.3">
      <c r="A4836">
        <v>23144</v>
      </c>
      <c r="B4836">
        <v>1</v>
      </c>
      <c r="C4836">
        <v>8</v>
      </c>
    </row>
    <row r="4837" spans="1:3" x14ac:dyDescent="0.3">
      <c r="A4837">
        <v>75604</v>
      </c>
      <c r="B4837">
        <v>1</v>
      </c>
      <c r="C4837">
        <v>8</v>
      </c>
    </row>
    <row r="4838" spans="1:3" x14ac:dyDescent="0.3">
      <c r="A4838">
        <v>75484</v>
      </c>
      <c r="B4838">
        <v>1</v>
      </c>
      <c r="C4838">
        <v>8</v>
      </c>
    </row>
    <row r="4839" spans="1:3" x14ac:dyDescent="0.3">
      <c r="A4839">
        <v>75473</v>
      </c>
      <c r="B4839">
        <v>1</v>
      </c>
      <c r="C4839">
        <v>8</v>
      </c>
    </row>
    <row r="4840" spans="1:3" x14ac:dyDescent="0.3">
      <c r="A4840">
        <v>23606</v>
      </c>
      <c r="B4840">
        <v>1</v>
      </c>
      <c r="C4840">
        <v>8</v>
      </c>
    </row>
    <row r="4841" spans="1:3" x14ac:dyDescent="0.3">
      <c r="A4841">
        <v>23775</v>
      </c>
      <c r="B4841">
        <v>2</v>
      </c>
      <c r="C4841">
        <v>16</v>
      </c>
    </row>
    <row r="4842" spans="1:3" x14ac:dyDescent="0.3">
      <c r="A4842">
        <v>75366</v>
      </c>
      <c r="B4842">
        <v>1</v>
      </c>
      <c r="C4842">
        <v>8</v>
      </c>
    </row>
    <row r="4843" spans="1:3" x14ac:dyDescent="0.3">
      <c r="A4843">
        <v>75360</v>
      </c>
      <c r="B4843">
        <v>1</v>
      </c>
      <c r="C4843">
        <v>8</v>
      </c>
    </row>
    <row r="4844" spans="1:3" x14ac:dyDescent="0.3">
      <c r="A4844">
        <v>75299</v>
      </c>
      <c r="B4844">
        <v>1</v>
      </c>
      <c r="C4844">
        <v>8</v>
      </c>
    </row>
    <row r="4845" spans="1:3" x14ac:dyDescent="0.3">
      <c r="A4845">
        <v>24035</v>
      </c>
      <c r="B4845">
        <v>1</v>
      </c>
      <c r="C4845">
        <v>16</v>
      </c>
    </row>
    <row r="4846" spans="1:3" x14ac:dyDescent="0.3">
      <c r="A4846">
        <v>24161</v>
      </c>
      <c r="B4846">
        <v>2</v>
      </c>
      <c r="C4846">
        <v>16</v>
      </c>
    </row>
    <row r="4847" spans="1:3" x14ac:dyDescent="0.3">
      <c r="A4847">
        <v>75125</v>
      </c>
      <c r="B4847">
        <v>1</v>
      </c>
      <c r="C4847">
        <v>8</v>
      </c>
    </row>
    <row r="4848" spans="1:3" x14ac:dyDescent="0.3">
      <c r="A4848">
        <v>24378</v>
      </c>
      <c r="B4848">
        <v>3</v>
      </c>
      <c r="C4848">
        <v>8</v>
      </c>
    </row>
    <row r="4849" spans="1:3" x14ac:dyDescent="0.3">
      <c r="A4849">
        <v>24510</v>
      </c>
      <c r="B4849">
        <v>2</v>
      </c>
      <c r="C4849">
        <v>8</v>
      </c>
    </row>
    <row r="4850" spans="1:3" x14ac:dyDescent="0.3">
      <c r="A4850">
        <v>74893</v>
      </c>
      <c r="B4850">
        <v>3</v>
      </c>
      <c r="C4850">
        <v>16</v>
      </c>
    </row>
    <row r="4851" spans="1:3" x14ac:dyDescent="0.3">
      <c r="A4851">
        <v>74889</v>
      </c>
      <c r="B4851">
        <v>1</v>
      </c>
      <c r="C4851">
        <v>8</v>
      </c>
    </row>
    <row r="4852" spans="1:3" x14ac:dyDescent="0.3">
      <c r="A4852">
        <v>74887</v>
      </c>
      <c r="B4852">
        <v>2</v>
      </c>
      <c r="C4852">
        <v>16</v>
      </c>
    </row>
    <row r="4853" spans="1:3" x14ac:dyDescent="0.3">
      <c r="A4853">
        <v>74829</v>
      </c>
      <c r="B4853">
        <v>1</v>
      </c>
      <c r="C4853">
        <v>8</v>
      </c>
    </row>
    <row r="4854" spans="1:3" x14ac:dyDescent="0.3">
      <c r="A4854">
        <v>74828</v>
      </c>
      <c r="B4854">
        <v>2</v>
      </c>
      <c r="C4854">
        <v>16</v>
      </c>
    </row>
    <row r="4855" spans="1:3" x14ac:dyDescent="0.3">
      <c r="A4855">
        <v>74826</v>
      </c>
      <c r="B4855">
        <v>1</v>
      </c>
      <c r="C4855">
        <v>8</v>
      </c>
    </row>
    <row r="4856" spans="1:3" x14ac:dyDescent="0.3">
      <c r="A4856">
        <v>24733</v>
      </c>
      <c r="B4856">
        <v>1</v>
      </c>
      <c r="C4856">
        <v>16</v>
      </c>
    </row>
    <row r="4857" spans="1:3" x14ac:dyDescent="0.3">
      <c r="A4857">
        <v>25017</v>
      </c>
      <c r="B4857">
        <v>1</v>
      </c>
      <c r="C4857">
        <v>8</v>
      </c>
    </row>
    <row r="4858" spans="1:3" x14ac:dyDescent="0.3">
      <c r="A4858">
        <v>74518</v>
      </c>
      <c r="B4858">
        <v>1</v>
      </c>
      <c r="C4858">
        <v>16</v>
      </c>
    </row>
    <row r="4859" spans="1:3" x14ac:dyDescent="0.3">
      <c r="A4859">
        <v>74515</v>
      </c>
      <c r="B4859">
        <v>1</v>
      </c>
      <c r="C4859">
        <v>16</v>
      </c>
    </row>
    <row r="4860" spans="1:3" x14ac:dyDescent="0.3">
      <c r="A4860">
        <v>25149</v>
      </c>
      <c r="B4860">
        <v>1</v>
      </c>
      <c r="C4860">
        <v>16</v>
      </c>
    </row>
    <row r="4861" spans="1:3" x14ac:dyDescent="0.3">
      <c r="A4861">
        <v>74513</v>
      </c>
      <c r="B4861">
        <v>1</v>
      </c>
      <c r="C4861">
        <v>8</v>
      </c>
    </row>
    <row r="4862" spans="1:3" x14ac:dyDescent="0.3">
      <c r="A4862">
        <v>25489</v>
      </c>
      <c r="B4862">
        <v>1</v>
      </c>
      <c r="C4862">
        <v>8</v>
      </c>
    </row>
    <row r="4863" spans="1:3" x14ac:dyDescent="0.3">
      <c r="A4863">
        <v>25527</v>
      </c>
      <c r="B4863">
        <v>2</v>
      </c>
      <c r="C4863">
        <v>16</v>
      </c>
    </row>
    <row r="4864" spans="1:3" x14ac:dyDescent="0.3">
      <c r="A4864">
        <v>25528</v>
      </c>
      <c r="B4864">
        <v>1</v>
      </c>
      <c r="C4864">
        <v>8</v>
      </c>
    </row>
    <row r="4865" spans="1:3" x14ac:dyDescent="0.3">
      <c r="A4865">
        <v>25649</v>
      </c>
      <c r="B4865">
        <v>2</v>
      </c>
      <c r="C4865">
        <v>8</v>
      </c>
    </row>
    <row r="4866" spans="1:3" x14ac:dyDescent="0.3">
      <c r="A4866">
        <v>25651</v>
      </c>
      <c r="B4866">
        <v>2</v>
      </c>
      <c r="C4866">
        <v>8</v>
      </c>
    </row>
    <row r="4867" spans="1:3" x14ac:dyDescent="0.3">
      <c r="A4867">
        <v>25652</v>
      </c>
      <c r="B4867">
        <v>2</v>
      </c>
      <c r="C4867">
        <v>8</v>
      </c>
    </row>
    <row r="4868" spans="1:3" x14ac:dyDescent="0.3">
      <c r="A4868">
        <v>25653</v>
      </c>
      <c r="B4868">
        <v>2</v>
      </c>
      <c r="C4868">
        <v>8</v>
      </c>
    </row>
    <row r="4869" spans="1:3" x14ac:dyDescent="0.3">
      <c r="A4869">
        <v>74395</v>
      </c>
      <c r="B4869">
        <v>1</v>
      </c>
      <c r="C4869">
        <v>8</v>
      </c>
    </row>
    <row r="4870" spans="1:3" x14ac:dyDescent="0.3">
      <c r="A4870">
        <v>74391</v>
      </c>
      <c r="B4870">
        <v>1</v>
      </c>
      <c r="C4870">
        <v>8</v>
      </c>
    </row>
    <row r="4871" spans="1:3" x14ac:dyDescent="0.3">
      <c r="A4871">
        <v>74390</v>
      </c>
      <c r="B4871">
        <v>1</v>
      </c>
      <c r="C4871">
        <v>8</v>
      </c>
    </row>
    <row r="4872" spans="1:3" x14ac:dyDescent="0.3">
      <c r="A4872">
        <v>25911</v>
      </c>
      <c r="B4872">
        <v>2</v>
      </c>
      <c r="C4872">
        <v>8</v>
      </c>
    </row>
    <row r="4873" spans="1:3" x14ac:dyDescent="0.3">
      <c r="A4873">
        <v>74242</v>
      </c>
      <c r="B4873">
        <v>1</v>
      </c>
      <c r="C4873">
        <v>8</v>
      </c>
    </row>
    <row r="4874" spans="1:3" x14ac:dyDescent="0.3">
      <c r="A4874">
        <v>26503</v>
      </c>
      <c r="B4874">
        <v>1</v>
      </c>
      <c r="C4874">
        <v>8</v>
      </c>
    </row>
    <row r="4875" spans="1:3" x14ac:dyDescent="0.3">
      <c r="A4875">
        <v>73914</v>
      </c>
      <c r="B4875">
        <v>1</v>
      </c>
      <c r="C4875">
        <v>8</v>
      </c>
    </row>
    <row r="4876" spans="1:3" x14ac:dyDescent="0.3">
      <c r="A4876">
        <v>73846</v>
      </c>
      <c r="B4876">
        <v>2</v>
      </c>
      <c r="C4876">
        <v>8</v>
      </c>
    </row>
    <row r="4877" spans="1:3" x14ac:dyDescent="0.3">
      <c r="A4877">
        <v>26668</v>
      </c>
      <c r="B4877">
        <v>1</v>
      </c>
      <c r="C4877">
        <v>8</v>
      </c>
    </row>
    <row r="4878" spans="1:3" x14ac:dyDescent="0.3">
      <c r="A4878">
        <v>73758</v>
      </c>
      <c r="B4878">
        <v>1</v>
      </c>
      <c r="C4878">
        <v>8</v>
      </c>
    </row>
    <row r="4879" spans="1:3" x14ac:dyDescent="0.3">
      <c r="A4879">
        <v>26768</v>
      </c>
      <c r="B4879">
        <v>2</v>
      </c>
      <c r="C4879">
        <v>16</v>
      </c>
    </row>
    <row r="4880" spans="1:3" x14ac:dyDescent="0.3">
      <c r="A4880">
        <v>73755</v>
      </c>
      <c r="B4880">
        <v>1</v>
      </c>
      <c r="C4880">
        <v>8</v>
      </c>
    </row>
    <row r="4881" spans="1:3" x14ac:dyDescent="0.3">
      <c r="A4881">
        <v>73738</v>
      </c>
      <c r="B4881">
        <v>1</v>
      </c>
      <c r="C4881">
        <v>16</v>
      </c>
    </row>
    <row r="4882" spans="1:3" x14ac:dyDescent="0.3">
      <c r="A4882">
        <v>26847</v>
      </c>
      <c r="B4882">
        <v>1</v>
      </c>
      <c r="C4882">
        <v>8</v>
      </c>
    </row>
    <row r="4883" spans="1:3" x14ac:dyDescent="0.3">
      <c r="A4883">
        <v>73703</v>
      </c>
      <c r="B4883">
        <v>1</v>
      </c>
      <c r="C4883">
        <v>8</v>
      </c>
    </row>
    <row r="4884" spans="1:3" x14ac:dyDescent="0.3">
      <c r="A4884">
        <v>73695</v>
      </c>
      <c r="B4884">
        <v>1</v>
      </c>
      <c r="C4884">
        <v>8</v>
      </c>
    </row>
    <row r="4885" spans="1:3" x14ac:dyDescent="0.3">
      <c r="A4885">
        <v>73504</v>
      </c>
      <c r="B4885">
        <v>1</v>
      </c>
      <c r="C4885">
        <v>8</v>
      </c>
    </row>
    <row r="4886" spans="1:3" x14ac:dyDescent="0.3">
      <c r="A4886">
        <v>73349</v>
      </c>
      <c r="B4886">
        <v>1</v>
      </c>
      <c r="C4886">
        <v>8</v>
      </c>
    </row>
    <row r="4887" spans="1:3" x14ac:dyDescent="0.3">
      <c r="A4887">
        <v>27290</v>
      </c>
      <c r="B4887">
        <v>1</v>
      </c>
      <c r="C4887">
        <v>8</v>
      </c>
    </row>
    <row r="4888" spans="1:3" x14ac:dyDescent="0.3">
      <c r="A4888">
        <v>27456</v>
      </c>
      <c r="B4888">
        <v>1</v>
      </c>
      <c r="C4888">
        <v>16</v>
      </c>
    </row>
    <row r="4889" spans="1:3" x14ac:dyDescent="0.3">
      <c r="A4889">
        <v>72740</v>
      </c>
      <c r="B4889">
        <v>1</v>
      </c>
      <c r="C4889">
        <v>8</v>
      </c>
    </row>
    <row r="4890" spans="1:3" x14ac:dyDescent="0.3">
      <c r="A4890">
        <v>27601</v>
      </c>
      <c r="B4890">
        <v>1</v>
      </c>
      <c r="C4890">
        <v>8</v>
      </c>
    </row>
    <row r="4891" spans="1:3" x14ac:dyDescent="0.3">
      <c r="A4891">
        <v>27650</v>
      </c>
      <c r="B4891">
        <v>1</v>
      </c>
      <c r="C4891">
        <v>8</v>
      </c>
    </row>
    <row r="4892" spans="1:3" x14ac:dyDescent="0.3">
      <c r="A4892">
        <v>27653</v>
      </c>
      <c r="B4892">
        <v>1</v>
      </c>
      <c r="C4892">
        <v>8</v>
      </c>
    </row>
    <row r="4893" spans="1:3" x14ac:dyDescent="0.3">
      <c r="A4893">
        <v>72539</v>
      </c>
      <c r="B4893">
        <v>1</v>
      </c>
      <c r="C4893">
        <v>8</v>
      </c>
    </row>
    <row r="4894" spans="1:3" x14ac:dyDescent="0.3">
      <c r="A4894">
        <v>72331</v>
      </c>
      <c r="B4894">
        <v>1</v>
      </c>
      <c r="C4894">
        <v>8</v>
      </c>
    </row>
    <row r="4895" spans="1:3" x14ac:dyDescent="0.3">
      <c r="A4895">
        <v>72189</v>
      </c>
      <c r="B4895">
        <v>1</v>
      </c>
      <c r="C4895">
        <v>8</v>
      </c>
    </row>
    <row r="4896" spans="1:3" x14ac:dyDescent="0.3">
      <c r="A4896">
        <v>28350</v>
      </c>
      <c r="B4896">
        <v>1</v>
      </c>
      <c r="C4896">
        <v>8</v>
      </c>
    </row>
    <row r="4897" spans="1:3" x14ac:dyDescent="0.3">
      <c r="A4897">
        <v>72005</v>
      </c>
      <c r="B4897">
        <v>1</v>
      </c>
      <c r="C4897">
        <v>8</v>
      </c>
    </row>
    <row r="4898" spans="1:3" x14ac:dyDescent="0.3">
      <c r="A4898">
        <v>28572</v>
      </c>
      <c r="B4898">
        <v>2</v>
      </c>
      <c r="C4898">
        <v>8</v>
      </c>
    </row>
    <row r="4899" spans="1:3" x14ac:dyDescent="0.3">
      <c r="A4899">
        <v>71987</v>
      </c>
      <c r="B4899">
        <v>1</v>
      </c>
      <c r="C4899">
        <v>8</v>
      </c>
    </row>
    <row r="4900" spans="1:3" x14ac:dyDescent="0.3">
      <c r="A4900">
        <v>71984</v>
      </c>
      <c r="B4900">
        <v>1</v>
      </c>
      <c r="C4900">
        <v>8</v>
      </c>
    </row>
    <row r="4901" spans="1:3" x14ac:dyDescent="0.3">
      <c r="A4901">
        <v>28697</v>
      </c>
      <c r="B4901">
        <v>1</v>
      </c>
      <c r="C4901">
        <v>8</v>
      </c>
    </row>
    <row r="4902" spans="1:3" x14ac:dyDescent="0.3">
      <c r="A4902">
        <v>71793</v>
      </c>
      <c r="B4902">
        <v>1</v>
      </c>
      <c r="C4902">
        <v>8</v>
      </c>
    </row>
    <row r="4903" spans="1:3" x14ac:dyDescent="0.3">
      <c r="A4903">
        <v>71792</v>
      </c>
      <c r="B4903">
        <v>1</v>
      </c>
      <c r="C4903">
        <v>8</v>
      </c>
    </row>
    <row r="4904" spans="1:3" x14ac:dyDescent="0.3">
      <c r="A4904">
        <v>71790</v>
      </c>
      <c r="B4904">
        <v>1</v>
      </c>
      <c r="C4904">
        <v>8</v>
      </c>
    </row>
    <row r="4905" spans="1:3" x14ac:dyDescent="0.3">
      <c r="A4905">
        <v>71431</v>
      </c>
      <c r="B4905">
        <v>1</v>
      </c>
      <c r="C4905">
        <v>8</v>
      </c>
    </row>
    <row r="4906" spans="1:3" x14ac:dyDescent="0.3">
      <c r="A4906">
        <v>29290</v>
      </c>
      <c r="B4906">
        <v>1</v>
      </c>
      <c r="C4906">
        <v>16</v>
      </c>
    </row>
    <row r="4907" spans="1:3" x14ac:dyDescent="0.3">
      <c r="A4907">
        <v>71167</v>
      </c>
      <c r="B4907">
        <v>1</v>
      </c>
      <c r="C4907">
        <v>8</v>
      </c>
    </row>
    <row r="4908" spans="1:3" x14ac:dyDescent="0.3">
      <c r="A4908">
        <v>71161</v>
      </c>
      <c r="B4908">
        <v>1</v>
      </c>
      <c r="C4908">
        <v>8</v>
      </c>
    </row>
    <row r="4909" spans="1:3" x14ac:dyDescent="0.3">
      <c r="A4909">
        <v>71157</v>
      </c>
      <c r="B4909">
        <v>1</v>
      </c>
      <c r="C4909">
        <v>8</v>
      </c>
    </row>
    <row r="4910" spans="1:3" x14ac:dyDescent="0.3">
      <c r="A4910">
        <v>71065</v>
      </c>
      <c r="B4910">
        <v>1</v>
      </c>
      <c r="C4910">
        <v>8</v>
      </c>
    </row>
    <row r="4911" spans="1:3" x14ac:dyDescent="0.3">
      <c r="A4911">
        <v>29618</v>
      </c>
      <c r="B4911">
        <v>2</v>
      </c>
      <c r="C4911">
        <v>8</v>
      </c>
    </row>
    <row r="4912" spans="1:3" x14ac:dyDescent="0.3">
      <c r="A4912">
        <v>70872</v>
      </c>
      <c r="B4912">
        <v>1</v>
      </c>
      <c r="C4912">
        <v>8</v>
      </c>
    </row>
    <row r="4913" spans="1:3" x14ac:dyDescent="0.3">
      <c r="A4913">
        <v>70797</v>
      </c>
      <c r="B4913">
        <v>1</v>
      </c>
      <c r="C4913">
        <v>8</v>
      </c>
    </row>
    <row r="4914" spans="1:3" x14ac:dyDescent="0.3">
      <c r="A4914">
        <v>29990</v>
      </c>
      <c r="B4914">
        <v>2</v>
      </c>
      <c r="C4914">
        <v>16</v>
      </c>
    </row>
    <row r="4915" spans="1:3" x14ac:dyDescent="0.3">
      <c r="A4915">
        <v>70543</v>
      </c>
      <c r="B4915">
        <v>1</v>
      </c>
      <c r="C4915">
        <v>8</v>
      </c>
    </row>
    <row r="4916" spans="1:3" x14ac:dyDescent="0.3">
      <c r="A4916">
        <v>30187</v>
      </c>
      <c r="B4916">
        <v>1</v>
      </c>
      <c r="C4916">
        <v>8</v>
      </c>
    </row>
    <row r="4917" spans="1:3" x14ac:dyDescent="0.3">
      <c r="A4917">
        <v>70346</v>
      </c>
      <c r="B4917">
        <v>1</v>
      </c>
      <c r="C4917">
        <v>8</v>
      </c>
    </row>
    <row r="4918" spans="1:3" x14ac:dyDescent="0.3">
      <c r="A4918">
        <v>70345</v>
      </c>
      <c r="B4918">
        <v>1</v>
      </c>
      <c r="C4918">
        <v>8</v>
      </c>
    </row>
    <row r="4919" spans="1:3" x14ac:dyDescent="0.3">
      <c r="A4919">
        <v>70340</v>
      </c>
      <c r="B4919">
        <v>1</v>
      </c>
      <c r="C4919">
        <v>8</v>
      </c>
    </row>
    <row r="4920" spans="1:3" x14ac:dyDescent="0.3">
      <c r="A4920">
        <v>30463</v>
      </c>
      <c r="B4920">
        <v>1</v>
      </c>
      <c r="C4920">
        <v>8</v>
      </c>
    </row>
    <row r="4921" spans="1:3" x14ac:dyDescent="0.3">
      <c r="A4921">
        <v>69757</v>
      </c>
      <c r="B4921">
        <v>1</v>
      </c>
      <c r="C4921">
        <v>8</v>
      </c>
    </row>
    <row r="4922" spans="1:3" x14ac:dyDescent="0.3">
      <c r="A4922">
        <v>69756</v>
      </c>
      <c r="B4922">
        <v>2</v>
      </c>
      <c r="C4922">
        <v>16</v>
      </c>
    </row>
    <row r="4923" spans="1:3" x14ac:dyDescent="0.3">
      <c r="A4923">
        <v>69655</v>
      </c>
      <c r="B4923">
        <v>1</v>
      </c>
      <c r="C4923">
        <v>8</v>
      </c>
    </row>
    <row r="4924" spans="1:3" x14ac:dyDescent="0.3">
      <c r="A4924">
        <v>69347</v>
      </c>
      <c r="B4924">
        <v>1</v>
      </c>
      <c r="C4924">
        <v>8</v>
      </c>
    </row>
    <row r="4925" spans="1:3" x14ac:dyDescent="0.3">
      <c r="A4925">
        <v>69277</v>
      </c>
      <c r="B4925">
        <v>1</v>
      </c>
      <c r="C4925">
        <v>8</v>
      </c>
    </row>
    <row r="4926" spans="1:3" x14ac:dyDescent="0.3">
      <c r="A4926">
        <v>69261</v>
      </c>
      <c r="B4926">
        <v>1</v>
      </c>
      <c r="C4926">
        <v>8</v>
      </c>
    </row>
    <row r="4927" spans="1:3" x14ac:dyDescent="0.3">
      <c r="A4927">
        <v>31246</v>
      </c>
      <c r="B4927">
        <v>2</v>
      </c>
      <c r="C4927">
        <v>8</v>
      </c>
    </row>
    <row r="4928" spans="1:3" x14ac:dyDescent="0.3">
      <c r="A4928">
        <v>31252</v>
      </c>
      <c r="B4928">
        <v>1</v>
      </c>
      <c r="C4928">
        <v>8</v>
      </c>
    </row>
    <row r="4929" spans="1:3" x14ac:dyDescent="0.3">
      <c r="A4929">
        <v>68976</v>
      </c>
      <c r="B4929">
        <v>1</v>
      </c>
      <c r="C4929">
        <v>16</v>
      </c>
    </row>
    <row r="4930" spans="1:3" x14ac:dyDescent="0.3">
      <c r="A4930">
        <v>68975</v>
      </c>
      <c r="B4930">
        <v>1</v>
      </c>
      <c r="C4930">
        <v>8</v>
      </c>
    </row>
    <row r="4931" spans="1:3" x14ac:dyDescent="0.3">
      <c r="A4931">
        <v>68904</v>
      </c>
      <c r="B4931">
        <v>1</v>
      </c>
      <c r="C4931">
        <v>8</v>
      </c>
    </row>
    <row r="4932" spans="1:3" x14ac:dyDescent="0.3">
      <c r="A4932">
        <v>68851</v>
      </c>
      <c r="B4932">
        <v>1</v>
      </c>
      <c r="C4932">
        <v>8</v>
      </c>
    </row>
    <row r="4933" spans="1:3" x14ac:dyDescent="0.3">
      <c r="A4933">
        <v>31740</v>
      </c>
      <c r="B4933">
        <v>2</v>
      </c>
      <c r="C4933">
        <v>16</v>
      </c>
    </row>
    <row r="4934" spans="1:3" x14ac:dyDescent="0.3">
      <c r="A4934">
        <v>68650</v>
      </c>
      <c r="B4934">
        <v>1</v>
      </c>
      <c r="C4934">
        <v>8</v>
      </c>
    </row>
    <row r="4935" spans="1:3" x14ac:dyDescent="0.3">
      <c r="A4935">
        <v>68580</v>
      </c>
      <c r="B4935">
        <v>1</v>
      </c>
      <c r="C4935">
        <v>8</v>
      </c>
    </row>
    <row r="4936" spans="1:3" x14ac:dyDescent="0.3">
      <c r="A4936">
        <v>68578</v>
      </c>
      <c r="B4936">
        <v>1</v>
      </c>
      <c r="C4936">
        <v>8</v>
      </c>
    </row>
    <row r="4937" spans="1:3" x14ac:dyDescent="0.3">
      <c r="A4937">
        <v>68575</v>
      </c>
      <c r="B4937">
        <v>1</v>
      </c>
      <c r="C4937">
        <v>8</v>
      </c>
    </row>
    <row r="4938" spans="1:3" x14ac:dyDescent="0.3">
      <c r="A4938">
        <v>68574</v>
      </c>
      <c r="B4938">
        <v>1</v>
      </c>
      <c r="C4938">
        <v>8</v>
      </c>
    </row>
    <row r="4939" spans="1:3" x14ac:dyDescent="0.3">
      <c r="A4939">
        <v>31826</v>
      </c>
      <c r="B4939">
        <v>2</v>
      </c>
      <c r="C4939">
        <v>16</v>
      </c>
    </row>
    <row r="4940" spans="1:3" x14ac:dyDescent="0.3">
      <c r="A4940">
        <v>68417</v>
      </c>
      <c r="B4940">
        <v>1</v>
      </c>
      <c r="C4940">
        <v>8</v>
      </c>
    </row>
    <row r="4941" spans="1:3" x14ac:dyDescent="0.3">
      <c r="A4941">
        <v>32044</v>
      </c>
      <c r="B4941">
        <v>1</v>
      </c>
      <c r="C4941">
        <v>16</v>
      </c>
    </row>
    <row r="4942" spans="1:3" x14ac:dyDescent="0.3">
      <c r="A4942">
        <v>32051</v>
      </c>
      <c r="B4942">
        <v>1</v>
      </c>
      <c r="C4942">
        <v>8</v>
      </c>
    </row>
    <row r="4943" spans="1:3" x14ac:dyDescent="0.3">
      <c r="A4943">
        <v>32052</v>
      </c>
      <c r="B4943">
        <v>1</v>
      </c>
      <c r="C4943">
        <v>8</v>
      </c>
    </row>
    <row r="4944" spans="1:3" x14ac:dyDescent="0.3">
      <c r="A4944">
        <v>68185</v>
      </c>
      <c r="B4944">
        <v>1</v>
      </c>
      <c r="C4944">
        <v>8</v>
      </c>
    </row>
    <row r="4945" spans="1:3" x14ac:dyDescent="0.3">
      <c r="A4945">
        <v>68181</v>
      </c>
      <c r="B4945">
        <v>1</v>
      </c>
      <c r="C4945">
        <v>8</v>
      </c>
    </row>
    <row r="4946" spans="1:3" x14ac:dyDescent="0.3">
      <c r="A4946">
        <v>68173</v>
      </c>
      <c r="B4946">
        <v>1</v>
      </c>
      <c r="C4946">
        <v>8</v>
      </c>
    </row>
    <row r="4947" spans="1:3" x14ac:dyDescent="0.3">
      <c r="A4947">
        <v>32122</v>
      </c>
      <c r="B4947">
        <v>1</v>
      </c>
      <c r="C4947">
        <v>8</v>
      </c>
    </row>
    <row r="4948" spans="1:3" x14ac:dyDescent="0.3">
      <c r="A4948">
        <v>68011</v>
      </c>
      <c r="B4948">
        <v>1</v>
      </c>
      <c r="C4948">
        <v>8</v>
      </c>
    </row>
    <row r="4949" spans="1:3" x14ac:dyDescent="0.3">
      <c r="A4949">
        <v>32490</v>
      </c>
      <c r="B4949">
        <v>1</v>
      </c>
      <c r="C4949">
        <v>8</v>
      </c>
    </row>
    <row r="4950" spans="1:3" x14ac:dyDescent="0.3">
      <c r="A4950">
        <v>67688</v>
      </c>
      <c r="B4950">
        <v>1</v>
      </c>
      <c r="C4950">
        <v>8</v>
      </c>
    </row>
    <row r="4951" spans="1:3" x14ac:dyDescent="0.3">
      <c r="A4951">
        <v>67639</v>
      </c>
      <c r="B4951">
        <v>2</v>
      </c>
      <c r="C4951">
        <v>16</v>
      </c>
    </row>
    <row r="4952" spans="1:3" x14ac:dyDescent="0.3">
      <c r="A4952">
        <v>67547</v>
      </c>
      <c r="B4952">
        <v>1</v>
      </c>
      <c r="C4952">
        <v>8</v>
      </c>
    </row>
    <row r="4953" spans="1:3" x14ac:dyDescent="0.3">
      <c r="A4953">
        <v>32887</v>
      </c>
      <c r="B4953">
        <v>2</v>
      </c>
      <c r="C4953">
        <v>16</v>
      </c>
    </row>
    <row r="4954" spans="1:3" x14ac:dyDescent="0.3">
      <c r="A4954">
        <v>67388</v>
      </c>
      <c r="B4954">
        <v>1</v>
      </c>
      <c r="C4954">
        <v>8</v>
      </c>
    </row>
    <row r="4955" spans="1:3" x14ac:dyDescent="0.3">
      <c r="A4955">
        <v>67387</v>
      </c>
      <c r="B4955">
        <v>1</v>
      </c>
      <c r="C4955">
        <v>8</v>
      </c>
    </row>
    <row r="4956" spans="1:3" x14ac:dyDescent="0.3">
      <c r="A4956">
        <v>67386</v>
      </c>
      <c r="B4956">
        <v>1</v>
      </c>
      <c r="C4956">
        <v>8</v>
      </c>
    </row>
    <row r="4957" spans="1:3" x14ac:dyDescent="0.3">
      <c r="A4957">
        <v>66962</v>
      </c>
      <c r="B4957">
        <v>1</v>
      </c>
      <c r="C4957">
        <v>8</v>
      </c>
    </row>
    <row r="4958" spans="1:3" x14ac:dyDescent="0.3">
      <c r="A4958">
        <v>66958</v>
      </c>
      <c r="B4958">
        <v>2</v>
      </c>
      <c r="C4958">
        <v>16</v>
      </c>
    </row>
    <row r="4959" spans="1:3" x14ac:dyDescent="0.3">
      <c r="A4959">
        <v>66956</v>
      </c>
      <c r="B4959">
        <v>1</v>
      </c>
      <c r="C4959">
        <v>8</v>
      </c>
    </row>
    <row r="4960" spans="1:3" x14ac:dyDescent="0.3">
      <c r="A4960">
        <v>66954</v>
      </c>
      <c r="B4960">
        <v>1</v>
      </c>
      <c r="C4960">
        <v>8</v>
      </c>
    </row>
    <row r="4961" spans="1:3" x14ac:dyDescent="0.3">
      <c r="A4961">
        <v>66953</v>
      </c>
      <c r="B4961">
        <v>1</v>
      </c>
      <c r="C4961">
        <v>8</v>
      </c>
    </row>
    <row r="4962" spans="1:3" x14ac:dyDescent="0.3">
      <c r="A4962">
        <v>66951</v>
      </c>
      <c r="B4962">
        <v>1</v>
      </c>
      <c r="C4962">
        <v>8</v>
      </c>
    </row>
    <row r="4963" spans="1:3" x14ac:dyDescent="0.3">
      <c r="A4963">
        <v>66949</v>
      </c>
      <c r="B4963">
        <v>1</v>
      </c>
      <c r="C4963">
        <v>16</v>
      </c>
    </row>
    <row r="4964" spans="1:3" x14ac:dyDescent="0.3">
      <c r="A4964">
        <v>33182</v>
      </c>
      <c r="B4964">
        <v>1</v>
      </c>
      <c r="C4964">
        <v>8</v>
      </c>
    </row>
    <row r="4965" spans="1:3" x14ac:dyDescent="0.3">
      <c r="A4965">
        <v>33186</v>
      </c>
      <c r="B4965">
        <v>1</v>
      </c>
      <c r="C4965">
        <v>8</v>
      </c>
    </row>
    <row r="4966" spans="1:3" x14ac:dyDescent="0.3">
      <c r="A4966">
        <v>66840</v>
      </c>
      <c r="B4966">
        <v>1</v>
      </c>
      <c r="C4966">
        <v>8</v>
      </c>
    </row>
    <row r="4967" spans="1:3" x14ac:dyDescent="0.3">
      <c r="A4967">
        <v>66836</v>
      </c>
      <c r="B4967">
        <v>1</v>
      </c>
      <c r="C4967">
        <v>8</v>
      </c>
    </row>
    <row r="4968" spans="1:3" x14ac:dyDescent="0.3">
      <c r="A4968">
        <v>33563</v>
      </c>
      <c r="B4968">
        <v>1</v>
      </c>
      <c r="C4968">
        <v>8</v>
      </c>
    </row>
    <row r="4969" spans="1:3" x14ac:dyDescent="0.3">
      <c r="A4969">
        <v>66619</v>
      </c>
      <c r="B4969">
        <v>1</v>
      </c>
      <c r="C4969">
        <v>8</v>
      </c>
    </row>
    <row r="4970" spans="1:3" x14ac:dyDescent="0.3">
      <c r="A4970">
        <v>66613</v>
      </c>
      <c r="B4970">
        <v>1</v>
      </c>
      <c r="C4970">
        <v>8</v>
      </c>
    </row>
    <row r="4971" spans="1:3" x14ac:dyDescent="0.3">
      <c r="A4971">
        <v>66612</v>
      </c>
      <c r="B4971">
        <v>1</v>
      </c>
      <c r="C4971">
        <v>8</v>
      </c>
    </row>
    <row r="4972" spans="1:3" x14ac:dyDescent="0.3">
      <c r="A4972">
        <v>66607</v>
      </c>
      <c r="B4972">
        <v>1</v>
      </c>
      <c r="C4972">
        <v>8</v>
      </c>
    </row>
    <row r="4973" spans="1:3" x14ac:dyDescent="0.3">
      <c r="A4973">
        <v>33772</v>
      </c>
      <c r="B4973">
        <v>1</v>
      </c>
      <c r="C4973">
        <v>8</v>
      </c>
    </row>
    <row r="4974" spans="1:3" x14ac:dyDescent="0.3">
      <c r="A4974">
        <v>66351</v>
      </c>
      <c r="B4974">
        <v>1</v>
      </c>
      <c r="C4974">
        <v>8</v>
      </c>
    </row>
    <row r="4975" spans="1:3" x14ac:dyDescent="0.3">
      <c r="A4975">
        <v>66346</v>
      </c>
      <c r="B4975">
        <v>1</v>
      </c>
      <c r="C4975">
        <v>8</v>
      </c>
    </row>
    <row r="4976" spans="1:3" x14ac:dyDescent="0.3">
      <c r="A4976">
        <v>66244</v>
      </c>
      <c r="B4976">
        <v>1</v>
      </c>
      <c r="C4976">
        <v>8</v>
      </c>
    </row>
    <row r="4977" spans="1:3" x14ac:dyDescent="0.3">
      <c r="A4977">
        <v>66243</v>
      </c>
      <c r="B4977">
        <v>1</v>
      </c>
      <c r="C4977">
        <v>8</v>
      </c>
    </row>
    <row r="4978" spans="1:3" x14ac:dyDescent="0.3">
      <c r="A4978">
        <v>66172</v>
      </c>
      <c r="B4978">
        <v>1</v>
      </c>
      <c r="C4978">
        <v>8</v>
      </c>
    </row>
    <row r="4979" spans="1:3" x14ac:dyDescent="0.3">
      <c r="A4979">
        <v>66169</v>
      </c>
      <c r="B4979">
        <v>1</v>
      </c>
      <c r="C4979">
        <v>8</v>
      </c>
    </row>
    <row r="4980" spans="1:3" x14ac:dyDescent="0.3">
      <c r="A4980">
        <v>66168</v>
      </c>
      <c r="B4980">
        <v>1</v>
      </c>
      <c r="C4980">
        <v>16</v>
      </c>
    </row>
    <row r="4981" spans="1:3" x14ac:dyDescent="0.3">
      <c r="A4981">
        <v>34158</v>
      </c>
      <c r="B4981">
        <v>2</v>
      </c>
      <c r="C4981">
        <v>8</v>
      </c>
    </row>
    <row r="4982" spans="1:3" x14ac:dyDescent="0.3">
      <c r="A4982">
        <v>34159</v>
      </c>
      <c r="B4982">
        <v>1</v>
      </c>
      <c r="C4982">
        <v>8</v>
      </c>
    </row>
    <row r="4983" spans="1:3" x14ac:dyDescent="0.3">
      <c r="A4983">
        <v>66111</v>
      </c>
      <c r="B4983">
        <v>1</v>
      </c>
      <c r="C4983">
        <v>8</v>
      </c>
    </row>
    <row r="4984" spans="1:3" x14ac:dyDescent="0.3">
      <c r="A4984">
        <v>66110</v>
      </c>
      <c r="B4984">
        <v>1</v>
      </c>
      <c r="C4984">
        <v>8</v>
      </c>
    </row>
    <row r="4985" spans="1:3" x14ac:dyDescent="0.3">
      <c r="A4985">
        <v>66108</v>
      </c>
      <c r="B4985">
        <v>1</v>
      </c>
      <c r="C4985">
        <v>8</v>
      </c>
    </row>
    <row r="4986" spans="1:3" x14ac:dyDescent="0.3">
      <c r="A4986">
        <v>66106</v>
      </c>
      <c r="B4986">
        <v>1</v>
      </c>
      <c r="C4986">
        <v>8</v>
      </c>
    </row>
    <row r="4987" spans="1:3" x14ac:dyDescent="0.3">
      <c r="A4987">
        <v>65922</v>
      </c>
      <c r="B4987">
        <v>1</v>
      </c>
      <c r="C4987">
        <v>8</v>
      </c>
    </row>
    <row r="4988" spans="1:3" x14ac:dyDescent="0.3">
      <c r="A4988">
        <v>65774</v>
      </c>
      <c r="B4988">
        <v>1</v>
      </c>
      <c r="C4988">
        <v>8</v>
      </c>
    </row>
    <row r="4989" spans="1:3" x14ac:dyDescent="0.3">
      <c r="A4989">
        <v>65771</v>
      </c>
      <c r="B4989">
        <v>1</v>
      </c>
      <c r="C4989">
        <v>16</v>
      </c>
    </row>
    <row r="4990" spans="1:3" x14ac:dyDescent="0.3">
      <c r="A4990">
        <v>34512</v>
      </c>
      <c r="B4990">
        <v>2</v>
      </c>
      <c r="C4990">
        <v>16</v>
      </c>
    </row>
    <row r="4991" spans="1:3" x14ac:dyDescent="0.3">
      <c r="A4991">
        <v>34513</v>
      </c>
      <c r="B4991">
        <v>1</v>
      </c>
      <c r="C4991">
        <v>8</v>
      </c>
    </row>
    <row r="4992" spans="1:3" x14ac:dyDescent="0.3">
      <c r="A4992">
        <v>65331</v>
      </c>
      <c r="B4992">
        <v>1</v>
      </c>
      <c r="C4992">
        <v>8</v>
      </c>
    </row>
    <row r="4993" spans="1:3" x14ac:dyDescent="0.3">
      <c r="A4993">
        <v>64915</v>
      </c>
      <c r="B4993">
        <v>1</v>
      </c>
      <c r="C4993">
        <v>8</v>
      </c>
    </row>
    <row r="4994" spans="1:3" x14ac:dyDescent="0.3">
      <c r="A4994">
        <v>34821</v>
      </c>
      <c r="B4994">
        <v>1</v>
      </c>
      <c r="C4994">
        <v>8</v>
      </c>
    </row>
    <row r="4995" spans="1:3" x14ac:dyDescent="0.3">
      <c r="A4995">
        <v>34830</v>
      </c>
      <c r="B4995">
        <v>1</v>
      </c>
      <c r="C4995">
        <v>16</v>
      </c>
    </row>
    <row r="4996" spans="1:3" x14ac:dyDescent="0.3">
      <c r="A4996">
        <v>35336</v>
      </c>
      <c r="B4996">
        <v>1</v>
      </c>
      <c r="C4996">
        <v>8</v>
      </c>
    </row>
    <row r="4997" spans="1:3" x14ac:dyDescent="0.3">
      <c r="A4997">
        <v>35341</v>
      </c>
      <c r="B4997">
        <v>1</v>
      </c>
      <c r="C4997">
        <v>16</v>
      </c>
    </row>
    <row r="4998" spans="1:3" x14ac:dyDescent="0.3">
      <c r="A4998">
        <v>35356</v>
      </c>
      <c r="B4998">
        <v>1</v>
      </c>
      <c r="C4998">
        <v>16</v>
      </c>
    </row>
    <row r="4999" spans="1:3" x14ac:dyDescent="0.3">
      <c r="A4999">
        <v>63845</v>
      </c>
      <c r="B4999">
        <v>1</v>
      </c>
      <c r="C4999">
        <v>8</v>
      </c>
    </row>
    <row r="5000" spans="1:3" x14ac:dyDescent="0.3">
      <c r="A5000">
        <v>63575</v>
      </c>
      <c r="B5000">
        <v>1</v>
      </c>
      <c r="C5000">
        <v>8</v>
      </c>
    </row>
    <row r="5001" spans="1:3" x14ac:dyDescent="0.3">
      <c r="A5001">
        <v>63574</v>
      </c>
      <c r="B5001">
        <v>1</v>
      </c>
      <c r="C5001">
        <v>8</v>
      </c>
    </row>
    <row r="5002" spans="1:3" x14ac:dyDescent="0.3">
      <c r="A5002">
        <v>63481</v>
      </c>
      <c r="B5002">
        <v>1</v>
      </c>
      <c r="C5002">
        <v>8</v>
      </c>
    </row>
    <row r="5003" spans="1:3" x14ac:dyDescent="0.3">
      <c r="A5003">
        <v>35879</v>
      </c>
      <c r="B5003">
        <v>1</v>
      </c>
      <c r="C5003">
        <v>8</v>
      </c>
    </row>
    <row r="5004" spans="1:3" x14ac:dyDescent="0.3">
      <c r="A5004">
        <v>63478</v>
      </c>
      <c r="B5004">
        <v>1</v>
      </c>
      <c r="C5004">
        <v>8</v>
      </c>
    </row>
    <row r="5005" spans="1:3" x14ac:dyDescent="0.3">
      <c r="A5005">
        <v>63474</v>
      </c>
      <c r="B5005">
        <v>1</v>
      </c>
      <c r="C5005">
        <v>8</v>
      </c>
    </row>
    <row r="5006" spans="1:3" x14ac:dyDescent="0.3">
      <c r="A5006">
        <v>36031</v>
      </c>
      <c r="B5006">
        <v>1</v>
      </c>
      <c r="C5006">
        <v>16</v>
      </c>
    </row>
    <row r="5007" spans="1:3" x14ac:dyDescent="0.3">
      <c r="A5007">
        <v>63050</v>
      </c>
      <c r="B5007">
        <v>1</v>
      </c>
      <c r="C5007">
        <v>8</v>
      </c>
    </row>
    <row r="5008" spans="1:3" x14ac:dyDescent="0.3">
      <c r="A5008">
        <v>63047</v>
      </c>
      <c r="B5008">
        <v>1</v>
      </c>
      <c r="C5008">
        <v>8</v>
      </c>
    </row>
    <row r="5009" spans="1:3" x14ac:dyDescent="0.3">
      <c r="A5009">
        <v>62964</v>
      </c>
      <c r="B5009">
        <v>1</v>
      </c>
      <c r="C5009">
        <v>8</v>
      </c>
    </row>
    <row r="5010" spans="1:3" x14ac:dyDescent="0.3">
      <c r="A5010">
        <v>62963</v>
      </c>
      <c r="B5010">
        <v>1</v>
      </c>
      <c r="C5010">
        <v>8</v>
      </c>
    </row>
    <row r="5011" spans="1:3" x14ac:dyDescent="0.3">
      <c r="A5011">
        <v>62715</v>
      </c>
      <c r="B5011">
        <v>1</v>
      </c>
      <c r="C5011">
        <v>8</v>
      </c>
    </row>
    <row r="5012" spans="1:3" x14ac:dyDescent="0.3">
      <c r="A5012">
        <v>62710</v>
      </c>
      <c r="B5012">
        <v>1</v>
      </c>
      <c r="C5012">
        <v>8</v>
      </c>
    </row>
    <row r="5013" spans="1:3" x14ac:dyDescent="0.3">
      <c r="A5013">
        <v>62470</v>
      </c>
      <c r="B5013">
        <v>1</v>
      </c>
      <c r="C5013">
        <v>8</v>
      </c>
    </row>
    <row r="5014" spans="1:3" x14ac:dyDescent="0.3">
      <c r="A5014">
        <v>62364</v>
      </c>
      <c r="B5014">
        <v>1</v>
      </c>
      <c r="C5014">
        <v>8</v>
      </c>
    </row>
    <row r="5015" spans="1:3" x14ac:dyDescent="0.3">
      <c r="A5015">
        <v>62358</v>
      </c>
      <c r="B5015">
        <v>2</v>
      </c>
      <c r="C5015">
        <v>16</v>
      </c>
    </row>
    <row r="5016" spans="1:3" x14ac:dyDescent="0.3">
      <c r="A5016">
        <v>62357</v>
      </c>
      <c r="B5016">
        <v>1</v>
      </c>
      <c r="C5016">
        <v>8</v>
      </c>
    </row>
    <row r="5017" spans="1:3" x14ac:dyDescent="0.3">
      <c r="A5017">
        <v>62354</v>
      </c>
      <c r="B5017">
        <v>2</v>
      </c>
      <c r="C5017">
        <v>16</v>
      </c>
    </row>
    <row r="5018" spans="1:3" x14ac:dyDescent="0.3">
      <c r="A5018">
        <v>36418</v>
      </c>
      <c r="B5018">
        <v>1</v>
      </c>
      <c r="C5018">
        <v>16</v>
      </c>
    </row>
    <row r="5019" spans="1:3" x14ac:dyDescent="0.3">
      <c r="A5019">
        <v>62351</v>
      </c>
      <c r="B5019">
        <v>1</v>
      </c>
      <c r="C5019">
        <v>8</v>
      </c>
    </row>
    <row r="5020" spans="1:3" x14ac:dyDescent="0.3">
      <c r="A5020">
        <v>62221</v>
      </c>
      <c r="B5020">
        <v>1</v>
      </c>
      <c r="C5020">
        <v>8</v>
      </c>
    </row>
    <row r="5021" spans="1:3" x14ac:dyDescent="0.3">
      <c r="A5021">
        <v>62220</v>
      </c>
      <c r="B5021">
        <v>1</v>
      </c>
      <c r="C5021">
        <v>8</v>
      </c>
    </row>
    <row r="5022" spans="1:3" x14ac:dyDescent="0.3">
      <c r="A5022">
        <v>62219</v>
      </c>
      <c r="B5022">
        <v>1</v>
      </c>
      <c r="C5022">
        <v>8</v>
      </c>
    </row>
    <row r="5023" spans="1:3" x14ac:dyDescent="0.3">
      <c r="A5023">
        <v>62211</v>
      </c>
      <c r="B5023">
        <v>1</v>
      </c>
      <c r="C5023">
        <v>8</v>
      </c>
    </row>
    <row r="5024" spans="1:3" x14ac:dyDescent="0.3">
      <c r="A5024">
        <v>62210</v>
      </c>
      <c r="B5024">
        <v>1</v>
      </c>
      <c r="C5024">
        <v>8</v>
      </c>
    </row>
    <row r="5025" spans="1:3" x14ac:dyDescent="0.3">
      <c r="A5025">
        <v>36527</v>
      </c>
      <c r="B5025">
        <v>1</v>
      </c>
      <c r="C5025">
        <v>8</v>
      </c>
    </row>
    <row r="5026" spans="1:3" x14ac:dyDescent="0.3">
      <c r="A5026">
        <v>61477</v>
      </c>
      <c r="B5026">
        <v>2</v>
      </c>
      <c r="C5026">
        <v>8</v>
      </c>
    </row>
    <row r="5027" spans="1:3" x14ac:dyDescent="0.3">
      <c r="A5027">
        <v>61474</v>
      </c>
      <c r="B5027">
        <v>1</v>
      </c>
      <c r="C5027">
        <v>8</v>
      </c>
    </row>
    <row r="5028" spans="1:3" x14ac:dyDescent="0.3">
      <c r="A5028">
        <v>37034</v>
      </c>
      <c r="B5028">
        <v>1</v>
      </c>
      <c r="C5028">
        <v>8</v>
      </c>
    </row>
    <row r="5029" spans="1:3" x14ac:dyDescent="0.3">
      <c r="A5029">
        <v>37041</v>
      </c>
      <c r="B5029">
        <v>1</v>
      </c>
      <c r="C5029">
        <v>8</v>
      </c>
    </row>
    <row r="5030" spans="1:3" x14ac:dyDescent="0.3">
      <c r="A5030">
        <v>61473</v>
      </c>
      <c r="B5030">
        <v>1</v>
      </c>
      <c r="C5030">
        <v>16</v>
      </c>
    </row>
    <row r="5031" spans="1:3" x14ac:dyDescent="0.3">
      <c r="A5031">
        <v>61472</v>
      </c>
      <c r="B5031">
        <v>1</v>
      </c>
      <c r="C5031">
        <v>8</v>
      </c>
    </row>
    <row r="5032" spans="1:3" x14ac:dyDescent="0.3">
      <c r="A5032">
        <v>37193</v>
      </c>
      <c r="B5032">
        <v>1</v>
      </c>
      <c r="C5032">
        <v>8</v>
      </c>
    </row>
    <row r="5033" spans="1:3" x14ac:dyDescent="0.3">
      <c r="A5033">
        <v>61293</v>
      </c>
      <c r="B5033">
        <v>1</v>
      </c>
      <c r="C5033">
        <v>8</v>
      </c>
    </row>
    <row r="5034" spans="1:3" x14ac:dyDescent="0.3">
      <c r="A5034">
        <v>61241</v>
      </c>
      <c r="B5034">
        <v>1</v>
      </c>
      <c r="C5034">
        <v>8</v>
      </c>
    </row>
    <row r="5035" spans="1:3" x14ac:dyDescent="0.3">
      <c r="A5035">
        <v>61151</v>
      </c>
      <c r="B5035">
        <v>1</v>
      </c>
      <c r="C5035">
        <v>8</v>
      </c>
    </row>
    <row r="5036" spans="1:3" x14ac:dyDescent="0.3">
      <c r="A5036">
        <v>61064</v>
      </c>
      <c r="B5036">
        <v>1</v>
      </c>
      <c r="C5036">
        <v>8</v>
      </c>
    </row>
    <row r="5037" spans="1:3" x14ac:dyDescent="0.3">
      <c r="A5037">
        <v>60881</v>
      </c>
      <c r="B5037">
        <v>1</v>
      </c>
      <c r="C5037">
        <v>8</v>
      </c>
    </row>
    <row r="5038" spans="1:3" x14ac:dyDescent="0.3">
      <c r="A5038">
        <v>60879</v>
      </c>
      <c r="B5038">
        <v>1</v>
      </c>
      <c r="C5038">
        <v>8</v>
      </c>
    </row>
    <row r="5039" spans="1:3" x14ac:dyDescent="0.3">
      <c r="A5039">
        <v>60871</v>
      </c>
      <c r="B5039">
        <v>1</v>
      </c>
      <c r="C5039">
        <v>8</v>
      </c>
    </row>
    <row r="5040" spans="1:3" x14ac:dyDescent="0.3">
      <c r="A5040">
        <v>37525</v>
      </c>
      <c r="B5040">
        <v>1</v>
      </c>
      <c r="C5040">
        <v>8</v>
      </c>
    </row>
    <row r="5041" spans="1:3" x14ac:dyDescent="0.3">
      <c r="A5041">
        <v>37528</v>
      </c>
      <c r="B5041">
        <v>1</v>
      </c>
      <c r="C5041">
        <v>8</v>
      </c>
    </row>
    <row r="5042" spans="1:3" x14ac:dyDescent="0.3">
      <c r="A5042">
        <v>60681</v>
      </c>
      <c r="B5042">
        <v>1</v>
      </c>
      <c r="C5042">
        <v>8</v>
      </c>
    </row>
    <row r="5043" spans="1:3" x14ac:dyDescent="0.3">
      <c r="A5043">
        <v>37776</v>
      </c>
      <c r="B5043">
        <v>3</v>
      </c>
      <c r="C5043">
        <v>16</v>
      </c>
    </row>
    <row r="5044" spans="1:3" x14ac:dyDescent="0.3">
      <c r="A5044">
        <v>60616</v>
      </c>
      <c r="B5044">
        <v>1</v>
      </c>
      <c r="C5044">
        <v>8</v>
      </c>
    </row>
    <row r="5045" spans="1:3" x14ac:dyDescent="0.3">
      <c r="A5045">
        <v>37842</v>
      </c>
      <c r="B5045">
        <v>1</v>
      </c>
      <c r="C5045">
        <v>8</v>
      </c>
    </row>
    <row r="5046" spans="1:3" x14ac:dyDescent="0.3">
      <c r="A5046">
        <v>37845</v>
      </c>
      <c r="B5046">
        <v>1</v>
      </c>
      <c r="C5046">
        <v>8</v>
      </c>
    </row>
    <row r="5047" spans="1:3" x14ac:dyDescent="0.3">
      <c r="A5047">
        <v>60507</v>
      </c>
      <c r="B5047">
        <v>1</v>
      </c>
      <c r="C5047">
        <v>8</v>
      </c>
    </row>
    <row r="5048" spans="1:3" x14ac:dyDescent="0.3">
      <c r="A5048">
        <v>38182</v>
      </c>
      <c r="B5048">
        <v>1</v>
      </c>
      <c r="C5048">
        <v>8</v>
      </c>
    </row>
    <row r="5049" spans="1:3" x14ac:dyDescent="0.3">
      <c r="A5049">
        <v>60270</v>
      </c>
      <c r="B5049">
        <v>2</v>
      </c>
      <c r="C5049">
        <v>16</v>
      </c>
    </row>
    <row r="5050" spans="1:3" x14ac:dyDescent="0.3">
      <c r="A5050">
        <v>60266</v>
      </c>
      <c r="B5050">
        <v>1</v>
      </c>
      <c r="C5050">
        <v>8</v>
      </c>
    </row>
    <row r="5051" spans="1:3" x14ac:dyDescent="0.3">
      <c r="A5051">
        <v>60263</v>
      </c>
      <c r="B5051">
        <v>1</v>
      </c>
      <c r="C5051">
        <v>8</v>
      </c>
    </row>
    <row r="5052" spans="1:3" x14ac:dyDescent="0.3">
      <c r="A5052">
        <v>60148</v>
      </c>
      <c r="B5052">
        <v>3</v>
      </c>
      <c r="C5052">
        <v>16</v>
      </c>
    </row>
    <row r="5053" spans="1:3" x14ac:dyDescent="0.3">
      <c r="A5053">
        <v>60144</v>
      </c>
      <c r="B5053">
        <v>1</v>
      </c>
      <c r="C5053">
        <v>8</v>
      </c>
    </row>
    <row r="5054" spans="1:3" x14ac:dyDescent="0.3">
      <c r="A5054">
        <v>38327</v>
      </c>
      <c r="B5054">
        <v>1</v>
      </c>
      <c r="C5054">
        <v>8</v>
      </c>
    </row>
    <row r="5055" spans="1:3" x14ac:dyDescent="0.3">
      <c r="A5055">
        <v>59906</v>
      </c>
      <c r="B5055">
        <v>1</v>
      </c>
      <c r="C5055">
        <v>8</v>
      </c>
    </row>
    <row r="5056" spans="1:3" x14ac:dyDescent="0.3">
      <c r="A5056">
        <v>59904</v>
      </c>
      <c r="B5056">
        <v>1</v>
      </c>
      <c r="C5056">
        <v>8</v>
      </c>
    </row>
    <row r="5057" spans="1:3" x14ac:dyDescent="0.3">
      <c r="A5057">
        <v>38517</v>
      </c>
      <c r="B5057">
        <v>1</v>
      </c>
      <c r="C5057">
        <v>8</v>
      </c>
    </row>
    <row r="5058" spans="1:3" x14ac:dyDescent="0.3">
      <c r="A5058">
        <v>59755</v>
      </c>
      <c r="B5058">
        <v>1</v>
      </c>
      <c r="C5058">
        <v>8</v>
      </c>
    </row>
    <row r="5059" spans="1:3" x14ac:dyDescent="0.3">
      <c r="A5059">
        <v>59748</v>
      </c>
      <c r="B5059">
        <v>1</v>
      </c>
      <c r="C5059">
        <v>8</v>
      </c>
    </row>
    <row r="5060" spans="1:3" x14ac:dyDescent="0.3">
      <c r="A5060">
        <v>59396</v>
      </c>
      <c r="B5060">
        <v>1</v>
      </c>
      <c r="C5060">
        <v>8</v>
      </c>
    </row>
    <row r="5061" spans="1:3" x14ac:dyDescent="0.3">
      <c r="A5061">
        <v>38740</v>
      </c>
      <c r="B5061">
        <v>2</v>
      </c>
      <c r="C5061">
        <v>16</v>
      </c>
    </row>
    <row r="5062" spans="1:3" x14ac:dyDescent="0.3">
      <c r="A5062">
        <v>59292</v>
      </c>
      <c r="B5062">
        <v>1</v>
      </c>
      <c r="C5062">
        <v>8</v>
      </c>
    </row>
    <row r="5063" spans="1:3" x14ac:dyDescent="0.3">
      <c r="A5063">
        <v>38777</v>
      </c>
      <c r="B5063">
        <v>1</v>
      </c>
      <c r="C5063">
        <v>8</v>
      </c>
    </row>
    <row r="5064" spans="1:3" x14ac:dyDescent="0.3">
      <c r="A5064">
        <v>59288</v>
      </c>
      <c r="B5064">
        <v>1</v>
      </c>
      <c r="C5064">
        <v>8</v>
      </c>
    </row>
    <row r="5065" spans="1:3" x14ac:dyDescent="0.3">
      <c r="A5065">
        <v>59066</v>
      </c>
      <c r="B5065">
        <v>1</v>
      </c>
      <c r="C5065">
        <v>8</v>
      </c>
    </row>
    <row r="5066" spans="1:3" x14ac:dyDescent="0.3">
      <c r="A5066">
        <v>58986</v>
      </c>
      <c r="B5066">
        <v>1</v>
      </c>
      <c r="C5066">
        <v>8</v>
      </c>
    </row>
    <row r="5067" spans="1:3" x14ac:dyDescent="0.3">
      <c r="A5067">
        <v>39169</v>
      </c>
      <c r="B5067">
        <v>1</v>
      </c>
      <c r="C5067">
        <v>8</v>
      </c>
    </row>
    <row r="5068" spans="1:3" x14ac:dyDescent="0.3">
      <c r="A5068">
        <v>39170</v>
      </c>
      <c r="B5068">
        <v>1</v>
      </c>
      <c r="C5068">
        <v>8</v>
      </c>
    </row>
    <row r="5069" spans="1:3" x14ac:dyDescent="0.3">
      <c r="A5069">
        <v>58582</v>
      </c>
      <c r="B5069">
        <v>1</v>
      </c>
      <c r="C5069">
        <v>8</v>
      </c>
    </row>
    <row r="5070" spans="1:3" x14ac:dyDescent="0.3">
      <c r="A5070">
        <v>58381</v>
      </c>
      <c r="B5070">
        <v>1</v>
      </c>
      <c r="C5070">
        <v>16</v>
      </c>
    </row>
    <row r="5071" spans="1:3" x14ac:dyDescent="0.3">
      <c r="A5071">
        <v>57734</v>
      </c>
      <c r="B5071">
        <v>1</v>
      </c>
      <c r="C5071">
        <v>8</v>
      </c>
    </row>
    <row r="5072" spans="1:3" x14ac:dyDescent="0.3">
      <c r="A5072">
        <v>57732</v>
      </c>
      <c r="B5072">
        <v>1</v>
      </c>
      <c r="C5072">
        <v>8</v>
      </c>
    </row>
    <row r="5073" spans="1:3" x14ac:dyDescent="0.3">
      <c r="A5073">
        <v>57628</v>
      </c>
      <c r="B5073">
        <v>2</v>
      </c>
      <c r="C5073">
        <v>16</v>
      </c>
    </row>
    <row r="5074" spans="1:3" x14ac:dyDescent="0.3">
      <c r="A5074">
        <v>57626</v>
      </c>
      <c r="B5074">
        <v>2</v>
      </c>
      <c r="C5074">
        <v>16</v>
      </c>
    </row>
    <row r="5075" spans="1:3" x14ac:dyDescent="0.3">
      <c r="A5075">
        <v>57569</v>
      </c>
      <c r="B5075">
        <v>1</v>
      </c>
      <c r="C5075">
        <v>8</v>
      </c>
    </row>
    <row r="5076" spans="1:3" x14ac:dyDescent="0.3">
      <c r="A5076">
        <v>39769</v>
      </c>
      <c r="B5076">
        <v>2</v>
      </c>
      <c r="C5076">
        <v>16</v>
      </c>
    </row>
    <row r="5077" spans="1:3" x14ac:dyDescent="0.3">
      <c r="A5077">
        <v>57142</v>
      </c>
      <c r="B5077">
        <v>2</v>
      </c>
      <c r="C5077">
        <v>16</v>
      </c>
    </row>
    <row r="5078" spans="1:3" x14ac:dyDescent="0.3">
      <c r="A5078">
        <v>57065</v>
      </c>
      <c r="B5078">
        <v>1</v>
      </c>
      <c r="C5078">
        <v>8</v>
      </c>
    </row>
    <row r="5079" spans="1:3" x14ac:dyDescent="0.3">
      <c r="A5079">
        <v>39972</v>
      </c>
      <c r="B5079">
        <v>1</v>
      </c>
      <c r="C5079">
        <v>8</v>
      </c>
    </row>
    <row r="5080" spans="1:3" x14ac:dyDescent="0.3">
      <c r="A5080">
        <v>56778</v>
      </c>
      <c r="B5080">
        <v>1</v>
      </c>
      <c r="C5080">
        <v>8</v>
      </c>
    </row>
    <row r="5081" spans="1:3" x14ac:dyDescent="0.3">
      <c r="A5081">
        <v>56777</v>
      </c>
      <c r="B5081">
        <v>1</v>
      </c>
      <c r="C5081">
        <v>16</v>
      </c>
    </row>
    <row r="5082" spans="1:3" x14ac:dyDescent="0.3">
      <c r="A5082">
        <v>56444</v>
      </c>
      <c r="B5082">
        <v>1</v>
      </c>
      <c r="C5082">
        <v>8</v>
      </c>
    </row>
    <row r="5083" spans="1:3" x14ac:dyDescent="0.3">
      <c r="A5083">
        <v>40095</v>
      </c>
      <c r="B5083">
        <v>1</v>
      </c>
      <c r="C5083">
        <v>8</v>
      </c>
    </row>
    <row r="5084" spans="1:3" x14ac:dyDescent="0.3">
      <c r="A5084">
        <v>55892</v>
      </c>
      <c r="B5084">
        <v>1</v>
      </c>
      <c r="C5084">
        <v>8</v>
      </c>
    </row>
    <row r="5085" spans="1:3" x14ac:dyDescent="0.3">
      <c r="A5085">
        <v>55794</v>
      </c>
      <c r="B5085">
        <v>1</v>
      </c>
      <c r="C5085">
        <v>8</v>
      </c>
    </row>
    <row r="5086" spans="1:3" x14ac:dyDescent="0.3">
      <c r="A5086">
        <v>55789</v>
      </c>
      <c r="B5086">
        <v>1</v>
      </c>
      <c r="C5086">
        <v>8</v>
      </c>
    </row>
    <row r="5087" spans="1:3" x14ac:dyDescent="0.3">
      <c r="A5087">
        <v>55747</v>
      </c>
      <c r="B5087">
        <v>1</v>
      </c>
      <c r="C5087">
        <v>8</v>
      </c>
    </row>
    <row r="5088" spans="1:3" x14ac:dyDescent="0.3">
      <c r="A5088">
        <v>55687</v>
      </c>
      <c r="B5088">
        <v>2</v>
      </c>
      <c r="C5088">
        <v>8</v>
      </c>
    </row>
    <row r="5089" spans="1:3" x14ac:dyDescent="0.3">
      <c r="A5089">
        <v>55686</v>
      </c>
      <c r="B5089">
        <v>1</v>
      </c>
      <c r="C5089">
        <v>8</v>
      </c>
    </row>
    <row r="5090" spans="1:3" x14ac:dyDescent="0.3">
      <c r="A5090">
        <v>40458</v>
      </c>
      <c r="B5090">
        <v>1</v>
      </c>
      <c r="C5090">
        <v>8</v>
      </c>
    </row>
    <row r="5091" spans="1:3" x14ac:dyDescent="0.3">
      <c r="A5091">
        <v>40467</v>
      </c>
      <c r="B5091">
        <v>2</v>
      </c>
      <c r="C5091">
        <v>16</v>
      </c>
    </row>
    <row r="5092" spans="1:3" x14ac:dyDescent="0.3">
      <c r="A5092">
        <v>55498</v>
      </c>
      <c r="B5092">
        <v>1</v>
      </c>
      <c r="C5092">
        <v>8</v>
      </c>
    </row>
    <row r="5093" spans="1:3" x14ac:dyDescent="0.3">
      <c r="A5093">
        <v>55496</v>
      </c>
      <c r="B5093">
        <v>1</v>
      </c>
      <c r="C5093">
        <v>8</v>
      </c>
    </row>
    <row r="5094" spans="1:3" x14ac:dyDescent="0.3">
      <c r="A5094">
        <v>40518</v>
      </c>
      <c r="B5094">
        <v>1</v>
      </c>
      <c r="C5094">
        <v>8</v>
      </c>
    </row>
    <row r="5095" spans="1:3" x14ac:dyDescent="0.3">
      <c r="A5095">
        <v>55495</v>
      </c>
      <c r="B5095">
        <v>1</v>
      </c>
      <c r="C5095">
        <v>16</v>
      </c>
    </row>
    <row r="5096" spans="1:3" x14ac:dyDescent="0.3">
      <c r="A5096">
        <v>55406</v>
      </c>
      <c r="B5096">
        <v>1</v>
      </c>
      <c r="C5096">
        <v>8</v>
      </c>
    </row>
    <row r="5097" spans="1:3" x14ac:dyDescent="0.3">
      <c r="A5097">
        <v>55320</v>
      </c>
      <c r="B5097">
        <v>1</v>
      </c>
      <c r="C5097">
        <v>8</v>
      </c>
    </row>
    <row r="5098" spans="1:3" x14ac:dyDescent="0.3">
      <c r="A5098">
        <v>55318</v>
      </c>
      <c r="B5098">
        <v>1</v>
      </c>
      <c r="C5098">
        <v>8</v>
      </c>
    </row>
    <row r="5099" spans="1:3" x14ac:dyDescent="0.3">
      <c r="A5099">
        <v>40578</v>
      </c>
      <c r="B5099">
        <v>1</v>
      </c>
      <c r="C5099">
        <v>16</v>
      </c>
    </row>
    <row r="5100" spans="1:3" x14ac:dyDescent="0.3">
      <c r="A5100">
        <v>40579</v>
      </c>
      <c r="B5100">
        <v>1</v>
      </c>
      <c r="C5100">
        <v>8</v>
      </c>
    </row>
    <row r="5101" spans="1:3" x14ac:dyDescent="0.3">
      <c r="A5101">
        <v>54911</v>
      </c>
      <c r="B5101">
        <v>1</v>
      </c>
      <c r="C5101">
        <v>8</v>
      </c>
    </row>
    <row r="5102" spans="1:3" x14ac:dyDescent="0.3">
      <c r="A5102">
        <v>40671</v>
      </c>
      <c r="B5102">
        <v>1</v>
      </c>
      <c r="C5102">
        <v>8</v>
      </c>
    </row>
    <row r="5103" spans="1:3" x14ac:dyDescent="0.3">
      <c r="A5103">
        <v>40673</v>
      </c>
      <c r="B5103">
        <v>2</v>
      </c>
      <c r="C5103">
        <v>16</v>
      </c>
    </row>
    <row r="5104" spans="1:3" x14ac:dyDescent="0.3">
      <c r="A5104">
        <v>40675</v>
      </c>
      <c r="B5104">
        <v>1</v>
      </c>
      <c r="C5104">
        <v>8</v>
      </c>
    </row>
    <row r="5105" spans="1:3" x14ac:dyDescent="0.3">
      <c r="A5105">
        <v>54716</v>
      </c>
      <c r="B5105">
        <v>1</v>
      </c>
      <c r="C5105">
        <v>8</v>
      </c>
    </row>
    <row r="5106" spans="1:3" x14ac:dyDescent="0.3">
      <c r="A5106">
        <v>54711</v>
      </c>
      <c r="B5106">
        <v>1</v>
      </c>
      <c r="C5106">
        <v>8</v>
      </c>
    </row>
    <row r="5107" spans="1:3" x14ac:dyDescent="0.3">
      <c r="A5107">
        <v>40893</v>
      </c>
      <c r="B5107">
        <v>2</v>
      </c>
      <c r="C5107">
        <v>16</v>
      </c>
    </row>
    <row r="5108" spans="1:3" x14ac:dyDescent="0.3">
      <c r="A5108">
        <v>41088</v>
      </c>
      <c r="B5108">
        <v>1</v>
      </c>
      <c r="C5108">
        <v>8</v>
      </c>
    </row>
    <row r="5109" spans="1:3" x14ac:dyDescent="0.3">
      <c r="A5109">
        <v>54169</v>
      </c>
      <c r="B5109">
        <v>1</v>
      </c>
      <c r="C5109">
        <v>8</v>
      </c>
    </row>
    <row r="5110" spans="1:3" x14ac:dyDescent="0.3">
      <c r="A5110">
        <v>54167</v>
      </c>
      <c r="B5110">
        <v>1</v>
      </c>
      <c r="C5110">
        <v>8</v>
      </c>
    </row>
    <row r="5111" spans="1:3" x14ac:dyDescent="0.3">
      <c r="A5111">
        <v>53858</v>
      </c>
      <c r="B5111">
        <v>1</v>
      </c>
      <c r="C5111">
        <v>8</v>
      </c>
    </row>
    <row r="5112" spans="1:3" x14ac:dyDescent="0.3">
      <c r="A5112">
        <v>53675</v>
      </c>
      <c r="B5112">
        <v>1</v>
      </c>
      <c r="C5112">
        <v>8</v>
      </c>
    </row>
    <row r="5113" spans="1:3" x14ac:dyDescent="0.3">
      <c r="A5113">
        <v>41454</v>
      </c>
      <c r="B5113">
        <v>1</v>
      </c>
      <c r="C5113">
        <v>8</v>
      </c>
    </row>
    <row r="5114" spans="1:3" x14ac:dyDescent="0.3">
      <c r="A5114">
        <v>53493</v>
      </c>
      <c r="B5114">
        <v>1</v>
      </c>
      <c r="C5114">
        <v>8</v>
      </c>
    </row>
    <row r="5115" spans="1:3" x14ac:dyDescent="0.3">
      <c r="A5115">
        <v>53475</v>
      </c>
      <c r="B5115">
        <v>1</v>
      </c>
      <c r="C5115">
        <v>16</v>
      </c>
    </row>
    <row r="5116" spans="1:3" x14ac:dyDescent="0.3">
      <c r="A5116">
        <v>53070</v>
      </c>
      <c r="B5116">
        <v>1</v>
      </c>
      <c r="C5116">
        <v>8</v>
      </c>
    </row>
    <row r="5117" spans="1:3" x14ac:dyDescent="0.3">
      <c r="A5117">
        <v>53045</v>
      </c>
      <c r="B5117">
        <v>1</v>
      </c>
      <c r="C5117">
        <v>8</v>
      </c>
    </row>
    <row r="5118" spans="1:3" x14ac:dyDescent="0.3">
      <c r="A5118">
        <v>52994</v>
      </c>
      <c r="B5118">
        <v>1</v>
      </c>
      <c r="C5118">
        <v>8</v>
      </c>
    </row>
    <row r="5119" spans="1:3" x14ac:dyDescent="0.3">
      <c r="A5119">
        <v>52805</v>
      </c>
      <c r="B5119">
        <v>1</v>
      </c>
      <c r="C5119">
        <v>8</v>
      </c>
    </row>
    <row r="5120" spans="1:3" x14ac:dyDescent="0.3">
      <c r="A5120">
        <v>52738</v>
      </c>
      <c r="B5120">
        <v>3</v>
      </c>
      <c r="C5120">
        <v>16</v>
      </c>
    </row>
    <row r="5121" spans="1:3" x14ac:dyDescent="0.3">
      <c r="A5121">
        <v>52737</v>
      </c>
      <c r="B5121">
        <v>1</v>
      </c>
      <c r="C5121">
        <v>8</v>
      </c>
    </row>
    <row r="5122" spans="1:3" x14ac:dyDescent="0.3">
      <c r="A5122">
        <v>52654</v>
      </c>
      <c r="B5122">
        <v>1</v>
      </c>
      <c r="C5122">
        <v>8</v>
      </c>
    </row>
    <row r="5123" spans="1:3" x14ac:dyDescent="0.3">
      <c r="A5123">
        <v>52586</v>
      </c>
      <c r="B5123">
        <v>1</v>
      </c>
      <c r="C5123">
        <v>8</v>
      </c>
    </row>
    <row r="5124" spans="1:3" x14ac:dyDescent="0.3">
      <c r="A5124">
        <v>52539</v>
      </c>
      <c r="B5124">
        <v>1</v>
      </c>
      <c r="C5124">
        <v>8</v>
      </c>
    </row>
    <row r="5125" spans="1:3" x14ac:dyDescent="0.3">
      <c r="A5125">
        <v>52487</v>
      </c>
      <c r="B5125">
        <v>1</v>
      </c>
      <c r="C5125">
        <v>16</v>
      </c>
    </row>
    <row r="5126" spans="1:3" x14ac:dyDescent="0.3">
      <c r="A5126">
        <v>52485</v>
      </c>
      <c r="B5126">
        <v>1</v>
      </c>
      <c r="C5126">
        <v>16</v>
      </c>
    </row>
    <row r="5127" spans="1:3" x14ac:dyDescent="0.3">
      <c r="A5127">
        <v>52336</v>
      </c>
      <c r="B5127">
        <v>1</v>
      </c>
      <c r="C5127">
        <v>8</v>
      </c>
    </row>
    <row r="5128" spans="1:3" x14ac:dyDescent="0.3">
      <c r="A5128">
        <v>52335</v>
      </c>
      <c r="B5128">
        <v>1</v>
      </c>
      <c r="C5128">
        <v>8</v>
      </c>
    </row>
    <row r="5129" spans="1:3" x14ac:dyDescent="0.3">
      <c r="A5129">
        <v>42054</v>
      </c>
      <c r="B5129">
        <v>1</v>
      </c>
      <c r="C5129">
        <v>8</v>
      </c>
    </row>
    <row r="5130" spans="1:3" x14ac:dyDescent="0.3">
      <c r="A5130">
        <v>52252</v>
      </c>
      <c r="B5130">
        <v>1</v>
      </c>
      <c r="C5130">
        <v>8</v>
      </c>
    </row>
    <row r="5131" spans="1:3" x14ac:dyDescent="0.3">
      <c r="A5131">
        <v>52246</v>
      </c>
      <c r="B5131">
        <v>1</v>
      </c>
      <c r="C5131">
        <v>8</v>
      </c>
    </row>
    <row r="5132" spans="1:3" x14ac:dyDescent="0.3">
      <c r="A5132">
        <v>51912</v>
      </c>
      <c r="B5132">
        <v>1</v>
      </c>
      <c r="C5132">
        <v>8</v>
      </c>
    </row>
    <row r="5133" spans="1:3" x14ac:dyDescent="0.3">
      <c r="A5133">
        <v>51643</v>
      </c>
      <c r="B5133">
        <v>1</v>
      </c>
      <c r="C5133">
        <v>8</v>
      </c>
    </row>
    <row r="5134" spans="1:3" x14ac:dyDescent="0.3">
      <c r="A5134">
        <v>42327</v>
      </c>
      <c r="B5134">
        <v>3</v>
      </c>
      <c r="C5134">
        <v>16</v>
      </c>
    </row>
    <row r="5135" spans="1:3" x14ac:dyDescent="0.3">
      <c r="A5135">
        <v>42329</v>
      </c>
      <c r="B5135">
        <v>1</v>
      </c>
      <c r="C5135">
        <v>8</v>
      </c>
    </row>
    <row r="5136" spans="1:3" x14ac:dyDescent="0.3">
      <c r="A5136">
        <v>42330</v>
      </c>
      <c r="B5136">
        <v>1</v>
      </c>
      <c r="C5136">
        <v>8</v>
      </c>
    </row>
    <row r="5137" spans="1:3" x14ac:dyDescent="0.3">
      <c r="A5137">
        <v>51640</v>
      </c>
      <c r="B5137">
        <v>1</v>
      </c>
      <c r="C5137">
        <v>8</v>
      </c>
    </row>
    <row r="5138" spans="1:3" x14ac:dyDescent="0.3">
      <c r="A5138">
        <v>51551</v>
      </c>
      <c r="B5138">
        <v>1</v>
      </c>
      <c r="C5138">
        <v>8</v>
      </c>
    </row>
    <row r="5139" spans="1:3" x14ac:dyDescent="0.3">
      <c r="A5139">
        <v>51546</v>
      </c>
      <c r="B5139">
        <v>1</v>
      </c>
      <c r="C5139">
        <v>8</v>
      </c>
    </row>
    <row r="5140" spans="1:3" x14ac:dyDescent="0.3">
      <c r="A5140">
        <v>42663</v>
      </c>
      <c r="B5140">
        <v>1</v>
      </c>
      <c r="C5140">
        <v>8</v>
      </c>
    </row>
    <row r="5141" spans="1:3" x14ac:dyDescent="0.3">
      <c r="A5141">
        <v>42664</v>
      </c>
      <c r="B5141">
        <v>1</v>
      </c>
      <c r="C5141">
        <v>8</v>
      </c>
    </row>
    <row r="5142" spans="1:3" x14ac:dyDescent="0.3">
      <c r="A5142">
        <v>51103</v>
      </c>
      <c r="B5142">
        <v>1</v>
      </c>
      <c r="C5142">
        <v>8</v>
      </c>
    </row>
    <row r="5143" spans="1:3" x14ac:dyDescent="0.3">
      <c r="A5143">
        <v>50857</v>
      </c>
      <c r="B5143">
        <v>1</v>
      </c>
      <c r="C5143">
        <v>8</v>
      </c>
    </row>
    <row r="5144" spans="1:3" x14ac:dyDescent="0.3">
      <c r="A5144">
        <v>50855</v>
      </c>
      <c r="B5144">
        <v>2</v>
      </c>
      <c r="C5144">
        <v>16</v>
      </c>
    </row>
    <row r="5145" spans="1:3" x14ac:dyDescent="0.3">
      <c r="A5145">
        <v>50848</v>
      </c>
      <c r="B5145">
        <v>2</v>
      </c>
      <c r="C5145">
        <v>16</v>
      </c>
    </row>
    <row r="5146" spans="1:3" x14ac:dyDescent="0.3">
      <c r="A5146">
        <v>43109</v>
      </c>
      <c r="B5146">
        <v>1</v>
      </c>
      <c r="C5146">
        <v>16</v>
      </c>
    </row>
    <row r="5147" spans="1:3" x14ac:dyDescent="0.3">
      <c r="A5147">
        <v>43115</v>
      </c>
      <c r="B5147">
        <v>1</v>
      </c>
      <c r="C5147">
        <v>8</v>
      </c>
    </row>
    <row r="5148" spans="1:3" x14ac:dyDescent="0.3">
      <c r="A5148">
        <v>43116</v>
      </c>
      <c r="B5148">
        <v>1</v>
      </c>
      <c r="C5148">
        <v>8</v>
      </c>
    </row>
    <row r="5149" spans="1:3" x14ac:dyDescent="0.3">
      <c r="A5149">
        <v>43119</v>
      </c>
      <c r="B5149">
        <v>1</v>
      </c>
      <c r="C5149">
        <v>8</v>
      </c>
    </row>
    <row r="5150" spans="1:3" x14ac:dyDescent="0.3">
      <c r="A5150">
        <v>43120</v>
      </c>
      <c r="B5150">
        <v>1</v>
      </c>
      <c r="C5150">
        <v>8</v>
      </c>
    </row>
    <row r="5151" spans="1:3" x14ac:dyDescent="0.3">
      <c r="A5151">
        <v>43121</v>
      </c>
      <c r="B5151">
        <v>1</v>
      </c>
      <c r="C5151">
        <v>8</v>
      </c>
    </row>
    <row r="5152" spans="1:3" x14ac:dyDescent="0.3">
      <c r="A5152">
        <v>50545</v>
      </c>
      <c r="B5152">
        <v>1</v>
      </c>
      <c r="C5152">
        <v>8</v>
      </c>
    </row>
    <row r="5153" spans="1:3" x14ac:dyDescent="0.3">
      <c r="A5153">
        <v>43235</v>
      </c>
      <c r="B5153">
        <v>2</v>
      </c>
      <c r="C5153">
        <v>16</v>
      </c>
    </row>
    <row r="5154" spans="1:3" x14ac:dyDescent="0.3">
      <c r="A5154">
        <v>50544</v>
      </c>
      <c r="B5154">
        <v>2</v>
      </c>
      <c r="C5154">
        <v>8</v>
      </c>
    </row>
    <row r="5155" spans="1:3" x14ac:dyDescent="0.3">
      <c r="A5155">
        <v>50411</v>
      </c>
      <c r="B5155">
        <v>1</v>
      </c>
      <c r="C5155">
        <v>8</v>
      </c>
    </row>
    <row r="5156" spans="1:3" x14ac:dyDescent="0.3">
      <c r="A5156">
        <v>43354</v>
      </c>
      <c r="B5156">
        <v>1</v>
      </c>
      <c r="C5156">
        <v>8</v>
      </c>
    </row>
    <row r="5157" spans="1:3" x14ac:dyDescent="0.3">
      <c r="A5157">
        <v>43355</v>
      </c>
      <c r="B5157">
        <v>1</v>
      </c>
      <c r="C5157">
        <v>8</v>
      </c>
    </row>
    <row r="5158" spans="1:3" x14ac:dyDescent="0.3">
      <c r="A5158">
        <v>43441</v>
      </c>
      <c r="B5158">
        <v>1</v>
      </c>
      <c r="C5158">
        <v>8</v>
      </c>
    </row>
    <row r="5159" spans="1:3" x14ac:dyDescent="0.3">
      <c r="A5159">
        <v>50211</v>
      </c>
      <c r="B5159">
        <v>1</v>
      </c>
      <c r="C5159">
        <v>8</v>
      </c>
    </row>
    <row r="5160" spans="1:3" x14ac:dyDescent="0.3">
      <c r="A5160">
        <v>50209</v>
      </c>
      <c r="B5160">
        <v>1</v>
      </c>
      <c r="C5160">
        <v>16</v>
      </c>
    </row>
    <row r="5161" spans="1:3" x14ac:dyDescent="0.3">
      <c r="A5161">
        <v>50060</v>
      </c>
      <c r="B5161">
        <v>1</v>
      </c>
      <c r="C5161">
        <v>8</v>
      </c>
    </row>
    <row r="5162" spans="1:3" x14ac:dyDescent="0.3">
      <c r="A5162">
        <v>43591</v>
      </c>
      <c r="B5162">
        <v>1</v>
      </c>
      <c r="C5162">
        <v>16</v>
      </c>
    </row>
    <row r="5163" spans="1:3" x14ac:dyDescent="0.3">
      <c r="A5163">
        <v>43595</v>
      </c>
      <c r="B5163">
        <v>1</v>
      </c>
      <c r="C5163">
        <v>8</v>
      </c>
    </row>
    <row r="5164" spans="1:3" x14ac:dyDescent="0.3">
      <c r="A5164">
        <v>50049</v>
      </c>
      <c r="B5164">
        <v>1</v>
      </c>
      <c r="C5164">
        <v>8</v>
      </c>
    </row>
    <row r="5165" spans="1:3" x14ac:dyDescent="0.3">
      <c r="A5165">
        <v>50048</v>
      </c>
      <c r="B5165">
        <v>2</v>
      </c>
      <c r="C5165">
        <v>16</v>
      </c>
    </row>
    <row r="5166" spans="1:3" x14ac:dyDescent="0.3">
      <c r="A5166">
        <v>43766</v>
      </c>
      <c r="B5166">
        <v>1</v>
      </c>
      <c r="C5166">
        <v>8</v>
      </c>
    </row>
    <row r="5167" spans="1:3" x14ac:dyDescent="0.3">
      <c r="A5167">
        <v>49980</v>
      </c>
      <c r="B5167">
        <v>1</v>
      </c>
      <c r="C5167">
        <v>8</v>
      </c>
    </row>
    <row r="5168" spans="1:3" x14ac:dyDescent="0.3">
      <c r="A5168">
        <v>44033</v>
      </c>
      <c r="B5168">
        <v>1</v>
      </c>
      <c r="C5168">
        <v>8</v>
      </c>
    </row>
    <row r="5169" spans="1:3" x14ac:dyDescent="0.3">
      <c r="A5169">
        <v>44035</v>
      </c>
      <c r="B5169">
        <v>1</v>
      </c>
      <c r="C5169">
        <v>16</v>
      </c>
    </row>
    <row r="5170" spans="1:3" x14ac:dyDescent="0.3">
      <c r="A5170">
        <v>44104</v>
      </c>
      <c r="B5170">
        <v>1</v>
      </c>
      <c r="C5170">
        <v>8</v>
      </c>
    </row>
    <row r="5171" spans="1:3" x14ac:dyDescent="0.3">
      <c r="A5171">
        <v>49822</v>
      </c>
      <c r="B5171">
        <v>1</v>
      </c>
      <c r="C5171">
        <v>16</v>
      </c>
    </row>
    <row r="5172" spans="1:3" x14ac:dyDescent="0.3">
      <c r="A5172">
        <v>49815</v>
      </c>
      <c r="B5172">
        <v>1</v>
      </c>
      <c r="C5172">
        <v>16</v>
      </c>
    </row>
    <row r="5173" spans="1:3" x14ac:dyDescent="0.3">
      <c r="A5173">
        <v>49813</v>
      </c>
      <c r="B5173">
        <v>1</v>
      </c>
      <c r="C5173">
        <v>8</v>
      </c>
    </row>
    <row r="5174" spans="1:3" x14ac:dyDescent="0.3">
      <c r="A5174">
        <v>49807</v>
      </c>
      <c r="B5174">
        <v>1</v>
      </c>
      <c r="C5174">
        <v>16</v>
      </c>
    </row>
    <row r="5175" spans="1:3" x14ac:dyDescent="0.3">
      <c r="A5175">
        <v>49567</v>
      </c>
      <c r="B5175">
        <v>1</v>
      </c>
      <c r="C5175">
        <v>8</v>
      </c>
    </row>
    <row r="5176" spans="1:3" x14ac:dyDescent="0.3">
      <c r="A5176">
        <v>49449</v>
      </c>
      <c r="B5176">
        <v>2</v>
      </c>
      <c r="C5176">
        <v>16</v>
      </c>
    </row>
    <row r="5177" spans="1:3" x14ac:dyDescent="0.3">
      <c r="A5177">
        <v>49448</v>
      </c>
      <c r="B5177">
        <v>1</v>
      </c>
      <c r="C5177">
        <v>16</v>
      </c>
    </row>
    <row r="5178" spans="1:3" x14ac:dyDescent="0.3">
      <c r="A5178">
        <v>45376</v>
      </c>
      <c r="B5178">
        <v>1</v>
      </c>
      <c r="C5178">
        <v>8</v>
      </c>
    </row>
    <row r="5179" spans="1:3" x14ac:dyDescent="0.3">
      <c r="A5179">
        <v>45378</v>
      </c>
      <c r="B5179">
        <v>1</v>
      </c>
      <c r="C5179">
        <v>8</v>
      </c>
    </row>
    <row r="5180" spans="1:3" x14ac:dyDescent="0.3">
      <c r="A5180">
        <v>45415</v>
      </c>
      <c r="B5180">
        <v>1</v>
      </c>
      <c r="C5180">
        <v>8</v>
      </c>
    </row>
    <row r="5181" spans="1:3" x14ac:dyDescent="0.3">
      <c r="A5181">
        <v>45581</v>
      </c>
      <c r="B5181">
        <v>1</v>
      </c>
      <c r="C5181">
        <v>8</v>
      </c>
    </row>
    <row r="5182" spans="1:3" x14ac:dyDescent="0.3">
      <c r="A5182">
        <v>45625</v>
      </c>
      <c r="B5182">
        <v>2</v>
      </c>
      <c r="C5182">
        <v>16</v>
      </c>
    </row>
    <row r="5183" spans="1:3" x14ac:dyDescent="0.3">
      <c r="A5183">
        <v>45629</v>
      </c>
      <c r="B5183">
        <v>1</v>
      </c>
      <c r="C5183">
        <v>8</v>
      </c>
    </row>
    <row r="5184" spans="1:3" x14ac:dyDescent="0.3">
      <c r="A5184">
        <v>48880</v>
      </c>
      <c r="B5184">
        <v>1</v>
      </c>
      <c r="C5184">
        <v>8</v>
      </c>
    </row>
    <row r="5185" spans="1:3" x14ac:dyDescent="0.3">
      <c r="A5185">
        <v>45690</v>
      </c>
      <c r="B5185">
        <v>1</v>
      </c>
      <c r="C5185">
        <v>8</v>
      </c>
    </row>
    <row r="5186" spans="1:3" x14ac:dyDescent="0.3">
      <c r="A5186">
        <v>45873</v>
      </c>
      <c r="B5186">
        <v>1</v>
      </c>
      <c r="C5186">
        <v>16</v>
      </c>
    </row>
    <row r="5187" spans="1:3" x14ac:dyDescent="0.3">
      <c r="A5187">
        <v>45890</v>
      </c>
      <c r="B5187">
        <v>1</v>
      </c>
      <c r="C5187">
        <v>8</v>
      </c>
    </row>
    <row r="5188" spans="1:3" x14ac:dyDescent="0.3">
      <c r="A5188">
        <v>48848</v>
      </c>
      <c r="B5188">
        <v>1</v>
      </c>
      <c r="C5188">
        <v>8</v>
      </c>
    </row>
    <row r="5189" spans="1:3" x14ac:dyDescent="0.3">
      <c r="A5189">
        <v>48741</v>
      </c>
      <c r="B5189">
        <v>1</v>
      </c>
      <c r="C5189">
        <v>8</v>
      </c>
    </row>
    <row r="5190" spans="1:3" x14ac:dyDescent="0.3">
      <c r="A5190">
        <v>48565</v>
      </c>
      <c r="B5190">
        <v>1</v>
      </c>
      <c r="C5190">
        <v>8</v>
      </c>
    </row>
    <row r="5191" spans="1:3" x14ac:dyDescent="0.3">
      <c r="A5191">
        <v>48475</v>
      </c>
      <c r="B5191">
        <v>1</v>
      </c>
      <c r="C5191">
        <v>8</v>
      </c>
    </row>
    <row r="5192" spans="1:3" x14ac:dyDescent="0.3">
      <c r="A5192">
        <v>45993</v>
      </c>
      <c r="B5192">
        <v>1</v>
      </c>
      <c r="C5192">
        <v>8</v>
      </c>
    </row>
    <row r="5193" spans="1:3" x14ac:dyDescent="0.3">
      <c r="A5193">
        <v>48424</v>
      </c>
      <c r="B5193">
        <v>1</v>
      </c>
      <c r="C5193">
        <v>16</v>
      </c>
    </row>
    <row r="5194" spans="1:3" x14ac:dyDescent="0.3">
      <c r="A5194">
        <v>48413</v>
      </c>
      <c r="B5194">
        <v>1</v>
      </c>
      <c r="C5194">
        <v>8</v>
      </c>
    </row>
    <row r="5195" spans="1:3" x14ac:dyDescent="0.3">
      <c r="A5195">
        <v>46054</v>
      </c>
      <c r="B5195">
        <v>1</v>
      </c>
      <c r="C5195">
        <v>8</v>
      </c>
    </row>
    <row r="5196" spans="1:3" x14ac:dyDescent="0.3">
      <c r="A5196">
        <v>48078</v>
      </c>
      <c r="B5196">
        <v>1</v>
      </c>
      <c r="C5196">
        <v>8</v>
      </c>
    </row>
    <row r="5197" spans="1:3" x14ac:dyDescent="0.3">
      <c r="A5197">
        <v>47928</v>
      </c>
      <c r="B5197">
        <v>2</v>
      </c>
      <c r="C5197">
        <v>16</v>
      </c>
    </row>
    <row r="5198" spans="1:3" x14ac:dyDescent="0.3">
      <c r="A5198">
        <v>47780</v>
      </c>
      <c r="B5198">
        <v>1</v>
      </c>
      <c r="C5198">
        <v>8</v>
      </c>
    </row>
    <row r="5199" spans="1:3" x14ac:dyDescent="0.3">
      <c r="A5199">
        <v>46195</v>
      </c>
      <c r="B5199">
        <v>1</v>
      </c>
      <c r="C5199">
        <v>8</v>
      </c>
    </row>
    <row r="5200" spans="1:3" x14ac:dyDescent="0.3">
      <c r="A5200">
        <v>46198</v>
      </c>
      <c r="B5200">
        <v>1</v>
      </c>
      <c r="C5200">
        <v>8</v>
      </c>
    </row>
    <row r="5201" spans="1:3" x14ac:dyDescent="0.3">
      <c r="A5201">
        <v>47421</v>
      </c>
      <c r="B5201">
        <v>1</v>
      </c>
      <c r="C5201">
        <v>8</v>
      </c>
    </row>
    <row r="5202" spans="1:3" x14ac:dyDescent="0.3">
      <c r="A5202" s="26">
        <v>47417</v>
      </c>
      <c r="B5202" s="26">
        <v>1</v>
      </c>
      <c r="C5202" s="26">
        <v>8</v>
      </c>
    </row>
    <row r="5203" spans="1:3" x14ac:dyDescent="0.3">
      <c r="A5203">
        <v>47416</v>
      </c>
      <c r="B5203">
        <v>2</v>
      </c>
      <c r="C5203">
        <v>16</v>
      </c>
    </row>
    <row r="5204" spans="1:3" x14ac:dyDescent="0.3">
      <c r="A5204">
        <v>47415</v>
      </c>
      <c r="B5204">
        <v>1</v>
      </c>
      <c r="C5204">
        <v>8</v>
      </c>
    </row>
    <row r="5205" spans="1:3" x14ac:dyDescent="0.3">
      <c r="A5205">
        <v>46355</v>
      </c>
      <c r="B5205">
        <v>2</v>
      </c>
      <c r="C5205">
        <v>16</v>
      </c>
    </row>
    <row r="5206" spans="1:3" x14ac:dyDescent="0.3">
      <c r="A5206">
        <v>47235</v>
      </c>
      <c r="B5206">
        <v>1</v>
      </c>
      <c r="C5206">
        <v>8</v>
      </c>
    </row>
    <row r="5207" spans="1:3" x14ac:dyDescent="0.3">
      <c r="A5207">
        <v>47175</v>
      </c>
      <c r="B5207">
        <v>1</v>
      </c>
      <c r="C5207">
        <v>8</v>
      </c>
    </row>
    <row r="5208" spans="1:3" x14ac:dyDescent="0.3">
      <c r="A5208">
        <v>46491</v>
      </c>
      <c r="B5208">
        <v>1</v>
      </c>
      <c r="C5208">
        <v>8</v>
      </c>
    </row>
    <row r="5209" spans="1:3" x14ac:dyDescent="0.3">
      <c r="A5209">
        <v>47164</v>
      </c>
      <c r="B5209">
        <v>1</v>
      </c>
      <c r="C5209">
        <v>8</v>
      </c>
    </row>
    <row r="5210" spans="1:3" x14ac:dyDescent="0.3">
      <c r="A5210">
        <v>46598</v>
      </c>
      <c r="B5210">
        <v>1</v>
      </c>
      <c r="C5210">
        <v>8</v>
      </c>
    </row>
    <row r="5211" spans="1:3" x14ac:dyDescent="0.3">
      <c r="A5211">
        <v>47046</v>
      </c>
      <c r="B5211">
        <v>1</v>
      </c>
      <c r="C5211">
        <v>8</v>
      </c>
    </row>
    <row r="5212" spans="1:3" x14ac:dyDescent="0.3">
      <c r="A5212">
        <v>47025</v>
      </c>
      <c r="B5212">
        <v>1</v>
      </c>
      <c r="C5212">
        <v>8</v>
      </c>
    </row>
    <row r="5213" spans="1:3" x14ac:dyDescent="0.3">
      <c r="A5213">
        <v>47023</v>
      </c>
      <c r="B5213">
        <v>1</v>
      </c>
      <c r="C5213">
        <v>16</v>
      </c>
    </row>
    <row r="5214" spans="1:3" x14ac:dyDescent="0.3">
      <c r="A5214">
        <v>46994</v>
      </c>
      <c r="B5214">
        <v>1</v>
      </c>
      <c r="C5214">
        <v>8</v>
      </c>
    </row>
    <row r="5215" spans="1:3" x14ac:dyDescent="0.3">
      <c r="A5215">
        <v>46936</v>
      </c>
      <c r="B5215">
        <v>1</v>
      </c>
      <c r="C5215">
        <v>8</v>
      </c>
    </row>
    <row r="5216" spans="1:3" x14ac:dyDescent="0.3">
      <c r="A5216">
        <v>46896</v>
      </c>
      <c r="B5216">
        <v>1</v>
      </c>
      <c r="C5216">
        <v>8</v>
      </c>
    </row>
    <row r="5217" spans="1:3" x14ac:dyDescent="0.3">
      <c r="A5217">
        <v>46887</v>
      </c>
      <c r="B5217">
        <v>1</v>
      </c>
      <c r="C5217">
        <v>8</v>
      </c>
    </row>
    <row r="5218" spans="1:3" x14ac:dyDescent="0.3">
      <c r="A5218">
        <v>14383</v>
      </c>
      <c r="B5218">
        <v>2</v>
      </c>
      <c r="C5218">
        <v>16</v>
      </c>
    </row>
    <row r="5219" spans="1:3" x14ac:dyDescent="0.3">
      <c r="A5219">
        <v>14383</v>
      </c>
      <c r="B5219">
        <v>2</v>
      </c>
      <c r="C5219">
        <v>16</v>
      </c>
    </row>
    <row r="5220" spans="1:3" x14ac:dyDescent="0.3">
      <c r="A5220">
        <v>14384</v>
      </c>
      <c r="B5220">
        <v>2</v>
      </c>
      <c r="C5220">
        <v>16</v>
      </c>
    </row>
    <row r="5221" spans="1:3" x14ac:dyDescent="0.3">
      <c r="A5221">
        <v>14384</v>
      </c>
      <c r="B5221">
        <v>2</v>
      </c>
      <c r="C5221">
        <v>16</v>
      </c>
    </row>
    <row r="5222" spans="1:3" x14ac:dyDescent="0.3">
      <c r="A5222">
        <v>28830</v>
      </c>
      <c r="B5222">
        <v>2</v>
      </c>
      <c r="C5222">
        <v>8</v>
      </c>
    </row>
    <row r="5223" spans="1:3" x14ac:dyDescent="0.3">
      <c r="A5223">
        <v>28830</v>
      </c>
      <c r="B5223">
        <v>2</v>
      </c>
      <c r="C5223">
        <v>8</v>
      </c>
    </row>
    <row r="5224" spans="1:3" x14ac:dyDescent="0.3">
      <c r="A5224">
        <v>31115</v>
      </c>
      <c r="B5224">
        <v>2</v>
      </c>
      <c r="C5224">
        <v>16</v>
      </c>
    </row>
    <row r="5225" spans="1:3" x14ac:dyDescent="0.3">
      <c r="A5225">
        <v>31115</v>
      </c>
      <c r="B5225">
        <v>2</v>
      </c>
      <c r="C5225">
        <v>16</v>
      </c>
    </row>
    <row r="5226" spans="1:3" x14ac:dyDescent="0.3">
      <c r="A5226">
        <v>70606</v>
      </c>
      <c r="B5226">
        <v>1</v>
      </c>
      <c r="C5226">
        <v>8</v>
      </c>
    </row>
    <row r="5227" spans="1:3" x14ac:dyDescent="0.3">
      <c r="A5227">
        <v>72344</v>
      </c>
      <c r="B5227">
        <v>1</v>
      </c>
      <c r="C5227">
        <v>8</v>
      </c>
    </row>
    <row r="5228" spans="1:3" x14ac:dyDescent="0.3">
      <c r="A5228">
        <v>36024</v>
      </c>
      <c r="B5228">
        <v>2</v>
      </c>
      <c r="C5228">
        <v>16</v>
      </c>
    </row>
    <row r="5229" spans="1:3" x14ac:dyDescent="0.3">
      <c r="A5229">
        <v>36024</v>
      </c>
      <c r="B5229">
        <v>2</v>
      </c>
      <c r="C5229">
        <v>16</v>
      </c>
    </row>
    <row r="5230" spans="1:3" x14ac:dyDescent="0.3">
      <c r="A5230">
        <v>36528</v>
      </c>
      <c r="B5230">
        <v>2</v>
      </c>
      <c r="C5230">
        <v>16</v>
      </c>
    </row>
    <row r="5231" spans="1:3" x14ac:dyDescent="0.3">
      <c r="A5231">
        <v>36528</v>
      </c>
      <c r="B5231">
        <v>2</v>
      </c>
      <c r="C5231">
        <v>16</v>
      </c>
    </row>
    <row r="5232" spans="1:3" x14ac:dyDescent="0.3">
      <c r="A5232">
        <v>79668</v>
      </c>
      <c r="B5232">
        <v>1</v>
      </c>
      <c r="C5232">
        <v>8</v>
      </c>
    </row>
    <row r="5233" spans="1:3" x14ac:dyDescent="0.3">
      <c r="A5233">
        <v>16253</v>
      </c>
      <c r="B5233">
        <v>2</v>
      </c>
      <c r="C5233">
        <v>16</v>
      </c>
    </row>
    <row r="5234" spans="1:3" x14ac:dyDescent="0.3">
      <c r="A5234">
        <v>55895</v>
      </c>
      <c r="B5234">
        <v>2</v>
      </c>
      <c r="C5234">
        <v>16</v>
      </c>
    </row>
    <row r="5235" spans="1:3" x14ac:dyDescent="0.3">
      <c r="A5235">
        <v>55895</v>
      </c>
      <c r="B5235">
        <v>2</v>
      </c>
      <c r="C5235">
        <v>16</v>
      </c>
    </row>
    <row r="5236" spans="1:3" x14ac:dyDescent="0.3">
      <c r="A5236">
        <v>55183</v>
      </c>
      <c r="B5236">
        <v>2</v>
      </c>
      <c r="C5236">
        <v>16</v>
      </c>
    </row>
    <row r="5237" spans="1:3" x14ac:dyDescent="0.3">
      <c r="A5237">
        <v>55183</v>
      </c>
      <c r="B5237">
        <v>2</v>
      </c>
      <c r="C5237">
        <v>16</v>
      </c>
    </row>
    <row r="5238" spans="1:3" x14ac:dyDescent="0.3">
      <c r="A5238">
        <v>40676</v>
      </c>
      <c r="B5238">
        <v>2</v>
      </c>
      <c r="C5238">
        <v>8</v>
      </c>
    </row>
    <row r="5239" spans="1:3" x14ac:dyDescent="0.3">
      <c r="A5239">
        <v>40676</v>
      </c>
      <c r="B5239">
        <v>2</v>
      </c>
      <c r="C5239">
        <v>8</v>
      </c>
    </row>
    <row r="5240" spans="1:3" x14ac:dyDescent="0.3">
      <c r="A5240">
        <v>78572</v>
      </c>
      <c r="B5240">
        <v>1</v>
      </c>
      <c r="C5240">
        <v>8</v>
      </c>
    </row>
    <row r="5241" spans="1:3" x14ac:dyDescent="0.3">
      <c r="A5241">
        <v>15962</v>
      </c>
      <c r="B5241">
        <v>2</v>
      </c>
      <c r="C5241">
        <v>8</v>
      </c>
    </row>
    <row r="5242" spans="1:3" x14ac:dyDescent="0.3">
      <c r="A5242">
        <v>21685</v>
      </c>
      <c r="B5242">
        <v>3</v>
      </c>
      <c r="C5242">
        <v>16</v>
      </c>
    </row>
    <row r="5243" spans="1:3" x14ac:dyDescent="0.3">
      <c r="A5243">
        <v>71001</v>
      </c>
      <c r="B5243">
        <v>1</v>
      </c>
      <c r="C5243">
        <v>8</v>
      </c>
    </row>
    <row r="5244" spans="1:3" x14ac:dyDescent="0.3">
      <c r="A5244">
        <v>70148</v>
      </c>
      <c r="B5244">
        <v>1</v>
      </c>
      <c r="C5244">
        <v>8</v>
      </c>
    </row>
    <row r="5245" spans="1:3" x14ac:dyDescent="0.3">
      <c r="A5245">
        <v>63877</v>
      </c>
      <c r="B5245">
        <v>1</v>
      </c>
      <c r="C5245">
        <v>16</v>
      </c>
    </row>
    <row r="5246" spans="1:3" x14ac:dyDescent="0.3">
      <c r="A5246">
        <v>36812</v>
      </c>
      <c r="B5246">
        <v>2</v>
      </c>
      <c r="C5246">
        <v>16</v>
      </c>
    </row>
    <row r="5247" spans="1:3" x14ac:dyDescent="0.3">
      <c r="A5247">
        <v>52713</v>
      </c>
      <c r="B5247">
        <v>1</v>
      </c>
      <c r="C5247">
        <v>16</v>
      </c>
    </row>
    <row r="5248" spans="1:3" x14ac:dyDescent="0.3">
      <c r="A5248">
        <v>45598</v>
      </c>
      <c r="B5248">
        <v>1</v>
      </c>
      <c r="C5248">
        <v>8</v>
      </c>
    </row>
    <row r="5249" spans="1:3" x14ac:dyDescent="0.3">
      <c r="A5249">
        <v>80587</v>
      </c>
      <c r="B5249">
        <v>2</v>
      </c>
      <c r="C5249">
        <v>8</v>
      </c>
    </row>
    <row r="5250" spans="1:3" x14ac:dyDescent="0.3">
      <c r="A5250">
        <v>10236</v>
      </c>
      <c r="B5250">
        <v>1</v>
      </c>
      <c r="C5250">
        <v>16</v>
      </c>
    </row>
    <row r="5251" spans="1:3" x14ac:dyDescent="0.3">
      <c r="A5251">
        <v>80356</v>
      </c>
      <c r="B5251">
        <v>2</v>
      </c>
      <c r="C5251">
        <v>8</v>
      </c>
    </row>
    <row r="5252" spans="1:3" x14ac:dyDescent="0.3">
      <c r="A5252">
        <v>79753</v>
      </c>
      <c r="B5252">
        <v>2</v>
      </c>
      <c r="C5252">
        <v>8</v>
      </c>
    </row>
    <row r="5253" spans="1:3" x14ac:dyDescent="0.3">
      <c r="A5253">
        <v>79751</v>
      </c>
      <c r="B5253">
        <v>2</v>
      </c>
      <c r="C5253">
        <v>8</v>
      </c>
    </row>
    <row r="5254" spans="1:3" x14ac:dyDescent="0.3">
      <c r="A5254">
        <v>11091</v>
      </c>
      <c r="B5254">
        <v>3</v>
      </c>
      <c r="C5254">
        <v>8</v>
      </c>
    </row>
    <row r="5255" spans="1:3" x14ac:dyDescent="0.3">
      <c r="A5255">
        <v>11515</v>
      </c>
      <c r="B5255">
        <v>1</v>
      </c>
      <c r="C5255">
        <v>8</v>
      </c>
    </row>
    <row r="5256" spans="1:3" x14ac:dyDescent="0.3">
      <c r="A5256">
        <v>79548</v>
      </c>
      <c r="B5256">
        <v>2</v>
      </c>
      <c r="C5256">
        <v>8</v>
      </c>
    </row>
    <row r="5257" spans="1:3" x14ac:dyDescent="0.3">
      <c r="A5257">
        <v>11896</v>
      </c>
      <c r="B5257">
        <v>2</v>
      </c>
      <c r="C5257">
        <v>8</v>
      </c>
    </row>
    <row r="5258" spans="1:3" x14ac:dyDescent="0.3">
      <c r="A5258">
        <v>79289</v>
      </c>
      <c r="B5258">
        <v>1</v>
      </c>
      <c r="C5258">
        <v>8</v>
      </c>
    </row>
    <row r="5259" spans="1:3" x14ac:dyDescent="0.3">
      <c r="A5259">
        <v>79288</v>
      </c>
      <c r="B5259">
        <v>2</v>
      </c>
      <c r="C5259">
        <v>8</v>
      </c>
    </row>
    <row r="5260" spans="1:3" x14ac:dyDescent="0.3">
      <c r="A5260">
        <v>79182</v>
      </c>
      <c r="B5260">
        <v>2</v>
      </c>
      <c r="C5260">
        <v>8</v>
      </c>
    </row>
    <row r="5261" spans="1:3" x14ac:dyDescent="0.3">
      <c r="A5261">
        <v>79180</v>
      </c>
      <c r="B5261">
        <v>1</v>
      </c>
      <c r="C5261">
        <v>16</v>
      </c>
    </row>
    <row r="5262" spans="1:3" x14ac:dyDescent="0.3">
      <c r="A5262">
        <v>79179</v>
      </c>
      <c r="B5262">
        <v>1</v>
      </c>
      <c r="C5262">
        <v>8</v>
      </c>
    </row>
    <row r="5263" spans="1:3" x14ac:dyDescent="0.3">
      <c r="A5263">
        <v>79049</v>
      </c>
      <c r="B5263">
        <v>2</v>
      </c>
      <c r="C5263">
        <v>8</v>
      </c>
    </row>
    <row r="5264" spans="1:3" x14ac:dyDescent="0.3">
      <c r="A5264">
        <v>14453</v>
      </c>
      <c r="B5264">
        <v>4</v>
      </c>
      <c r="C5264">
        <v>16</v>
      </c>
    </row>
    <row r="5265" spans="1:3" x14ac:dyDescent="0.3">
      <c r="A5265">
        <v>14454</v>
      </c>
      <c r="B5265">
        <v>4</v>
      </c>
      <c r="C5265">
        <v>16</v>
      </c>
    </row>
    <row r="5266" spans="1:3" x14ac:dyDescent="0.3">
      <c r="A5266">
        <v>78507</v>
      </c>
      <c r="B5266">
        <v>1</v>
      </c>
      <c r="C5266">
        <v>8</v>
      </c>
    </row>
    <row r="5267" spans="1:3" x14ac:dyDescent="0.3">
      <c r="A5267">
        <v>78451</v>
      </c>
      <c r="B5267">
        <v>1</v>
      </c>
      <c r="C5267">
        <v>8</v>
      </c>
    </row>
    <row r="5268" spans="1:3" x14ac:dyDescent="0.3">
      <c r="A5268">
        <v>78174</v>
      </c>
      <c r="B5268">
        <v>1</v>
      </c>
      <c r="C5268">
        <v>8</v>
      </c>
    </row>
    <row r="5269" spans="1:3" x14ac:dyDescent="0.3">
      <c r="A5269">
        <v>16746</v>
      </c>
      <c r="B5269">
        <v>1</v>
      </c>
      <c r="C5269">
        <v>8</v>
      </c>
    </row>
    <row r="5270" spans="1:3" x14ac:dyDescent="0.3">
      <c r="A5270">
        <v>17188</v>
      </c>
      <c r="B5270">
        <v>2</v>
      </c>
      <c r="C5270">
        <v>8</v>
      </c>
    </row>
    <row r="5271" spans="1:3" x14ac:dyDescent="0.3">
      <c r="A5271">
        <v>17629</v>
      </c>
      <c r="B5271">
        <v>2</v>
      </c>
      <c r="C5271">
        <v>16</v>
      </c>
    </row>
    <row r="5272" spans="1:3" x14ac:dyDescent="0.3">
      <c r="A5272">
        <v>17629</v>
      </c>
      <c r="B5272">
        <v>2</v>
      </c>
      <c r="C5272">
        <v>16</v>
      </c>
    </row>
    <row r="5273" spans="1:3" x14ac:dyDescent="0.3">
      <c r="A5273">
        <v>77340</v>
      </c>
      <c r="B5273">
        <v>1</v>
      </c>
      <c r="C5273">
        <v>8</v>
      </c>
    </row>
    <row r="5274" spans="1:3" x14ac:dyDescent="0.3">
      <c r="A5274">
        <v>77222</v>
      </c>
      <c r="B5274">
        <v>1</v>
      </c>
      <c r="C5274">
        <v>16</v>
      </c>
    </row>
    <row r="5275" spans="1:3" x14ac:dyDescent="0.3">
      <c r="A5275">
        <v>77220</v>
      </c>
      <c r="B5275">
        <v>1</v>
      </c>
      <c r="C5275">
        <v>8</v>
      </c>
    </row>
    <row r="5276" spans="1:3" x14ac:dyDescent="0.3">
      <c r="A5276">
        <v>18380</v>
      </c>
      <c r="B5276">
        <v>2</v>
      </c>
      <c r="C5276">
        <v>16</v>
      </c>
    </row>
    <row r="5277" spans="1:3" x14ac:dyDescent="0.3">
      <c r="A5277">
        <v>18630</v>
      </c>
      <c r="B5277">
        <v>1</v>
      </c>
      <c r="C5277">
        <v>8</v>
      </c>
    </row>
    <row r="5278" spans="1:3" x14ac:dyDescent="0.3">
      <c r="A5278">
        <v>18946</v>
      </c>
      <c r="B5278">
        <v>2</v>
      </c>
      <c r="C5278">
        <v>16</v>
      </c>
    </row>
    <row r="5279" spans="1:3" x14ac:dyDescent="0.3">
      <c r="A5279">
        <v>76951</v>
      </c>
      <c r="B5279">
        <v>1</v>
      </c>
      <c r="C5279">
        <v>16</v>
      </c>
    </row>
    <row r="5280" spans="1:3" x14ac:dyDescent="0.3">
      <c r="A5280">
        <v>19323</v>
      </c>
      <c r="B5280">
        <v>3</v>
      </c>
      <c r="C5280">
        <v>8</v>
      </c>
    </row>
    <row r="5281" spans="1:3" x14ac:dyDescent="0.3">
      <c r="A5281">
        <v>20548</v>
      </c>
      <c r="B5281">
        <v>1</v>
      </c>
      <c r="C5281">
        <v>8</v>
      </c>
    </row>
    <row r="5282" spans="1:3" x14ac:dyDescent="0.3">
      <c r="A5282">
        <v>76632</v>
      </c>
      <c r="B5282">
        <v>1</v>
      </c>
      <c r="C5282">
        <v>8</v>
      </c>
    </row>
    <row r="5283" spans="1:3" x14ac:dyDescent="0.3">
      <c r="A5283">
        <v>76581</v>
      </c>
      <c r="B5283">
        <v>1</v>
      </c>
      <c r="C5283">
        <v>8</v>
      </c>
    </row>
    <row r="5284" spans="1:3" x14ac:dyDescent="0.3">
      <c r="A5284">
        <v>76579</v>
      </c>
      <c r="B5284">
        <v>1</v>
      </c>
      <c r="C5284">
        <v>16</v>
      </c>
    </row>
    <row r="5285" spans="1:3" x14ac:dyDescent="0.3">
      <c r="A5285">
        <v>76365</v>
      </c>
      <c r="B5285">
        <v>1</v>
      </c>
      <c r="C5285">
        <v>8</v>
      </c>
    </row>
    <row r="5286" spans="1:3" x14ac:dyDescent="0.3">
      <c r="A5286">
        <v>76363</v>
      </c>
      <c r="B5286">
        <v>1</v>
      </c>
      <c r="C5286">
        <v>8</v>
      </c>
    </row>
    <row r="5287" spans="1:3" x14ac:dyDescent="0.3">
      <c r="A5287">
        <v>21493</v>
      </c>
      <c r="B5287">
        <v>1</v>
      </c>
      <c r="C5287">
        <v>16</v>
      </c>
    </row>
    <row r="5288" spans="1:3" x14ac:dyDescent="0.3">
      <c r="A5288">
        <v>76112</v>
      </c>
      <c r="B5288">
        <v>1</v>
      </c>
      <c r="C5288">
        <v>8</v>
      </c>
    </row>
    <row r="5289" spans="1:3" x14ac:dyDescent="0.3">
      <c r="A5289">
        <v>76060</v>
      </c>
      <c r="B5289">
        <v>1</v>
      </c>
      <c r="C5289">
        <v>8</v>
      </c>
    </row>
    <row r="5290" spans="1:3" x14ac:dyDescent="0.3">
      <c r="A5290">
        <v>22518</v>
      </c>
      <c r="B5290">
        <v>1</v>
      </c>
      <c r="C5290">
        <v>8</v>
      </c>
    </row>
    <row r="5291" spans="1:3" x14ac:dyDescent="0.3">
      <c r="A5291">
        <v>22522</v>
      </c>
      <c r="B5291">
        <v>2</v>
      </c>
      <c r="C5291">
        <v>16</v>
      </c>
    </row>
    <row r="5292" spans="1:3" x14ac:dyDescent="0.3">
      <c r="A5292">
        <v>75948</v>
      </c>
      <c r="B5292">
        <v>1</v>
      </c>
      <c r="C5292">
        <v>8</v>
      </c>
    </row>
    <row r="5293" spans="1:3" x14ac:dyDescent="0.3">
      <c r="A5293">
        <v>75933</v>
      </c>
      <c r="B5293">
        <v>1</v>
      </c>
      <c r="C5293">
        <v>8</v>
      </c>
    </row>
    <row r="5294" spans="1:3" x14ac:dyDescent="0.3">
      <c r="A5294">
        <v>75926</v>
      </c>
      <c r="B5294">
        <v>1</v>
      </c>
      <c r="C5294">
        <v>8</v>
      </c>
    </row>
    <row r="5295" spans="1:3" x14ac:dyDescent="0.3">
      <c r="A5295">
        <v>75924</v>
      </c>
      <c r="B5295">
        <v>1</v>
      </c>
      <c r="C5295">
        <v>8</v>
      </c>
    </row>
    <row r="5296" spans="1:3" x14ac:dyDescent="0.3">
      <c r="A5296">
        <v>75793</v>
      </c>
      <c r="B5296">
        <v>1</v>
      </c>
      <c r="C5296">
        <v>8</v>
      </c>
    </row>
    <row r="5297" spans="1:3" x14ac:dyDescent="0.3">
      <c r="A5297">
        <v>75792</v>
      </c>
      <c r="B5297">
        <v>1</v>
      </c>
      <c r="C5297">
        <v>8</v>
      </c>
    </row>
    <row r="5298" spans="1:3" x14ac:dyDescent="0.3">
      <c r="A5298">
        <v>75789</v>
      </c>
      <c r="B5298">
        <v>1</v>
      </c>
      <c r="C5298">
        <v>8</v>
      </c>
    </row>
    <row r="5299" spans="1:3" x14ac:dyDescent="0.3">
      <c r="A5299">
        <v>22964</v>
      </c>
      <c r="B5299">
        <v>1</v>
      </c>
      <c r="C5299">
        <v>8</v>
      </c>
    </row>
    <row r="5300" spans="1:3" x14ac:dyDescent="0.3">
      <c r="A5300">
        <v>22966</v>
      </c>
      <c r="B5300">
        <v>1</v>
      </c>
      <c r="C5300">
        <v>8</v>
      </c>
    </row>
    <row r="5301" spans="1:3" x14ac:dyDescent="0.3">
      <c r="A5301">
        <v>23115</v>
      </c>
      <c r="B5301">
        <v>1</v>
      </c>
      <c r="C5301">
        <v>16</v>
      </c>
    </row>
    <row r="5302" spans="1:3" x14ac:dyDescent="0.3">
      <c r="A5302">
        <v>75650</v>
      </c>
      <c r="B5302">
        <v>1</v>
      </c>
      <c r="C5302">
        <v>8</v>
      </c>
    </row>
    <row r="5303" spans="1:3" x14ac:dyDescent="0.3">
      <c r="A5303">
        <v>24236</v>
      </c>
      <c r="B5303">
        <v>4</v>
      </c>
      <c r="C5303">
        <v>16</v>
      </c>
    </row>
    <row r="5304" spans="1:3" x14ac:dyDescent="0.3">
      <c r="A5304">
        <v>75110</v>
      </c>
      <c r="B5304">
        <v>1</v>
      </c>
      <c r="C5304">
        <v>8</v>
      </c>
    </row>
    <row r="5305" spans="1:3" x14ac:dyDescent="0.3">
      <c r="A5305">
        <v>75106</v>
      </c>
      <c r="B5305">
        <v>2</v>
      </c>
      <c r="C5305">
        <v>16</v>
      </c>
    </row>
    <row r="5306" spans="1:3" x14ac:dyDescent="0.3">
      <c r="A5306">
        <v>24403</v>
      </c>
      <c r="B5306">
        <v>1</v>
      </c>
      <c r="C5306">
        <v>8</v>
      </c>
    </row>
    <row r="5307" spans="1:3" x14ac:dyDescent="0.3">
      <c r="A5307">
        <v>24547</v>
      </c>
      <c r="B5307">
        <v>2</v>
      </c>
      <c r="C5307">
        <v>16</v>
      </c>
    </row>
    <row r="5308" spans="1:3" x14ac:dyDescent="0.3">
      <c r="A5308">
        <v>74802</v>
      </c>
      <c r="B5308">
        <v>1</v>
      </c>
      <c r="C5308">
        <v>8</v>
      </c>
    </row>
    <row r="5309" spans="1:3" x14ac:dyDescent="0.3">
      <c r="A5309">
        <v>74801</v>
      </c>
      <c r="B5309">
        <v>1</v>
      </c>
      <c r="C5309">
        <v>8</v>
      </c>
    </row>
    <row r="5310" spans="1:3" x14ac:dyDescent="0.3">
      <c r="A5310">
        <v>74800</v>
      </c>
      <c r="B5310">
        <v>1</v>
      </c>
      <c r="C5310">
        <v>8</v>
      </c>
    </row>
    <row r="5311" spans="1:3" x14ac:dyDescent="0.3">
      <c r="A5311">
        <v>24871</v>
      </c>
      <c r="B5311">
        <v>1</v>
      </c>
      <c r="C5311">
        <v>16</v>
      </c>
    </row>
    <row r="5312" spans="1:3" x14ac:dyDescent="0.3">
      <c r="A5312">
        <v>74289</v>
      </c>
      <c r="B5312">
        <v>2</v>
      </c>
      <c r="C5312">
        <v>16</v>
      </c>
    </row>
    <row r="5313" spans="1:3" x14ac:dyDescent="0.3">
      <c r="A5313">
        <v>26179</v>
      </c>
      <c r="B5313">
        <v>1</v>
      </c>
      <c r="C5313">
        <v>8</v>
      </c>
    </row>
    <row r="5314" spans="1:3" x14ac:dyDescent="0.3">
      <c r="A5314">
        <v>26396</v>
      </c>
      <c r="B5314">
        <v>1</v>
      </c>
      <c r="C5314">
        <v>8</v>
      </c>
    </row>
    <row r="5315" spans="1:3" x14ac:dyDescent="0.3">
      <c r="A5315">
        <v>26399</v>
      </c>
      <c r="B5315">
        <v>1</v>
      </c>
      <c r="C5315">
        <v>8</v>
      </c>
    </row>
    <row r="5316" spans="1:3" x14ac:dyDescent="0.3">
      <c r="A5316">
        <v>74058</v>
      </c>
      <c r="B5316">
        <v>1</v>
      </c>
      <c r="C5316">
        <v>8</v>
      </c>
    </row>
    <row r="5317" spans="1:3" x14ac:dyDescent="0.3">
      <c r="A5317">
        <v>73966</v>
      </c>
      <c r="B5317">
        <v>1</v>
      </c>
      <c r="C5317">
        <v>8</v>
      </c>
    </row>
    <row r="5318" spans="1:3" x14ac:dyDescent="0.3">
      <c r="A5318">
        <v>73965</v>
      </c>
      <c r="B5318">
        <v>2</v>
      </c>
      <c r="C5318">
        <v>8</v>
      </c>
    </row>
    <row r="5319" spans="1:3" x14ac:dyDescent="0.3">
      <c r="A5319">
        <v>73736</v>
      </c>
      <c r="B5319">
        <v>1</v>
      </c>
      <c r="C5319">
        <v>8</v>
      </c>
    </row>
    <row r="5320" spans="1:3" x14ac:dyDescent="0.3">
      <c r="A5320">
        <v>73729</v>
      </c>
      <c r="B5320">
        <v>2</v>
      </c>
      <c r="C5320">
        <v>16</v>
      </c>
    </row>
    <row r="5321" spans="1:3" x14ac:dyDescent="0.3">
      <c r="A5321">
        <v>27090</v>
      </c>
      <c r="B5321">
        <v>1</v>
      </c>
      <c r="C5321">
        <v>8</v>
      </c>
    </row>
    <row r="5322" spans="1:3" x14ac:dyDescent="0.3">
      <c r="A5322">
        <v>72974</v>
      </c>
      <c r="B5322">
        <v>1</v>
      </c>
      <c r="C5322">
        <v>8</v>
      </c>
    </row>
    <row r="5323" spans="1:3" x14ac:dyDescent="0.3">
      <c r="A5323">
        <v>72729</v>
      </c>
      <c r="B5323">
        <v>1</v>
      </c>
      <c r="C5323">
        <v>8</v>
      </c>
    </row>
    <row r="5324" spans="1:3" x14ac:dyDescent="0.3">
      <c r="A5324">
        <v>72316</v>
      </c>
      <c r="B5324">
        <v>1</v>
      </c>
      <c r="C5324">
        <v>8</v>
      </c>
    </row>
    <row r="5325" spans="1:3" x14ac:dyDescent="0.3">
      <c r="A5325">
        <v>72177</v>
      </c>
      <c r="B5325">
        <v>1</v>
      </c>
      <c r="C5325">
        <v>16</v>
      </c>
    </row>
    <row r="5326" spans="1:3" x14ac:dyDescent="0.3">
      <c r="A5326">
        <v>72176</v>
      </c>
      <c r="B5326">
        <v>1</v>
      </c>
      <c r="C5326">
        <v>16</v>
      </c>
    </row>
    <row r="5327" spans="1:3" x14ac:dyDescent="0.3">
      <c r="A5327">
        <v>28673</v>
      </c>
      <c r="B5327">
        <v>2</v>
      </c>
      <c r="C5327">
        <v>16</v>
      </c>
    </row>
    <row r="5328" spans="1:3" x14ac:dyDescent="0.3">
      <c r="A5328">
        <v>71765</v>
      </c>
      <c r="B5328">
        <v>1</v>
      </c>
      <c r="C5328">
        <v>8</v>
      </c>
    </row>
    <row r="5329" spans="1:3" x14ac:dyDescent="0.3">
      <c r="A5329">
        <v>29071</v>
      </c>
      <c r="B5329">
        <v>1</v>
      </c>
      <c r="C5329">
        <v>16</v>
      </c>
    </row>
    <row r="5330" spans="1:3" x14ac:dyDescent="0.3">
      <c r="A5330">
        <v>71396</v>
      </c>
      <c r="B5330">
        <v>1</v>
      </c>
      <c r="C5330">
        <v>8</v>
      </c>
    </row>
    <row r="5331" spans="1:3" x14ac:dyDescent="0.3">
      <c r="A5331">
        <v>29355</v>
      </c>
      <c r="B5331">
        <v>1</v>
      </c>
      <c r="C5331">
        <v>8</v>
      </c>
    </row>
    <row r="5332" spans="1:3" x14ac:dyDescent="0.3">
      <c r="A5332">
        <v>71237</v>
      </c>
      <c r="B5332">
        <v>1</v>
      </c>
      <c r="C5332">
        <v>16</v>
      </c>
    </row>
    <row r="5333" spans="1:3" x14ac:dyDescent="0.3">
      <c r="A5333">
        <v>71233</v>
      </c>
      <c r="B5333">
        <v>1</v>
      </c>
      <c r="C5333">
        <v>8</v>
      </c>
    </row>
    <row r="5334" spans="1:3" x14ac:dyDescent="0.3">
      <c r="A5334">
        <v>70861</v>
      </c>
      <c r="B5334">
        <v>1</v>
      </c>
      <c r="C5334">
        <v>8</v>
      </c>
    </row>
    <row r="5335" spans="1:3" x14ac:dyDescent="0.3">
      <c r="A5335">
        <v>70860</v>
      </c>
      <c r="B5335">
        <v>2</v>
      </c>
      <c r="C5335">
        <v>16</v>
      </c>
    </row>
    <row r="5336" spans="1:3" x14ac:dyDescent="0.3">
      <c r="A5336">
        <v>70856</v>
      </c>
      <c r="B5336">
        <v>1</v>
      </c>
      <c r="C5336">
        <v>8</v>
      </c>
    </row>
    <row r="5337" spans="1:3" x14ac:dyDescent="0.3">
      <c r="A5337">
        <v>70538</v>
      </c>
      <c r="B5337">
        <v>3</v>
      </c>
      <c r="C5337">
        <v>16</v>
      </c>
    </row>
    <row r="5338" spans="1:3" x14ac:dyDescent="0.3">
      <c r="A5338">
        <v>30185</v>
      </c>
      <c r="B5338">
        <v>1</v>
      </c>
      <c r="C5338">
        <v>8</v>
      </c>
    </row>
    <row r="5339" spans="1:3" x14ac:dyDescent="0.3">
      <c r="A5339">
        <v>70324</v>
      </c>
      <c r="B5339">
        <v>1</v>
      </c>
      <c r="C5339">
        <v>8</v>
      </c>
    </row>
    <row r="5340" spans="1:3" x14ac:dyDescent="0.3">
      <c r="A5340">
        <v>69625</v>
      </c>
      <c r="B5340">
        <v>1</v>
      </c>
      <c r="C5340">
        <v>8</v>
      </c>
    </row>
    <row r="5341" spans="1:3" x14ac:dyDescent="0.3">
      <c r="A5341">
        <v>69339</v>
      </c>
      <c r="B5341">
        <v>2</v>
      </c>
      <c r="C5341">
        <v>8</v>
      </c>
    </row>
    <row r="5342" spans="1:3" x14ac:dyDescent="0.3">
      <c r="A5342">
        <v>69060</v>
      </c>
      <c r="B5342">
        <v>2</v>
      </c>
      <c r="C5342">
        <v>8</v>
      </c>
    </row>
    <row r="5343" spans="1:3" x14ac:dyDescent="0.3">
      <c r="A5343">
        <v>69058</v>
      </c>
      <c r="B5343">
        <v>1</v>
      </c>
      <c r="C5343">
        <v>8</v>
      </c>
    </row>
    <row r="5344" spans="1:3" x14ac:dyDescent="0.3">
      <c r="A5344">
        <v>68833</v>
      </c>
      <c r="B5344">
        <v>1</v>
      </c>
      <c r="C5344">
        <v>8</v>
      </c>
    </row>
    <row r="5345" spans="1:3" x14ac:dyDescent="0.3">
      <c r="A5345">
        <v>68570</v>
      </c>
      <c r="B5345">
        <v>3</v>
      </c>
      <c r="C5345">
        <v>16</v>
      </c>
    </row>
    <row r="5346" spans="1:3" x14ac:dyDescent="0.3">
      <c r="A5346">
        <v>68406</v>
      </c>
      <c r="B5346">
        <v>2</v>
      </c>
      <c r="C5346">
        <v>8</v>
      </c>
    </row>
    <row r="5347" spans="1:3" x14ac:dyDescent="0.3">
      <c r="A5347">
        <v>68304</v>
      </c>
      <c r="B5347">
        <v>2</v>
      </c>
      <c r="C5347">
        <v>16</v>
      </c>
    </row>
    <row r="5348" spans="1:3" x14ac:dyDescent="0.3">
      <c r="A5348">
        <v>32325</v>
      </c>
      <c r="B5348">
        <v>3</v>
      </c>
      <c r="C5348">
        <v>16</v>
      </c>
    </row>
    <row r="5349" spans="1:3" x14ac:dyDescent="0.3">
      <c r="A5349">
        <v>32415</v>
      </c>
      <c r="B5349">
        <v>1</v>
      </c>
      <c r="C5349">
        <v>16</v>
      </c>
    </row>
    <row r="5350" spans="1:3" x14ac:dyDescent="0.3">
      <c r="A5350">
        <v>67629</v>
      </c>
      <c r="B5350">
        <v>2</v>
      </c>
      <c r="C5350">
        <v>16</v>
      </c>
    </row>
    <row r="5351" spans="1:3" x14ac:dyDescent="0.3">
      <c r="A5351">
        <v>67627</v>
      </c>
      <c r="B5351">
        <v>1</v>
      </c>
      <c r="C5351">
        <v>8</v>
      </c>
    </row>
    <row r="5352" spans="1:3" x14ac:dyDescent="0.3">
      <c r="A5352">
        <v>67145</v>
      </c>
      <c r="B5352">
        <v>1</v>
      </c>
      <c r="C5352">
        <v>8</v>
      </c>
    </row>
    <row r="5353" spans="1:3" x14ac:dyDescent="0.3">
      <c r="A5353">
        <v>33169</v>
      </c>
      <c r="B5353">
        <v>3</v>
      </c>
      <c r="C5353">
        <v>16</v>
      </c>
    </row>
    <row r="5354" spans="1:3" x14ac:dyDescent="0.3">
      <c r="A5354">
        <v>66827</v>
      </c>
      <c r="B5354">
        <v>1</v>
      </c>
      <c r="C5354">
        <v>8</v>
      </c>
    </row>
    <row r="5355" spans="1:3" x14ac:dyDescent="0.3">
      <c r="A5355">
        <v>33764</v>
      </c>
      <c r="B5355">
        <v>2</v>
      </c>
      <c r="C5355">
        <v>16</v>
      </c>
    </row>
    <row r="5356" spans="1:3" x14ac:dyDescent="0.3">
      <c r="A5356">
        <v>33918</v>
      </c>
      <c r="B5356">
        <v>1</v>
      </c>
      <c r="C5356">
        <v>16</v>
      </c>
    </row>
    <row r="5357" spans="1:3" x14ac:dyDescent="0.3">
      <c r="A5357">
        <v>66163</v>
      </c>
      <c r="B5357">
        <v>2</v>
      </c>
      <c r="C5357">
        <v>16</v>
      </c>
    </row>
    <row r="5358" spans="1:3" x14ac:dyDescent="0.3">
      <c r="A5358">
        <v>34236</v>
      </c>
      <c r="B5358">
        <v>1</v>
      </c>
      <c r="C5358">
        <v>16</v>
      </c>
    </row>
    <row r="5359" spans="1:3" x14ac:dyDescent="0.3">
      <c r="A5359">
        <v>34308</v>
      </c>
      <c r="B5359">
        <v>2</v>
      </c>
      <c r="C5359">
        <v>8</v>
      </c>
    </row>
    <row r="5360" spans="1:3" x14ac:dyDescent="0.3">
      <c r="A5360">
        <v>34309</v>
      </c>
      <c r="B5360">
        <v>2</v>
      </c>
      <c r="C5360">
        <v>16</v>
      </c>
    </row>
    <row r="5361" spans="1:3" x14ac:dyDescent="0.3">
      <c r="A5361">
        <v>65806</v>
      </c>
      <c r="B5361">
        <v>1</v>
      </c>
      <c r="C5361">
        <v>8</v>
      </c>
    </row>
    <row r="5362" spans="1:3" x14ac:dyDescent="0.3">
      <c r="A5362">
        <v>34501</v>
      </c>
      <c r="B5362">
        <v>1</v>
      </c>
      <c r="C5362">
        <v>16</v>
      </c>
    </row>
    <row r="5363" spans="1:3" x14ac:dyDescent="0.3">
      <c r="A5363">
        <v>34769</v>
      </c>
      <c r="B5363">
        <v>1</v>
      </c>
      <c r="C5363">
        <v>16</v>
      </c>
    </row>
    <row r="5364" spans="1:3" x14ac:dyDescent="0.3">
      <c r="A5364">
        <v>34770</v>
      </c>
      <c r="B5364">
        <v>1</v>
      </c>
      <c r="C5364">
        <v>8</v>
      </c>
    </row>
    <row r="5365" spans="1:3" x14ac:dyDescent="0.3">
      <c r="A5365">
        <v>64806</v>
      </c>
      <c r="B5365">
        <v>1</v>
      </c>
      <c r="C5365">
        <v>8</v>
      </c>
    </row>
    <row r="5366" spans="1:3" x14ac:dyDescent="0.3">
      <c r="A5366">
        <v>64803</v>
      </c>
      <c r="B5366">
        <v>1</v>
      </c>
      <c r="C5366">
        <v>8</v>
      </c>
    </row>
    <row r="5367" spans="1:3" x14ac:dyDescent="0.3">
      <c r="A5367">
        <v>64183</v>
      </c>
      <c r="B5367">
        <v>1</v>
      </c>
      <c r="C5367">
        <v>8</v>
      </c>
    </row>
    <row r="5368" spans="1:3" x14ac:dyDescent="0.3">
      <c r="A5368">
        <v>64016</v>
      </c>
      <c r="B5368">
        <v>1</v>
      </c>
      <c r="C5368">
        <v>8</v>
      </c>
    </row>
    <row r="5369" spans="1:3" x14ac:dyDescent="0.3">
      <c r="A5369">
        <v>63820</v>
      </c>
      <c r="B5369">
        <v>1</v>
      </c>
      <c r="C5369">
        <v>8</v>
      </c>
    </row>
    <row r="5370" spans="1:3" x14ac:dyDescent="0.3">
      <c r="A5370">
        <v>63569</v>
      </c>
      <c r="B5370">
        <v>1</v>
      </c>
      <c r="C5370">
        <v>8</v>
      </c>
    </row>
    <row r="5371" spans="1:3" x14ac:dyDescent="0.3">
      <c r="A5371">
        <v>63161</v>
      </c>
      <c r="B5371">
        <v>1</v>
      </c>
      <c r="C5371">
        <v>8</v>
      </c>
    </row>
    <row r="5372" spans="1:3" x14ac:dyDescent="0.3">
      <c r="A5372">
        <v>36404</v>
      </c>
      <c r="B5372">
        <v>1</v>
      </c>
      <c r="C5372">
        <v>8</v>
      </c>
    </row>
    <row r="5373" spans="1:3" x14ac:dyDescent="0.3">
      <c r="A5373">
        <v>62006</v>
      </c>
      <c r="B5373">
        <v>2</v>
      </c>
      <c r="C5373">
        <v>8</v>
      </c>
    </row>
    <row r="5374" spans="1:3" x14ac:dyDescent="0.3">
      <c r="A5374">
        <v>62000</v>
      </c>
      <c r="B5374">
        <v>1</v>
      </c>
      <c r="C5374">
        <v>8</v>
      </c>
    </row>
    <row r="5375" spans="1:3" x14ac:dyDescent="0.3">
      <c r="A5375">
        <v>61895</v>
      </c>
      <c r="B5375">
        <v>1</v>
      </c>
      <c r="C5375">
        <v>8</v>
      </c>
    </row>
    <row r="5376" spans="1:3" x14ac:dyDescent="0.3">
      <c r="A5376">
        <v>61523</v>
      </c>
      <c r="B5376">
        <v>1</v>
      </c>
      <c r="C5376">
        <v>8</v>
      </c>
    </row>
    <row r="5377" spans="1:3" x14ac:dyDescent="0.3">
      <c r="A5377">
        <v>37015</v>
      </c>
      <c r="B5377">
        <v>3</v>
      </c>
      <c r="C5377">
        <v>16</v>
      </c>
    </row>
    <row r="5378" spans="1:3" x14ac:dyDescent="0.3">
      <c r="A5378">
        <v>37179</v>
      </c>
      <c r="B5378">
        <v>1</v>
      </c>
      <c r="C5378">
        <v>8</v>
      </c>
    </row>
    <row r="5379" spans="1:3" x14ac:dyDescent="0.3">
      <c r="A5379">
        <v>37180</v>
      </c>
      <c r="B5379">
        <v>3</v>
      </c>
      <c r="C5379">
        <v>8</v>
      </c>
    </row>
    <row r="5380" spans="1:3" x14ac:dyDescent="0.3">
      <c r="A5380">
        <v>61239</v>
      </c>
      <c r="B5380">
        <v>2</v>
      </c>
      <c r="C5380">
        <v>16</v>
      </c>
    </row>
    <row r="5381" spans="1:3" x14ac:dyDescent="0.3">
      <c r="A5381">
        <v>60733</v>
      </c>
      <c r="B5381">
        <v>1</v>
      </c>
      <c r="C5381">
        <v>8</v>
      </c>
    </row>
    <row r="5382" spans="1:3" x14ac:dyDescent="0.3">
      <c r="A5382">
        <v>60211</v>
      </c>
      <c r="B5382">
        <v>1</v>
      </c>
      <c r="C5382">
        <v>8</v>
      </c>
    </row>
    <row r="5383" spans="1:3" x14ac:dyDescent="0.3">
      <c r="A5383">
        <v>60126</v>
      </c>
      <c r="B5383">
        <v>1</v>
      </c>
      <c r="C5383">
        <v>8</v>
      </c>
    </row>
    <row r="5384" spans="1:3" x14ac:dyDescent="0.3">
      <c r="A5384">
        <v>59726</v>
      </c>
      <c r="B5384">
        <v>1</v>
      </c>
      <c r="C5384">
        <v>8</v>
      </c>
    </row>
    <row r="5385" spans="1:3" x14ac:dyDescent="0.3">
      <c r="A5385">
        <v>59725</v>
      </c>
      <c r="B5385">
        <v>4</v>
      </c>
      <c r="C5385">
        <v>16</v>
      </c>
    </row>
    <row r="5386" spans="1:3" x14ac:dyDescent="0.3">
      <c r="A5386">
        <v>59062</v>
      </c>
      <c r="B5386">
        <v>1</v>
      </c>
      <c r="C5386">
        <v>8</v>
      </c>
    </row>
    <row r="5387" spans="1:3" x14ac:dyDescent="0.3">
      <c r="A5387">
        <v>58948</v>
      </c>
      <c r="B5387">
        <v>1</v>
      </c>
      <c r="C5387">
        <v>8</v>
      </c>
    </row>
    <row r="5388" spans="1:3" x14ac:dyDescent="0.3">
      <c r="A5388">
        <v>39117</v>
      </c>
      <c r="B5388">
        <v>2</v>
      </c>
      <c r="C5388">
        <v>16</v>
      </c>
    </row>
    <row r="5389" spans="1:3" x14ac:dyDescent="0.3">
      <c r="A5389">
        <v>58568</v>
      </c>
      <c r="B5389">
        <v>2</v>
      </c>
      <c r="C5389">
        <v>16</v>
      </c>
    </row>
    <row r="5390" spans="1:3" x14ac:dyDescent="0.3">
      <c r="A5390">
        <v>58566</v>
      </c>
      <c r="B5390">
        <v>1</v>
      </c>
      <c r="C5390">
        <v>16</v>
      </c>
    </row>
    <row r="5391" spans="1:3" x14ac:dyDescent="0.3">
      <c r="A5391">
        <v>39300</v>
      </c>
      <c r="B5391">
        <v>1</v>
      </c>
      <c r="C5391">
        <v>8</v>
      </c>
    </row>
    <row r="5392" spans="1:3" x14ac:dyDescent="0.3">
      <c r="A5392">
        <v>39488</v>
      </c>
      <c r="B5392">
        <v>1</v>
      </c>
      <c r="C5392">
        <v>8</v>
      </c>
    </row>
    <row r="5393" spans="1:3" x14ac:dyDescent="0.3">
      <c r="A5393">
        <v>39489</v>
      </c>
      <c r="B5393">
        <v>1</v>
      </c>
      <c r="C5393">
        <v>8</v>
      </c>
    </row>
    <row r="5394" spans="1:3" x14ac:dyDescent="0.3">
      <c r="A5394">
        <v>57561</v>
      </c>
      <c r="B5394">
        <v>1</v>
      </c>
      <c r="C5394">
        <v>8</v>
      </c>
    </row>
    <row r="5395" spans="1:3" x14ac:dyDescent="0.3">
      <c r="A5395">
        <v>39967</v>
      </c>
      <c r="B5395">
        <v>2</v>
      </c>
      <c r="C5395">
        <v>8</v>
      </c>
    </row>
    <row r="5396" spans="1:3" x14ac:dyDescent="0.3">
      <c r="A5396">
        <v>56205</v>
      </c>
      <c r="B5396">
        <v>1</v>
      </c>
      <c r="C5396">
        <v>8</v>
      </c>
    </row>
    <row r="5397" spans="1:3" x14ac:dyDescent="0.3">
      <c r="A5397">
        <v>56203</v>
      </c>
      <c r="B5397">
        <v>1</v>
      </c>
      <c r="C5397">
        <v>16</v>
      </c>
    </row>
    <row r="5398" spans="1:3" x14ac:dyDescent="0.3">
      <c r="A5398">
        <v>55680</v>
      </c>
      <c r="B5398">
        <v>2</v>
      </c>
      <c r="C5398">
        <v>16</v>
      </c>
    </row>
    <row r="5399" spans="1:3" x14ac:dyDescent="0.3">
      <c r="A5399">
        <v>40446</v>
      </c>
      <c r="B5399">
        <v>1</v>
      </c>
      <c r="C5399">
        <v>8</v>
      </c>
    </row>
    <row r="5400" spans="1:3" x14ac:dyDescent="0.3">
      <c r="A5400">
        <v>54528</v>
      </c>
      <c r="B5400">
        <v>1</v>
      </c>
      <c r="C5400">
        <v>16</v>
      </c>
    </row>
    <row r="5401" spans="1:3" x14ac:dyDescent="0.3">
      <c r="A5401">
        <v>54280</v>
      </c>
      <c r="B5401">
        <v>1</v>
      </c>
      <c r="C5401">
        <v>8</v>
      </c>
    </row>
    <row r="5402" spans="1:3" x14ac:dyDescent="0.3">
      <c r="A5402">
        <v>41145</v>
      </c>
      <c r="B5402">
        <v>1</v>
      </c>
      <c r="C5402">
        <v>16</v>
      </c>
    </row>
    <row r="5403" spans="1:3" x14ac:dyDescent="0.3">
      <c r="A5403">
        <v>41146</v>
      </c>
      <c r="B5403">
        <v>1</v>
      </c>
      <c r="C5403">
        <v>8</v>
      </c>
    </row>
    <row r="5404" spans="1:3" x14ac:dyDescent="0.3">
      <c r="A5404">
        <v>53849</v>
      </c>
      <c r="B5404">
        <v>1</v>
      </c>
      <c r="C5404">
        <v>8</v>
      </c>
    </row>
    <row r="5405" spans="1:3" x14ac:dyDescent="0.3">
      <c r="A5405">
        <v>53822</v>
      </c>
      <c r="B5405">
        <v>1</v>
      </c>
      <c r="C5405">
        <v>16</v>
      </c>
    </row>
    <row r="5406" spans="1:3" x14ac:dyDescent="0.3">
      <c r="A5406">
        <v>41321</v>
      </c>
      <c r="B5406">
        <v>2</v>
      </c>
      <c r="C5406">
        <v>16</v>
      </c>
    </row>
    <row r="5407" spans="1:3" x14ac:dyDescent="0.3">
      <c r="A5407">
        <v>53538</v>
      </c>
      <c r="B5407">
        <v>1</v>
      </c>
      <c r="C5407">
        <v>8</v>
      </c>
    </row>
    <row r="5408" spans="1:3" x14ac:dyDescent="0.3">
      <c r="A5408">
        <v>53517</v>
      </c>
      <c r="B5408">
        <v>1</v>
      </c>
      <c r="C5408">
        <v>16</v>
      </c>
    </row>
    <row r="5409" spans="1:3" x14ac:dyDescent="0.3">
      <c r="A5409">
        <v>53043</v>
      </c>
      <c r="B5409">
        <v>1</v>
      </c>
      <c r="C5409">
        <v>16</v>
      </c>
    </row>
    <row r="5410" spans="1:3" x14ac:dyDescent="0.3">
      <c r="A5410">
        <v>52905</v>
      </c>
      <c r="B5410">
        <v>1</v>
      </c>
      <c r="C5410">
        <v>16</v>
      </c>
    </row>
    <row r="5411" spans="1:3" x14ac:dyDescent="0.3">
      <c r="A5411">
        <v>52581</v>
      </c>
      <c r="B5411">
        <v>1</v>
      </c>
      <c r="C5411">
        <v>8</v>
      </c>
    </row>
    <row r="5412" spans="1:3" x14ac:dyDescent="0.3">
      <c r="A5412">
        <v>52580</v>
      </c>
      <c r="B5412">
        <v>2</v>
      </c>
      <c r="C5412">
        <v>16</v>
      </c>
    </row>
    <row r="5413" spans="1:3" x14ac:dyDescent="0.3">
      <c r="A5413">
        <v>42200</v>
      </c>
      <c r="B5413">
        <v>1</v>
      </c>
      <c r="C5413">
        <v>16</v>
      </c>
    </row>
    <row r="5414" spans="1:3" x14ac:dyDescent="0.3">
      <c r="A5414">
        <v>42417</v>
      </c>
      <c r="B5414">
        <v>1</v>
      </c>
      <c r="C5414">
        <v>8</v>
      </c>
    </row>
    <row r="5415" spans="1:3" x14ac:dyDescent="0.3">
      <c r="A5415">
        <v>51320</v>
      </c>
      <c r="B5415">
        <v>2</v>
      </c>
      <c r="C5415">
        <v>8</v>
      </c>
    </row>
    <row r="5416" spans="1:3" x14ac:dyDescent="0.3">
      <c r="A5416">
        <v>50042</v>
      </c>
      <c r="B5416">
        <v>1</v>
      </c>
      <c r="C5416">
        <v>16</v>
      </c>
    </row>
    <row r="5417" spans="1:3" x14ac:dyDescent="0.3">
      <c r="A5417">
        <v>45685</v>
      </c>
      <c r="B5417">
        <v>1</v>
      </c>
      <c r="C5417">
        <v>8</v>
      </c>
    </row>
    <row r="5418" spans="1:3" x14ac:dyDescent="0.3">
      <c r="A5418">
        <v>48858</v>
      </c>
      <c r="B5418">
        <v>1</v>
      </c>
      <c r="C5418">
        <v>8</v>
      </c>
    </row>
    <row r="5419" spans="1:3" x14ac:dyDescent="0.3">
      <c r="A5419">
        <v>45908</v>
      </c>
      <c r="B5419">
        <v>1</v>
      </c>
      <c r="C5419">
        <v>16</v>
      </c>
    </row>
    <row r="5420" spans="1:3" x14ac:dyDescent="0.3">
      <c r="A5420">
        <v>48410</v>
      </c>
      <c r="B5420">
        <v>2</v>
      </c>
      <c r="C5420">
        <v>16</v>
      </c>
    </row>
    <row r="5421" spans="1:3" x14ac:dyDescent="0.3">
      <c r="A5421">
        <v>46250</v>
      </c>
      <c r="B5421">
        <v>1</v>
      </c>
      <c r="C5421">
        <v>8</v>
      </c>
    </row>
    <row r="5422" spans="1:3" x14ac:dyDescent="0.3">
      <c r="A5422">
        <v>46959</v>
      </c>
      <c r="B5422">
        <v>1</v>
      </c>
      <c r="C5422">
        <v>16</v>
      </c>
    </row>
    <row r="5423" spans="1:3" x14ac:dyDescent="0.3">
      <c r="A5423">
        <v>46873</v>
      </c>
      <c r="B5423">
        <v>2</v>
      </c>
      <c r="C5423">
        <v>16</v>
      </c>
    </row>
    <row r="5424" spans="1:3" x14ac:dyDescent="0.3">
      <c r="A5424">
        <v>10986</v>
      </c>
      <c r="B5424">
        <v>2</v>
      </c>
      <c r="C5424">
        <v>16</v>
      </c>
    </row>
    <row r="5425" spans="1:3" x14ac:dyDescent="0.3">
      <c r="A5425">
        <v>10986</v>
      </c>
      <c r="B5425">
        <v>2</v>
      </c>
      <c r="C5425">
        <v>16</v>
      </c>
    </row>
    <row r="5426" spans="1:3" x14ac:dyDescent="0.3">
      <c r="A5426">
        <v>11471</v>
      </c>
      <c r="B5426">
        <v>2</v>
      </c>
      <c r="C5426">
        <v>16</v>
      </c>
    </row>
    <row r="5427" spans="1:3" x14ac:dyDescent="0.3">
      <c r="A5427">
        <v>11471</v>
      </c>
      <c r="B5427">
        <v>2</v>
      </c>
      <c r="C5427">
        <v>16</v>
      </c>
    </row>
    <row r="5428" spans="1:3" x14ac:dyDescent="0.3">
      <c r="A5428">
        <v>11895</v>
      </c>
      <c r="B5428">
        <v>2</v>
      </c>
      <c r="C5428">
        <v>16</v>
      </c>
    </row>
    <row r="5429" spans="1:3" x14ac:dyDescent="0.3">
      <c r="A5429">
        <v>14731</v>
      </c>
      <c r="B5429">
        <v>2</v>
      </c>
      <c r="C5429">
        <v>8</v>
      </c>
    </row>
    <row r="5430" spans="1:3" x14ac:dyDescent="0.3">
      <c r="A5430">
        <v>14731</v>
      </c>
      <c r="B5430">
        <v>2</v>
      </c>
      <c r="C5430">
        <v>8</v>
      </c>
    </row>
    <row r="5431" spans="1:3" x14ac:dyDescent="0.3">
      <c r="A5431">
        <v>77221</v>
      </c>
      <c r="B5431">
        <v>3</v>
      </c>
      <c r="C5431">
        <v>8</v>
      </c>
    </row>
    <row r="5432" spans="1:3" x14ac:dyDescent="0.3">
      <c r="A5432">
        <v>77221</v>
      </c>
      <c r="B5432">
        <v>3</v>
      </c>
      <c r="C5432">
        <v>8</v>
      </c>
    </row>
    <row r="5433" spans="1:3" x14ac:dyDescent="0.3">
      <c r="A5433">
        <v>77221</v>
      </c>
      <c r="B5433">
        <v>3</v>
      </c>
      <c r="C5433">
        <v>8</v>
      </c>
    </row>
    <row r="5434" spans="1:3" x14ac:dyDescent="0.3">
      <c r="A5434">
        <v>23118</v>
      </c>
      <c r="B5434">
        <v>2</v>
      </c>
      <c r="C5434">
        <v>16</v>
      </c>
    </row>
    <row r="5435" spans="1:3" x14ac:dyDescent="0.3">
      <c r="A5435">
        <v>23118</v>
      </c>
      <c r="B5435">
        <v>2</v>
      </c>
      <c r="C5435">
        <v>16</v>
      </c>
    </row>
    <row r="5436" spans="1:3" x14ac:dyDescent="0.3">
      <c r="A5436">
        <v>23123</v>
      </c>
      <c r="B5436">
        <v>2</v>
      </c>
      <c r="C5436">
        <v>16</v>
      </c>
    </row>
    <row r="5437" spans="1:3" x14ac:dyDescent="0.3">
      <c r="A5437">
        <v>23123</v>
      </c>
      <c r="B5437">
        <v>2</v>
      </c>
      <c r="C5437">
        <v>16</v>
      </c>
    </row>
    <row r="5438" spans="1:3" x14ac:dyDescent="0.3">
      <c r="A5438">
        <v>26988</v>
      </c>
      <c r="B5438">
        <v>2</v>
      </c>
      <c r="C5438">
        <v>16</v>
      </c>
    </row>
    <row r="5439" spans="1:3" x14ac:dyDescent="0.3">
      <c r="A5439">
        <v>26988</v>
      </c>
      <c r="B5439">
        <v>2</v>
      </c>
      <c r="C5439">
        <v>16</v>
      </c>
    </row>
    <row r="5440" spans="1:3" x14ac:dyDescent="0.3">
      <c r="A5440">
        <v>33042</v>
      </c>
      <c r="B5440">
        <v>2</v>
      </c>
      <c r="C5440">
        <v>16</v>
      </c>
    </row>
    <row r="5441" spans="1:3" x14ac:dyDescent="0.3">
      <c r="A5441">
        <v>33042</v>
      </c>
      <c r="B5441">
        <v>2</v>
      </c>
      <c r="C5441">
        <v>16</v>
      </c>
    </row>
    <row r="5442" spans="1:3" x14ac:dyDescent="0.3">
      <c r="A5442">
        <v>34846</v>
      </c>
      <c r="B5442">
        <v>2</v>
      </c>
      <c r="C5442">
        <v>8</v>
      </c>
    </row>
    <row r="5443" spans="1:3" x14ac:dyDescent="0.3">
      <c r="A5443">
        <v>34846</v>
      </c>
      <c r="B5443">
        <v>2</v>
      </c>
      <c r="C5443">
        <v>8</v>
      </c>
    </row>
    <row r="5444" spans="1:3" x14ac:dyDescent="0.3">
      <c r="A5444">
        <v>38509</v>
      </c>
      <c r="B5444">
        <v>2</v>
      </c>
      <c r="C5444">
        <v>16</v>
      </c>
    </row>
    <row r="5445" spans="1:3" x14ac:dyDescent="0.3">
      <c r="A5445">
        <v>38509</v>
      </c>
      <c r="B5445">
        <v>2</v>
      </c>
      <c r="C5445">
        <v>16</v>
      </c>
    </row>
    <row r="5446" spans="1:3" x14ac:dyDescent="0.3">
      <c r="A5446">
        <v>59529</v>
      </c>
      <c r="B5446">
        <v>2</v>
      </c>
      <c r="C5446">
        <v>16</v>
      </c>
    </row>
    <row r="5447" spans="1:3" x14ac:dyDescent="0.3">
      <c r="A5447">
        <v>59529</v>
      </c>
      <c r="B5447">
        <v>2</v>
      </c>
      <c r="C5447">
        <v>16</v>
      </c>
    </row>
    <row r="5448" spans="1:3" x14ac:dyDescent="0.3">
      <c r="A5448">
        <v>58950</v>
      </c>
      <c r="B5448">
        <v>2</v>
      </c>
      <c r="C5448">
        <v>16</v>
      </c>
    </row>
    <row r="5449" spans="1:3" x14ac:dyDescent="0.3">
      <c r="A5449">
        <v>58950</v>
      </c>
      <c r="B5449">
        <v>2</v>
      </c>
      <c r="C5449">
        <v>16</v>
      </c>
    </row>
    <row r="5450" spans="1:3" x14ac:dyDescent="0.3">
      <c r="A5450">
        <v>53834</v>
      </c>
      <c r="B5450">
        <v>2</v>
      </c>
      <c r="C5450">
        <v>16</v>
      </c>
    </row>
    <row r="5451" spans="1:3" x14ac:dyDescent="0.3">
      <c r="A5451">
        <v>53834</v>
      </c>
      <c r="B5451">
        <v>2</v>
      </c>
      <c r="C5451">
        <v>16</v>
      </c>
    </row>
    <row r="5452" spans="1:3" x14ac:dyDescent="0.3">
      <c r="A5452">
        <v>76445</v>
      </c>
      <c r="B5452">
        <v>1</v>
      </c>
      <c r="C5452">
        <v>8</v>
      </c>
    </row>
    <row r="5453" spans="1:3" x14ac:dyDescent="0.3">
      <c r="A5453">
        <v>31685</v>
      </c>
      <c r="B5453">
        <v>1</v>
      </c>
      <c r="C5453">
        <v>8</v>
      </c>
    </row>
    <row r="5454" spans="1:3" x14ac:dyDescent="0.3">
      <c r="A5454">
        <v>12381</v>
      </c>
      <c r="B5454">
        <v>2</v>
      </c>
      <c r="C5454">
        <v>16</v>
      </c>
    </row>
    <row r="5455" spans="1:3" x14ac:dyDescent="0.3">
      <c r="A5455">
        <v>18093</v>
      </c>
      <c r="B5455">
        <v>1</v>
      </c>
      <c r="C5455">
        <v>8</v>
      </c>
    </row>
    <row r="5456" spans="1:3" x14ac:dyDescent="0.3">
      <c r="A5456">
        <v>28851</v>
      </c>
      <c r="B5456">
        <v>2</v>
      </c>
      <c r="C5456">
        <v>16</v>
      </c>
    </row>
    <row r="5457" spans="1:3" x14ac:dyDescent="0.3">
      <c r="A5457">
        <v>31680</v>
      </c>
      <c r="B5457">
        <v>2</v>
      </c>
      <c r="C5457">
        <v>16</v>
      </c>
    </row>
    <row r="5458" spans="1:3" x14ac:dyDescent="0.3">
      <c r="A5458">
        <v>61332</v>
      </c>
      <c r="B5458">
        <v>1</v>
      </c>
      <c r="C5458">
        <v>16</v>
      </c>
    </row>
    <row r="5459" spans="1:3" x14ac:dyDescent="0.3">
      <c r="A5459">
        <v>41095</v>
      </c>
      <c r="B5459">
        <v>1</v>
      </c>
      <c r="C5459">
        <v>8</v>
      </c>
    </row>
    <row r="5460" spans="1:3" x14ac:dyDescent="0.3">
      <c r="A5460">
        <v>47364</v>
      </c>
      <c r="B5460">
        <v>1</v>
      </c>
      <c r="C5460">
        <v>8</v>
      </c>
    </row>
    <row r="5461" spans="1:3" x14ac:dyDescent="0.3">
      <c r="A5461">
        <v>69533</v>
      </c>
      <c r="B5461">
        <v>2</v>
      </c>
      <c r="C5461">
        <v>16</v>
      </c>
    </row>
    <row r="5462" spans="1:3" x14ac:dyDescent="0.3">
      <c r="A5462">
        <v>69533</v>
      </c>
      <c r="B5462">
        <v>2</v>
      </c>
      <c r="C5462">
        <v>16</v>
      </c>
    </row>
    <row r="5463" spans="1:3" x14ac:dyDescent="0.3">
      <c r="A5463">
        <v>68510</v>
      </c>
      <c r="B5463">
        <v>2</v>
      </c>
      <c r="C5463">
        <v>16</v>
      </c>
    </row>
    <row r="5464" spans="1:3" x14ac:dyDescent="0.3">
      <c r="A5464">
        <v>79509</v>
      </c>
      <c r="B5464">
        <v>2</v>
      </c>
      <c r="C5464">
        <v>8</v>
      </c>
    </row>
    <row r="5465" spans="1:3" x14ac:dyDescent="0.3">
      <c r="A5465">
        <v>79377</v>
      </c>
      <c r="B5465">
        <v>1</v>
      </c>
      <c r="C5465">
        <v>8</v>
      </c>
    </row>
    <row r="5466" spans="1:3" x14ac:dyDescent="0.3">
      <c r="A5466">
        <v>79069</v>
      </c>
      <c r="B5466">
        <v>2</v>
      </c>
      <c r="C5466">
        <v>8</v>
      </c>
    </row>
    <row r="5467" spans="1:3" x14ac:dyDescent="0.3">
      <c r="A5467">
        <v>78626</v>
      </c>
      <c r="B5467">
        <v>2</v>
      </c>
      <c r="C5467">
        <v>8</v>
      </c>
    </row>
    <row r="5468" spans="1:3" x14ac:dyDescent="0.3">
      <c r="A5468">
        <v>78348</v>
      </c>
      <c r="B5468">
        <v>1</v>
      </c>
      <c r="C5468">
        <v>8</v>
      </c>
    </row>
    <row r="5469" spans="1:3" x14ac:dyDescent="0.3">
      <c r="A5469">
        <v>78295</v>
      </c>
      <c r="B5469">
        <v>1</v>
      </c>
      <c r="C5469">
        <v>8</v>
      </c>
    </row>
    <row r="5470" spans="1:3" x14ac:dyDescent="0.3">
      <c r="A5470">
        <v>78275</v>
      </c>
      <c r="B5470">
        <v>1</v>
      </c>
      <c r="C5470">
        <v>8</v>
      </c>
    </row>
    <row r="5471" spans="1:3" x14ac:dyDescent="0.3">
      <c r="A5471">
        <v>77957</v>
      </c>
      <c r="B5471">
        <v>1</v>
      </c>
      <c r="C5471">
        <v>8</v>
      </c>
    </row>
    <row r="5472" spans="1:3" x14ac:dyDescent="0.3">
      <c r="A5472">
        <v>77895</v>
      </c>
      <c r="B5472">
        <v>2</v>
      </c>
      <c r="C5472">
        <v>8</v>
      </c>
    </row>
    <row r="5473" spans="1:3" x14ac:dyDescent="0.3">
      <c r="A5473">
        <v>77828</v>
      </c>
      <c r="B5473">
        <v>2</v>
      </c>
      <c r="C5473">
        <v>8</v>
      </c>
    </row>
    <row r="5474" spans="1:3" x14ac:dyDescent="0.3">
      <c r="A5474">
        <v>77659</v>
      </c>
      <c r="B5474">
        <v>1</v>
      </c>
      <c r="C5474">
        <v>8</v>
      </c>
    </row>
    <row r="5475" spans="1:3" x14ac:dyDescent="0.3">
      <c r="A5475">
        <v>77616</v>
      </c>
      <c r="B5475">
        <v>1</v>
      </c>
      <c r="C5475">
        <v>8</v>
      </c>
    </row>
    <row r="5476" spans="1:3" x14ac:dyDescent="0.3">
      <c r="A5476">
        <v>77347</v>
      </c>
      <c r="B5476">
        <v>1</v>
      </c>
      <c r="C5476">
        <v>8</v>
      </c>
    </row>
    <row r="5477" spans="1:3" x14ac:dyDescent="0.3">
      <c r="A5477">
        <v>77343</v>
      </c>
      <c r="B5477">
        <v>1</v>
      </c>
      <c r="C5477">
        <v>8</v>
      </c>
    </row>
    <row r="5478" spans="1:3" x14ac:dyDescent="0.3">
      <c r="A5478">
        <v>77107</v>
      </c>
      <c r="B5478">
        <v>1</v>
      </c>
      <c r="C5478">
        <v>8</v>
      </c>
    </row>
    <row r="5479" spans="1:3" x14ac:dyDescent="0.3">
      <c r="A5479">
        <v>19049</v>
      </c>
      <c r="B5479">
        <v>2</v>
      </c>
      <c r="C5479">
        <v>8</v>
      </c>
    </row>
    <row r="5480" spans="1:3" x14ac:dyDescent="0.3">
      <c r="A5480">
        <v>20750</v>
      </c>
      <c r="B5480">
        <v>1</v>
      </c>
      <c r="C5480">
        <v>8</v>
      </c>
    </row>
    <row r="5481" spans="1:3" x14ac:dyDescent="0.3">
      <c r="A5481">
        <v>76417</v>
      </c>
      <c r="B5481">
        <v>1</v>
      </c>
      <c r="C5481">
        <v>8</v>
      </c>
    </row>
    <row r="5482" spans="1:3" x14ac:dyDescent="0.3">
      <c r="A5482">
        <v>76235</v>
      </c>
      <c r="B5482">
        <v>1</v>
      </c>
      <c r="C5482">
        <v>8</v>
      </c>
    </row>
    <row r="5483" spans="1:3" x14ac:dyDescent="0.3">
      <c r="A5483">
        <v>21485</v>
      </c>
      <c r="B5483">
        <v>3</v>
      </c>
      <c r="C5483">
        <v>16</v>
      </c>
    </row>
    <row r="5484" spans="1:3" x14ac:dyDescent="0.3">
      <c r="A5484">
        <v>22693</v>
      </c>
      <c r="B5484">
        <v>1</v>
      </c>
      <c r="C5484">
        <v>8</v>
      </c>
    </row>
    <row r="5485" spans="1:3" x14ac:dyDescent="0.3">
      <c r="A5485">
        <v>23561</v>
      </c>
      <c r="B5485">
        <v>1</v>
      </c>
      <c r="C5485">
        <v>16</v>
      </c>
    </row>
    <row r="5486" spans="1:3" x14ac:dyDescent="0.3">
      <c r="A5486">
        <v>24838</v>
      </c>
      <c r="B5486">
        <v>1</v>
      </c>
      <c r="C5486">
        <v>8</v>
      </c>
    </row>
    <row r="5487" spans="1:3" x14ac:dyDescent="0.3">
      <c r="A5487">
        <v>24993</v>
      </c>
      <c r="B5487">
        <v>1</v>
      </c>
      <c r="C5487">
        <v>8</v>
      </c>
    </row>
    <row r="5488" spans="1:3" x14ac:dyDescent="0.3">
      <c r="A5488">
        <v>74593</v>
      </c>
      <c r="B5488">
        <v>2</v>
      </c>
      <c r="C5488">
        <v>16</v>
      </c>
    </row>
    <row r="5489" spans="1:3" x14ac:dyDescent="0.3">
      <c r="A5489">
        <v>74474</v>
      </c>
      <c r="B5489">
        <v>2</v>
      </c>
      <c r="C5489">
        <v>8</v>
      </c>
    </row>
    <row r="5490" spans="1:3" x14ac:dyDescent="0.3">
      <c r="A5490">
        <v>74334</v>
      </c>
      <c r="B5490">
        <v>1</v>
      </c>
      <c r="C5490">
        <v>8</v>
      </c>
    </row>
    <row r="5491" spans="1:3" x14ac:dyDescent="0.3">
      <c r="A5491">
        <v>74281</v>
      </c>
      <c r="B5491">
        <v>1</v>
      </c>
      <c r="C5491">
        <v>8</v>
      </c>
    </row>
    <row r="5492" spans="1:3" x14ac:dyDescent="0.3">
      <c r="A5492">
        <v>25923</v>
      </c>
      <c r="B5492">
        <v>1</v>
      </c>
      <c r="C5492">
        <v>8</v>
      </c>
    </row>
    <row r="5493" spans="1:3" x14ac:dyDescent="0.3">
      <c r="A5493">
        <v>26382</v>
      </c>
      <c r="B5493">
        <v>1</v>
      </c>
      <c r="C5493">
        <v>8</v>
      </c>
    </row>
    <row r="5494" spans="1:3" x14ac:dyDescent="0.3">
      <c r="A5494">
        <v>26388</v>
      </c>
      <c r="B5494">
        <v>2</v>
      </c>
      <c r="C5494">
        <v>16</v>
      </c>
    </row>
    <row r="5495" spans="1:3" x14ac:dyDescent="0.3">
      <c r="A5495">
        <v>27173</v>
      </c>
      <c r="B5495">
        <v>2</v>
      </c>
      <c r="C5495">
        <v>16</v>
      </c>
    </row>
    <row r="5496" spans="1:3" x14ac:dyDescent="0.3">
      <c r="A5496">
        <v>72903</v>
      </c>
      <c r="B5496">
        <v>1</v>
      </c>
      <c r="C5496">
        <v>8</v>
      </c>
    </row>
    <row r="5497" spans="1:3" x14ac:dyDescent="0.3">
      <c r="A5497">
        <v>72612</v>
      </c>
      <c r="B5497">
        <v>1</v>
      </c>
      <c r="C5497">
        <v>8</v>
      </c>
    </row>
    <row r="5498" spans="1:3" x14ac:dyDescent="0.3">
      <c r="A5498">
        <v>72058</v>
      </c>
      <c r="B5498">
        <v>2</v>
      </c>
      <c r="C5498">
        <v>8</v>
      </c>
    </row>
    <row r="5499" spans="1:3" x14ac:dyDescent="0.3">
      <c r="A5499">
        <v>71619</v>
      </c>
      <c r="B5499">
        <v>1</v>
      </c>
      <c r="C5499">
        <v>8</v>
      </c>
    </row>
    <row r="5500" spans="1:3" x14ac:dyDescent="0.3">
      <c r="A5500">
        <v>29271</v>
      </c>
      <c r="B5500">
        <v>2</v>
      </c>
      <c r="C5500">
        <v>8</v>
      </c>
    </row>
    <row r="5501" spans="1:3" x14ac:dyDescent="0.3">
      <c r="A5501">
        <v>71336</v>
      </c>
      <c r="B5501">
        <v>2</v>
      </c>
      <c r="C5501">
        <v>16</v>
      </c>
    </row>
    <row r="5502" spans="1:3" x14ac:dyDescent="0.3">
      <c r="A5502">
        <v>29576</v>
      </c>
      <c r="B5502">
        <v>1</v>
      </c>
      <c r="C5502">
        <v>8</v>
      </c>
    </row>
    <row r="5503" spans="1:3" x14ac:dyDescent="0.3">
      <c r="A5503">
        <v>29825</v>
      </c>
      <c r="B5503">
        <v>1</v>
      </c>
      <c r="C5503">
        <v>16</v>
      </c>
    </row>
    <row r="5504" spans="1:3" x14ac:dyDescent="0.3">
      <c r="A5504">
        <v>70841</v>
      </c>
      <c r="B5504">
        <v>1</v>
      </c>
      <c r="C5504">
        <v>8</v>
      </c>
    </row>
    <row r="5505" spans="1:3" x14ac:dyDescent="0.3">
      <c r="A5505">
        <v>70180</v>
      </c>
      <c r="B5505">
        <v>1</v>
      </c>
      <c r="C5505">
        <v>8</v>
      </c>
    </row>
    <row r="5506" spans="1:3" x14ac:dyDescent="0.3">
      <c r="A5506">
        <v>30801</v>
      </c>
      <c r="B5506">
        <v>2</v>
      </c>
      <c r="C5506">
        <v>16</v>
      </c>
    </row>
    <row r="5507" spans="1:3" x14ac:dyDescent="0.3">
      <c r="A5507">
        <v>31198</v>
      </c>
      <c r="B5507">
        <v>2</v>
      </c>
      <c r="C5507">
        <v>16</v>
      </c>
    </row>
    <row r="5508" spans="1:3" x14ac:dyDescent="0.3">
      <c r="A5508">
        <v>69175</v>
      </c>
      <c r="B5508">
        <v>1</v>
      </c>
      <c r="C5508">
        <v>8</v>
      </c>
    </row>
    <row r="5509" spans="1:3" x14ac:dyDescent="0.3">
      <c r="A5509">
        <v>69050</v>
      </c>
      <c r="B5509">
        <v>2</v>
      </c>
      <c r="C5509">
        <v>16</v>
      </c>
    </row>
    <row r="5510" spans="1:3" x14ac:dyDescent="0.3">
      <c r="A5510">
        <v>31397</v>
      </c>
      <c r="B5510">
        <v>1</v>
      </c>
      <c r="C5510">
        <v>8</v>
      </c>
    </row>
    <row r="5511" spans="1:3" x14ac:dyDescent="0.3">
      <c r="A5511">
        <v>68532</v>
      </c>
      <c r="B5511">
        <v>1</v>
      </c>
      <c r="C5511">
        <v>8</v>
      </c>
    </row>
    <row r="5512" spans="1:3" x14ac:dyDescent="0.3">
      <c r="A5512">
        <v>31898</v>
      </c>
      <c r="B5512">
        <v>2</v>
      </c>
      <c r="C5512">
        <v>8</v>
      </c>
    </row>
    <row r="5513" spans="1:3" x14ac:dyDescent="0.3">
      <c r="A5513">
        <v>32014</v>
      </c>
      <c r="B5513">
        <v>2</v>
      </c>
      <c r="C5513">
        <v>8</v>
      </c>
    </row>
    <row r="5514" spans="1:3" x14ac:dyDescent="0.3">
      <c r="A5514">
        <v>32350</v>
      </c>
      <c r="B5514">
        <v>2</v>
      </c>
      <c r="C5514">
        <v>8</v>
      </c>
    </row>
    <row r="5515" spans="1:3" x14ac:dyDescent="0.3">
      <c r="A5515">
        <v>67767</v>
      </c>
      <c r="B5515">
        <v>1</v>
      </c>
      <c r="C5515">
        <v>8</v>
      </c>
    </row>
    <row r="5516" spans="1:3" x14ac:dyDescent="0.3">
      <c r="A5516">
        <v>67374</v>
      </c>
      <c r="B5516">
        <v>1</v>
      </c>
      <c r="C5516">
        <v>8</v>
      </c>
    </row>
    <row r="5517" spans="1:3" x14ac:dyDescent="0.3">
      <c r="A5517">
        <v>33637</v>
      </c>
      <c r="B5517">
        <v>3</v>
      </c>
      <c r="C5517">
        <v>16</v>
      </c>
    </row>
    <row r="5518" spans="1:3" x14ac:dyDescent="0.3">
      <c r="A5518">
        <v>33885</v>
      </c>
      <c r="B5518">
        <v>1</v>
      </c>
      <c r="C5518">
        <v>8</v>
      </c>
    </row>
    <row r="5519" spans="1:3" x14ac:dyDescent="0.3">
      <c r="A5519">
        <v>66322</v>
      </c>
      <c r="B5519">
        <v>1</v>
      </c>
      <c r="C5519">
        <v>16</v>
      </c>
    </row>
    <row r="5520" spans="1:3" x14ac:dyDescent="0.3">
      <c r="A5520">
        <v>34206</v>
      </c>
      <c r="B5520">
        <v>1</v>
      </c>
      <c r="C5520">
        <v>8</v>
      </c>
    </row>
    <row r="5521" spans="1:3" x14ac:dyDescent="0.3">
      <c r="A5521">
        <v>34207</v>
      </c>
      <c r="B5521">
        <v>2</v>
      </c>
      <c r="C5521">
        <v>8</v>
      </c>
    </row>
    <row r="5522" spans="1:3" x14ac:dyDescent="0.3">
      <c r="A5522">
        <v>34862</v>
      </c>
      <c r="B5522">
        <v>1</v>
      </c>
      <c r="C5522">
        <v>16</v>
      </c>
    </row>
    <row r="5523" spans="1:3" x14ac:dyDescent="0.3">
      <c r="A5523">
        <v>64289</v>
      </c>
      <c r="B5523">
        <v>1</v>
      </c>
      <c r="C5523">
        <v>16</v>
      </c>
    </row>
    <row r="5524" spans="1:3" x14ac:dyDescent="0.3">
      <c r="A5524">
        <v>63930</v>
      </c>
      <c r="B5524">
        <v>1</v>
      </c>
      <c r="C5524">
        <v>8</v>
      </c>
    </row>
    <row r="5525" spans="1:3" x14ac:dyDescent="0.3">
      <c r="A5525">
        <v>35757</v>
      </c>
      <c r="B5525">
        <v>2</v>
      </c>
      <c r="C5525">
        <v>8</v>
      </c>
    </row>
    <row r="5526" spans="1:3" x14ac:dyDescent="0.3">
      <c r="A5526">
        <v>63459</v>
      </c>
      <c r="B5526">
        <v>1</v>
      </c>
      <c r="C5526">
        <v>8</v>
      </c>
    </row>
    <row r="5527" spans="1:3" x14ac:dyDescent="0.3">
      <c r="A5527">
        <v>63458</v>
      </c>
      <c r="B5527">
        <v>2</v>
      </c>
      <c r="C5527">
        <v>16</v>
      </c>
    </row>
    <row r="5528" spans="1:3" x14ac:dyDescent="0.3">
      <c r="A5528">
        <v>36002</v>
      </c>
      <c r="B5528">
        <v>2</v>
      </c>
      <c r="C5528">
        <v>8</v>
      </c>
    </row>
    <row r="5529" spans="1:3" x14ac:dyDescent="0.3">
      <c r="A5529">
        <v>62336</v>
      </c>
      <c r="B5529">
        <v>1</v>
      </c>
      <c r="C5529">
        <v>8</v>
      </c>
    </row>
    <row r="5530" spans="1:3" x14ac:dyDescent="0.3">
      <c r="A5530">
        <v>62335</v>
      </c>
      <c r="B5530">
        <v>1</v>
      </c>
      <c r="C5530">
        <v>16</v>
      </c>
    </row>
    <row r="5531" spans="1:3" x14ac:dyDescent="0.3">
      <c r="A5531">
        <v>61944</v>
      </c>
      <c r="B5531">
        <v>1</v>
      </c>
      <c r="C5531">
        <v>16</v>
      </c>
    </row>
    <row r="5532" spans="1:3" x14ac:dyDescent="0.3">
      <c r="A5532">
        <v>37338</v>
      </c>
      <c r="B5532">
        <v>1</v>
      </c>
      <c r="C5532">
        <v>8</v>
      </c>
    </row>
    <row r="5533" spans="1:3" x14ac:dyDescent="0.3">
      <c r="A5533">
        <v>61168</v>
      </c>
      <c r="B5533">
        <v>1</v>
      </c>
      <c r="C5533">
        <v>8</v>
      </c>
    </row>
    <row r="5534" spans="1:3" x14ac:dyDescent="0.3">
      <c r="A5534">
        <v>61055</v>
      </c>
      <c r="B5534">
        <v>1</v>
      </c>
      <c r="C5534">
        <v>8</v>
      </c>
    </row>
    <row r="5535" spans="1:3" x14ac:dyDescent="0.3">
      <c r="A5535">
        <v>38071</v>
      </c>
      <c r="B5535">
        <v>1</v>
      </c>
      <c r="C5535">
        <v>8</v>
      </c>
    </row>
    <row r="5536" spans="1:3" x14ac:dyDescent="0.3">
      <c r="A5536">
        <v>60341</v>
      </c>
      <c r="B5536">
        <v>1</v>
      </c>
      <c r="C5536">
        <v>8</v>
      </c>
    </row>
    <row r="5537" spans="1:3" x14ac:dyDescent="0.3">
      <c r="A5537">
        <v>38296</v>
      </c>
      <c r="B5537">
        <v>1</v>
      </c>
      <c r="C5537">
        <v>8</v>
      </c>
    </row>
    <row r="5538" spans="1:3" x14ac:dyDescent="0.3">
      <c r="A5538">
        <v>38440</v>
      </c>
      <c r="B5538">
        <v>1</v>
      </c>
      <c r="C5538">
        <v>8</v>
      </c>
    </row>
    <row r="5539" spans="1:3" x14ac:dyDescent="0.3">
      <c r="A5539">
        <v>38480</v>
      </c>
      <c r="B5539">
        <v>3</v>
      </c>
      <c r="C5539">
        <v>16</v>
      </c>
    </row>
    <row r="5540" spans="1:3" x14ac:dyDescent="0.3">
      <c r="A5540">
        <v>59849</v>
      </c>
      <c r="B5540">
        <v>1</v>
      </c>
      <c r="C5540">
        <v>8</v>
      </c>
    </row>
    <row r="5541" spans="1:3" x14ac:dyDescent="0.3">
      <c r="A5541">
        <v>38503</v>
      </c>
      <c r="B5541">
        <v>4</v>
      </c>
      <c r="C5541">
        <v>16</v>
      </c>
    </row>
    <row r="5542" spans="1:3" x14ac:dyDescent="0.3">
      <c r="A5542">
        <v>39104</v>
      </c>
      <c r="B5542">
        <v>1</v>
      </c>
      <c r="C5542">
        <v>8</v>
      </c>
    </row>
    <row r="5543" spans="1:3" x14ac:dyDescent="0.3">
      <c r="A5543">
        <v>39106</v>
      </c>
      <c r="B5543">
        <v>1</v>
      </c>
      <c r="C5543">
        <v>8</v>
      </c>
    </row>
    <row r="5544" spans="1:3" x14ac:dyDescent="0.3">
      <c r="A5544">
        <v>39107</v>
      </c>
      <c r="B5544">
        <v>1</v>
      </c>
      <c r="C5544">
        <v>8</v>
      </c>
    </row>
    <row r="5545" spans="1:3" x14ac:dyDescent="0.3">
      <c r="A5545">
        <v>39283</v>
      </c>
      <c r="B5545">
        <v>1</v>
      </c>
      <c r="C5545">
        <v>8</v>
      </c>
    </row>
    <row r="5546" spans="1:3" x14ac:dyDescent="0.3">
      <c r="A5546">
        <v>39408</v>
      </c>
      <c r="B5546">
        <v>3</v>
      </c>
      <c r="C5546">
        <v>16</v>
      </c>
    </row>
    <row r="5547" spans="1:3" x14ac:dyDescent="0.3">
      <c r="A5547">
        <v>56421</v>
      </c>
      <c r="B5547">
        <v>1</v>
      </c>
      <c r="C5547">
        <v>8</v>
      </c>
    </row>
    <row r="5548" spans="1:3" x14ac:dyDescent="0.3">
      <c r="A5548">
        <v>40423</v>
      </c>
      <c r="B5548">
        <v>1</v>
      </c>
      <c r="C5548">
        <v>8</v>
      </c>
    </row>
    <row r="5549" spans="1:3" x14ac:dyDescent="0.3">
      <c r="A5549">
        <v>40645</v>
      </c>
      <c r="B5549">
        <v>1</v>
      </c>
      <c r="C5549">
        <v>8</v>
      </c>
    </row>
    <row r="5550" spans="1:3" x14ac:dyDescent="0.3">
      <c r="A5550">
        <v>54891</v>
      </c>
      <c r="B5550">
        <v>1</v>
      </c>
      <c r="C5550">
        <v>8</v>
      </c>
    </row>
    <row r="5551" spans="1:3" x14ac:dyDescent="0.3">
      <c r="A5551">
        <v>54462</v>
      </c>
      <c r="B5551">
        <v>1</v>
      </c>
      <c r="C5551">
        <v>8</v>
      </c>
    </row>
    <row r="5552" spans="1:3" x14ac:dyDescent="0.3">
      <c r="A5552">
        <v>54268</v>
      </c>
      <c r="B5552">
        <v>1</v>
      </c>
      <c r="C5552">
        <v>8</v>
      </c>
    </row>
    <row r="5553" spans="1:3" x14ac:dyDescent="0.3">
      <c r="A5553">
        <v>54090</v>
      </c>
      <c r="B5553">
        <v>1</v>
      </c>
      <c r="C5553">
        <v>8</v>
      </c>
    </row>
    <row r="5554" spans="1:3" x14ac:dyDescent="0.3">
      <c r="A5554">
        <v>54085</v>
      </c>
      <c r="B5554">
        <v>1</v>
      </c>
      <c r="C5554">
        <v>8</v>
      </c>
    </row>
    <row r="5555" spans="1:3" x14ac:dyDescent="0.3">
      <c r="A5555">
        <v>53534</v>
      </c>
      <c r="B5555">
        <v>1</v>
      </c>
      <c r="C5555">
        <v>8</v>
      </c>
    </row>
    <row r="5556" spans="1:3" x14ac:dyDescent="0.3">
      <c r="A5556">
        <v>53414</v>
      </c>
      <c r="B5556">
        <v>2</v>
      </c>
      <c r="C5556">
        <v>16</v>
      </c>
    </row>
    <row r="5557" spans="1:3" x14ac:dyDescent="0.3">
      <c r="A5557">
        <v>41817</v>
      </c>
      <c r="B5557">
        <v>3</v>
      </c>
      <c r="C5557">
        <v>8</v>
      </c>
    </row>
    <row r="5558" spans="1:3" x14ac:dyDescent="0.3">
      <c r="A5558">
        <v>42241</v>
      </c>
      <c r="B5558">
        <v>2</v>
      </c>
      <c r="C5558">
        <v>8</v>
      </c>
    </row>
    <row r="5559" spans="1:3" x14ac:dyDescent="0.3">
      <c r="A5559">
        <v>51723</v>
      </c>
      <c r="B5559">
        <v>1</v>
      </c>
      <c r="C5559">
        <v>8</v>
      </c>
    </row>
    <row r="5560" spans="1:3" x14ac:dyDescent="0.3">
      <c r="A5560">
        <v>51719</v>
      </c>
      <c r="B5560">
        <v>1</v>
      </c>
      <c r="C5560">
        <v>8</v>
      </c>
    </row>
    <row r="5561" spans="1:3" x14ac:dyDescent="0.3">
      <c r="A5561">
        <v>51474</v>
      </c>
      <c r="B5561">
        <v>1</v>
      </c>
      <c r="C5561">
        <v>8</v>
      </c>
    </row>
    <row r="5562" spans="1:3" x14ac:dyDescent="0.3">
      <c r="A5562">
        <v>51430</v>
      </c>
      <c r="B5562">
        <v>1</v>
      </c>
      <c r="C5562">
        <v>8</v>
      </c>
    </row>
    <row r="5563" spans="1:3" x14ac:dyDescent="0.3">
      <c r="A5563">
        <v>50883</v>
      </c>
      <c r="B5563">
        <v>1</v>
      </c>
      <c r="C5563">
        <v>8</v>
      </c>
    </row>
    <row r="5564" spans="1:3" x14ac:dyDescent="0.3">
      <c r="A5564">
        <v>43195</v>
      </c>
      <c r="B5564">
        <v>1</v>
      </c>
      <c r="C5564">
        <v>16</v>
      </c>
    </row>
    <row r="5565" spans="1:3" x14ac:dyDescent="0.3">
      <c r="A5565">
        <v>43197</v>
      </c>
      <c r="B5565">
        <v>1</v>
      </c>
      <c r="C5565">
        <v>8</v>
      </c>
    </row>
    <row r="5566" spans="1:3" x14ac:dyDescent="0.3">
      <c r="A5566">
        <v>50506</v>
      </c>
      <c r="B5566">
        <v>2</v>
      </c>
      <c r="C5566">
        <v>8</v>
      </c>
    </row>
    <row r="5567" spans="1:3" x14ac:dyDescent="0.3">
      <c r="A5567">
        <v>49885</v>
      </c>
      <c r="B5567">
        <v>4</v>
      </c>
      <c r="C5567">
        <v>16</v>
      </c>
    </row>
    <row r="5568" spans="1:3" x14ac:dyDescent="0.3">
      <c r="A5568">
        <v>49789</v>
      </c>
      <c r="B5568">
        <v>1</v>
      </c>
      <c r="C5568">
        <v>8</v>
      </c>
    </row>
    <row r="5569" spans="1:3" x14ac:dyDescent="0.3">
      <c r="A5569">
        <v>48463</v>
      </c>
      <c r="B5569">
        <v>1</v>
      </c>
      <c r="C5569">
        <v>8</v>
      </c>
    </row>
    <row r="5570" spans="1:3" x14ac:dyDescent="0.3">
      <c r="A5570">
        <v>48278</v>
      </c>
      <c r="B5570">
        <v>1</v>
      </c>
      <c r="C5570">
        <v>8</v>
      </c>
    </row>
    <row r="5571" spans="1:3" x14ac:dyDescent="0.3">
      <c r="A5571">
        <v>46237</v>
      </c>
      <c r="B5571">
        <v>1</v>
      </c>
      <c r="C5571">
        <v>8</v>
      </c>
    </row>
    <row r="5572" spans="1:3" x14ac:dyDescent="0.3">
      <c r="A5572">
        <v>47310</v>
      </c>
      <c r="B5572">
        <v>1</v>
      </c>
      <c r="C5572">
        <v>8</v>
      </c>
    </row>
    <row r="5573" spans="1:3" x14ac:dyDescent="0.3">
      <c r="A5573">
        <v>47306</v>
      </c>
      <c r="B5573">
        <v>1</v>
      </c>
      <c r="C5573">
        <v>8</v>
      </c>
    </row>
    <row r="5574" spans="1:3" x14ac:dyDescent="0.3">
      <c r="A5574">
        <v>46410</v>
      </c>
      <c r="B5574">
        <v>2</v>
      </c>
      <c r="C5574">
        <v>8</v>
      </c>
    </row>
    <row r="5575" spans="1:3" x14ac:dyDescent="0.3">
      <c r="A5575">
        <v>46633</v>
      </c>
      <c r="B5575">
        <v>1</v>
      </c>
      <c r="C5575">
        <v>16</v>
      </c>
    </row>
    <row r="5576" spans="1:3" x14ac:dyDescent="0.3">
      <c r="A5576">
        <v>22935</v>
      </c>
      <c r="B5576">
        <v>2</v>
      </c>
      <c r="C5576">
        <v>16</v>
      </c>
    </row>
    <row r="5577" spans="1:3" x14ac:dyDescent="0.3">
      <c r="A5577">
        <v>22935</v>
      </c>
      <c r="B5577">
        <v>2</v>
      </c>
      <c r="C5577">
        <v>16</v>
      </c>
    </row>
    <row r="5578" spans="1:3" x14ac:dyDescent="0.3">
      <c r="A5578">
        <v>22937</v>
      </c>
      <c r="B5578">
        <v>2</v>
      </c>
      <c r="C5578">
        <v>16</v>
      </c>
    </row>
    <row r="5579" spans="1:3" x14ac:dyDescent="0.3">
      <c r="A5579">
        <v>22937</v>
      </c>
      <c r="B5579">
        <v>2</v>
      </c>
      <c r="C5579">
        <v>16</v>
      </c>
    </row>
    <row r="5580" spans="1:3" x14ac:dyDescent="0.3">
      <c r="A5580">
        <v>25134</v>
      </c>
      <c r="B5580">
        <v>2</v>
      </c>
      <c r="C5580">
        <v>16</v>
      </c>
    </row>
    <row r="5581" spans="1:3" x14ac:dyDescent="0.3">
      <c r="A5581">
        <v>25134</v>
      </c>
      <c r="B5581">
        <v>2</v>
      </c>
      <c r="C5581">
        <v>16</v>
      </c>
    </row>
    <row r="5582" spans="1:3" x14ac:dyDescent="0.3">
      <c r="A5582">
        <v>29180</v>
      </c>
      <c r="B5582">
        <v>2</v>
      </c>
      <c r="C5582">
        <v>8</v>
      </c>
    </row>
    <row r="5583" spans="1:3" x14ac:dyDescent="0.3">
      <c r="A5583">
        <v>29180</v>
      </c>
      <c r="B5583">
        <v>2</v>
      </c>
      <c r="C5583">
        <v>8</v>
      </c>
    </row>
    <row r="5584" spans="1:3" x14ac:dyDescent="0.3">
      <c r="A5584">
        <v>33151</v>
      </c>
      <c r="B5584">
        <v>2</v>
      </c>
      <c r="C5584">
        <v>16</v>
      </c>
    </row>
    <row r="5585" spans="1:3" x14ac:dyDescent="0.3">
      <c r="A5585">
        <v>33151</v>
      </c>
      <c r="B5585">
        <v>2</v>
      </c>
      <c r="C5585">
        <v>16</v>
      </c>
    </row>
    <row r="5586" spans="1:3" x14ac:dyDescent="0.3">
      <c r="A5586">
        <v>38331</v>
      </c>
      <c r="B5586">
        <v>4</v>
      </c>
      <c r="C5586">
        <v>8</v>
      </c>
    </row>
    <row r="5587" spans="1:3" x14ac:dyDescent="0.3">
      <c r="A5587">
        <v>38331</v>
      </c>
      <c r="B5587">
        <v>4</v>
      </c>
      <c r="C5587">
        <v>8</v>
      </c>
    </row>
    <row r="5588" spans="1:3" x14ac:dyDescent="0.3">
      <c r="A5588">
        <v>38331</v>
      </c>
      <c r="B5588">
        <v>4</v>
      </c>
      <c r="C5588">
        <v>8</v>
      </c>
    </row>
    <row r="5589" spans="1:3" x14ac:dyDescent="0.3">
      <c r="A5589">
        <v>38331</v>
      </c>
      <c r="B5589">
        <v>4</v>
      </c>
      <c r="C5589">
        <v>8</v>
      </c>
    </row>
    <row r="5590" spans="1:3" x14ac:dyDescent="0.3">
      <c r="A5590">
        <v>42136</v>
      </c>
      <c r="B5590">
        <v>2</v>
      </c>
      <c r="C5590">
        <v>16</v>
      </c>
    </row>
    <row r="5591" spans="1:3" x14ac:dyDescent="0.3">
      <c r="A5591">
        <v>42136</v>
      </c>
      <c r="B5591">
        <v>2</v>
      </c>
      <c r="C5591">
        <v>16</v>
      </c>
    </row>
    <row r="5592" spans="1:3" x14ac:dyDescent="0.3">
      <c r="A5592">
        <v>20834</v>
      </c>
      <c r="B5592">
        <v>1</v>
      </c>
      <c r="C5592">
        <v>8</v>
      </c>
    </row>
    <row r="5593" spans="1:3" x14ac:dyDescent="0.3">
      <c r="A5593">
        <v>23625</v>
      </c>
      <c r="B5593">
        <v>1</v>
      </c>
      <c r="C5593">
        <v>8</v>
      </c>
    </row>
    <row r="5594" spans="1:3" x14ac:dyDescent="0.3">
      <c r="A5594">
        <v>23668</v>
      </c>
      <c r="B5594">
        <v>1</v>
      </c>
      <c r="C5594">
        <v>16</v>
      </c>
    </row>
    <row r="5595" spans="1:3" x14ac:dyDescent="0.3">
      <c r="A5595">
        <v>27564</v>
      </c>
      <c r="B5595">
        <v>1</v>
      </c>
      <c r="C5595">
        <v>8</v>
      </c>
    </row>
    <row r="5596" spans="1:3" x14ac:dyDescent="0.3">
      <c r="A5596">
        <v>70986</v>
      </c>
      <c r="B5596">
        <v>1</v>
      </c>
      <c r="C5596">
        <v>8</v>
      </c>
    </row>
    <row r="5597" spans="1:3" x14ac:dyDescent="0.3">
      <c r="A5597">
        <v>70361</v>
      </c>
      <c r="B5597">
        <v>1</v>
      </c>
      <c r="C5597">
        <v>8</v>
      </c>
    </row>
    <row r="5598" spans="1:3" x14ac:dyDescent="0.3">
      <c r="A5598">
        <v>35724</v>
      </c>
      <c r="B5598">
        <v>1</v>
      </c>
      <c r="C5598">
        <v>8</v>
      </c>
    </row>
    <row r="5599" spans="1:3" x14ac:dyDescent="0.3">
      <c r="A5599">
        <v>39644</v>
      </c>
      <c r="B5599">
        <v>1</v>
      </c>
      <c r="C5599">
        <v>8</v>
      </c>
    </row>
    <row r="5600" spans="1:3" x14ac:dyDescent="0.3">
      <c r="A5600">
        <v>16136</v>
      </c>
      <c r="B5600">
        <v>3</v>
      </c>
      <c r="C5600">
        <v>16</v>
      </c>
    </row>
    <row r="5601" spans="1:3" x14ac:dyDescent="0.3">
      <c r="A5601">
        <v>16308</v>
      </c>
      <c r="B5601">
        <v>2</v>
      </c>
      <c r="C5601">
        <v>16</v>
      </c>
    </row>
    <row r="5602" spans="1:3" x14ac:dyDescent="0.3">
      <c r="A5602" s="26">
        <v>21688</v>
      </c>
      <c r="B5602" s="26">
        <v>2</v>
      </c>
      <c r="C5602" s="26">
        <v>16</v>
      </c>
    </row>
    <row r="5603" spans="1:3" x14ac:dyDescent="0.3">
      <c r="A5603">
        <v>21688</v>
      </c>
      <c r="B5603">
        <v>2</v>
      </c>
      <c r="C5603">
        <v>16</v>
      </c>
    </row>
    <row r="5604" spans="1:3" x14ac:dyDescent="0.3">
      <c r="A5604">
        <v>13629</v>
      </c>
      <c r="B5604">
        <v>2</v>
      </c>
      <c r="C5604">
        <v>8</v>
      </c>
    </row>
    <row r="5605" spans="1:3" x14ac:dyDescent="0.3">
      <c r="A5605">
        <v>13743</v>
      </c>
      <c r="B5605">
        <v>1</v>
      </c>
      <c r="C5605">
        <v>16</v>
      </c>
    </row>
    <row r="5606" spans="1:3" x14ac:dyDescent="0.3">
      <c r="A5606">
        <v>18372</v>
      </c>
      <c r="B5606">
        <v>1</v>
      </c>
      <c r="C5606">
        <v>8</v>
      </c>
    </row>
    <row r="5607" spans="1:3" x14ac:dyDescent="0.3">
      <c r="A5607">
        <v>18623</v>
      </c>
      <c r="B5607">
        <v>1</v>
      </c>
      <c r="C5607">
        <v>8</v>
      </c>
    </row>
    <row r="5608" spans="1:3" x14ac:dyDescent="0.3">
      <c r="A5608">
        <v>27120</v>
      </c>
      <c r="B5608">
        <v>2</v>
      </c>
      <c r="C5608">
        <v>16</v>
      </c>
    </row>
    <row r="5609" spans="1:3" x14ac:dyDescent="0.3">
      <c r="A5609">
        <v>27993</v>
      </c>
      <c r="B5609">
        <v>3</v>
      </c>
      <c r="C5609">
        <v>16</v>
      </c>
    </row>
    <row r="5610" spans="1:3" x14ac:dyDescent="0.3">
      <c r="A5610">
        <v>30201</v>
      </c>
      <c r="B5610">
        <v>2</v>
      </c>
      <c r="C5610">
        <v>16</v>
      </c>
    </row>
    <row r="5611" spans="1:3" x14ac:dyDescent="0.3">
      <c r="A5611">
        <v>30202</v>
      </c>
      <c r="B5611">
        <v>2</v>
      </c>
      <c r="C5611">
        <v>16</v>
      </c>
    </row>
    <row r="5612" spans="1:3" x14ac:dyDescent="0.3">
      <c r="A5612">
        <v>36814</v>
      </c>
      <c r="B5612">
        <v>1</v>
      </c>
      <c r="C5612">
        <v>8</v>
      </c>
    </row>
    <row r="5613" spans="1:3" x14ac:dyDescent="0.3">
      <c r="A5613">
        <v>60455</v>
      </c>
      <c r="B5613">
        <v>2</v>
      </c>
      <c r="C5613">
        <v>8</v>
      </c>
    </row>
    <row r="5614" spans="1:3" x14ac:dyDescent="0.3">
      <c r="A5614">
        <v>39090</v>
      </c>
      <c r="B5614">
        <v>1</v>
      </c>
      <c r="C5614">
        <v>8</v>
      </c>
    </row>
    <row r="5615" spans="1:3" x14ac:dyDescent="0.3">
      <c r="A5615">
        <v>57425</v>
      </c>
      <c r="B5615">
        <v>1</v>
      </c>
      <c r="C5615">
        <v>8</v>
      </c>
    </row>
    <row r="5616" spans="1:3" x14ac:dyDescent="0.3">
      <c r="A5616">
        <v>41627</v>
      </c>
      <c r="B5616">
        <v>2</v>
      </c>
      <c r="C5616">
        <v>16</v>
      </c>
    </row>
    <row r="5617" spans="1:3" x14ac:dyDescent="0.3">
      <c r="A5617">
        <v>42884</v>
      </c>
      <c r="B5617">
        <v>2</v>
      </c>
      <c r="C5617">
        <v>8</v>
      </c>
    </row>
    <row r="5618" spans="1:3" x14ac:dyDescent="0.3">
      <c r="A5618">
        <v>48752</v>
      </c>
      <c r="B5618">
        <v>1</v>
      </c>
      <c r="C5618">
        <v>8</v>
      </c>
    </row>
    <row r="5619" spans="1:3" x14ac:dyDescent="0.3">
      <c r="A5619">
        <v>80371</v>
      </c>
      <c r="B5619">
        <v>1</v>
      </c>
      <c r="C5619">
        <v>8</v>
      </c>
    </row>
    <row r="5620" spans="1:3" x14ac:dyDescent="0.3">
      <c r="A5620">
        <v>71406</v>
      </c>
      <c r="B5620">
        <v>1</v>
      </c>
      <c r="C5620">
        <v>8</v>
      </c>
    </row>
    <row r="5621" spans="1:3" x14ac:dyDescent="0.3">
      <c r="A5621">
        <v>67287</v>
      </c>
      <c r="B5621">
        <v>1</v>
      </c>
      <c r="C5621">
        <v>8</v>
      </c>
    </row>
    <row r="5622" spans="1:3" x14ac:dyDescent="0.3">
      <c r="A5622">
        <v>10364</v>
      </c>
      <c r="B5622">
        <v>3</v>
      </c>
      <c r="C5622">
        <v>16</v>
      </c>
    </row>
    <row r="5623" spans="1:3" x14ac:dyDescent="0.3">
      <c r="A5623">
        <v>12172</v>
      </c>
      <c r="B5623">
        <v>2</v>
      </c>
      <c r="C5623">
        <v>16</v>
      </c>
    </row>
    <row r="5624" spans="1:3" x14ac:dyDescent="0.3">
      <c r="A5624">
        <v>12337</v>
      </c>
      <c r="B5624">
        <v>2</v>
      </c>
      <c r="C5624">
        <v>16</v>
      </c>
    </row>
    <row r="5625" spans="1:3" x14ac:dyDescent="0.3">
      <c r="A5625">
        <v>78376</v>
      </c>
      <c r="B5625">
        <v>1</v>
      </c>
      <c r="C5625">
        <v>8</v>
      </c>
    </row>
    <row r="5626" spans="1:3" x14ac:dyDescent="0.3">
      <c r="A5626">
        <v>77534</v>
      </c>
      <c r="B5626">
        <v>1</v>
      </c>
      <c r="C5626">
        <v>8</v>
      </c>
    </row>
    <row r="5627" spans="1:3" x14ac:dyDescent="0.3">
      <c r="A5627">
        <v>77399</v>
      </c>
      <c r="B5627">
        <v>2</v>
      </c>
      <c r="C5627">
        <v>8</v>
      </c>
    </row>
    <row r="5628" spans="1:3" x14ac:dyDescent="0.3">
      <c r="A5628">
        <v>18551</v>
      </c>
      <c r="B5628">
        <v>3</v>
      </c>
      <c r="C5628">
        <v>16</v>
      </c>
    </row>
    <row r="5629" spans="1:3" x14ac:dyDescent="0.3">
      <c r="A5629">
        <v>18552</v>
      </c>
      <c r="B5629">
        <v>2</v>
      </c>
      <c r="C5629">
        <v>16</v>
      </c>
    </row>
    <row r="5630" spans="1:3" x14ac:dyDescent="0.3">
      <c r="A5630">
        <v>19695</v>
      </c>
      <c r="B5630">
        <v>2</v>
      </c>
      <c r="C5630">
        <v>16</v>
      </c>
    </row>
    <row r="5631" spans="1:3" x14ac:dyDescent="0.3">
      <c r="A5631">
        <v>19841</v>
      </c>
      <c r="B5631">
        <v>1</v>
      </c>
      <c r="C5631">
        <v>8</v>
      </c>
    </row>
    <row r="5632" spans="1:3" x14ac:dyDescent="0.3">
      <c r="A5632">
        <v>26969</v>
      </c>
      <c r="B5632">
        <v>1</v>
      </c>
      <c r="C5632">
        <v>8</v>
      </c>
    </row>
    <row r="5633" spans="1:3" x14ac:dyDescent="0.3">
      <c r="A5633">
        <v>27731</v>
      </c>
      <c r="B5633">
        <v>1</v>
      </c>
      <c r="C5633">
        <v>8</v>
      </c>
    </row>
    <row r="5634" spans="1:3" x14ac:dyDescent="0.3">
      <c r="A5634">
        <v>32316</v>
      </c>
      <c r="B5634">
        <v>2</v>
      </c>
      <c r="C5634">
        <v>16</v>
      </c>
    </row>
    <row r="5635" spans="1:3" x14ac:dyDescent="0.3">
      <c r="A5635">
        <v>33798</v>
      </c>
      <c r="B5635">
        <v>2</v>
      </c>
      <c r="C5635">
        <v>8</v>
      </c>
    </row>
    <row r="5636" spans="1:3" x14ac:dyDescent="0.3">
      <c r="A5636">
        <v>34175</v>
      </c>
      <c r="B5636">
        <v>1</v>
      </c>
      <c r="C5636">
        <v>8</v>
      </c>
    </row>
    <row r="5637" spans="1:3" x14ac:dyDescent="0.3">
      <c r="A5637">
        <v>34176</v>
      </c>
      <c r="B5637">
        <v>3</v>
      </c>
      <c r="C5637">
        <v>16</v>
      </c>
    </row>
    <row r="5638" spans="1:3" x14ac:dyDescent="0.3">
      <c r="A5638">
        <v>65731</v>
      </c>
      <c r="B5638">
        <v>1</v>
      </c>
      <c r="C5638">
        <v>8</v>
      </c>
    </row>
    <row r="5639" spans="1:3" x14ac:dyDescent="0.3">
      <c r="A5639">
        <v>35409</v>
      </c>
      <c r="B5639">
        <v>1</v>
      </c>
      <c r="C5639">
        <v>8</v>
      </c>
    </row>
    <row r="5640" spans="1:3" x14ac:dyDescent="0.3">
      <c r="A5640">
        <v>37129</v>
      </c>
      <c r="B5640">
        <v>1</v>
      </c>
      <c r="C5640">
        <v>16</v>
      </c>
    </row>
    <row r="5641" spans="1:3" x14ac:dyDescent="0.3">
      <c r="A5641">
        <v>60045</v>
      </c>
      <c r="B5641">
        <v>2</v>
      </c>
      <c r="C5641">
        <v>16</v>
      </c>
    </row>
    <row r="5642" spans="1:3" x14ac:dyDescent="0.3">
      <c r="A5642">
        <v>54419</v>
      </c>
      <c r="B5642">
        <v>1</v>
      </c>
      <c r="C5642">
        <v>8</v>
      </c>
    </row>
    <row r="5643" spans="1:3" x14ac:dyDescent="0.3">
      <c r="A5643">
        <v>50167</v>
      </c>
      <c r="B5643">
        <v>3</v>
      </c>
      <c r="C5643">
        <v>16</v>
      </c>
    </row>
    <row r="5644" spans="1:3" x14ac:dyDescent="0.3">
      <c r="A5644">
        <v>43649</v>
      </c>
      <c r="B5644">
        <v>1</v>
      </c>
      <c r="C5644">
        <v>8</v>
      </c>
    </row>
    <row r="5645" spans="1:3" x14ac:dyDescent="0.3">
      <c r="A5645">
        <v>46735</v>
      </c>
      <c r="B5645">
        <v>1</v>
      </c>
      <c r="C5645">
        <v>8</v>
      </c>
    </row>
    <row r="5646" spans="1:3" x14ac:dyDescent="0.3">
      <c r="A5646">
        <v>12300</v>
      </c>
      <c r="B5646">
        <v>3</v>
      </c>
      <c r="C5646">
        <v>16</v>
      </c>
    </row>
    <row r="5647" spans="1:3" x14ac:dyDescent="0.3">
      <c r="A5647">
        <v>12300</v>
      </c>
      <c r="B5647">
        <v>3</v>
      </c>
      <c r="C5647">
        <v>16</v>
      </c>
    </row>
    <row r="5648" spans="1:3" x14ac:dyDescent="0.3">
      <c r="A5648">
        <v>12300</v>
      </c>
      <c r="B5648">
        <v>3</v>
      </c>
      <c r="C5648">
        <v>16</v>
      </c>
    </row>
    <row r="5649" spans="1:3" x14ac:dyDescent="0.3">
      <c r="A5649">
        <v>13351</v>
      </c>
      <c r="B5649">
        <v>2</v>
      </c>
      <c r="C5649">
        <v>16</v>
      </c>
    </row>
    <row r="5650" spans="1:3" x14ac:dyDescent="0.3">
      <c r="A5650">
        <v>13351</v>
      </c>
      <c r="B5650">
        <v>2</v>
      </c>
      <c r="C5650">
        <v>16</v>
      </c>
    </row>
    <row r="5651" spans="1:3" x14ac:dyDescent="0.3">
      <c r="A5651">
        <v>15000</v>
      </c>
      <c r="B5651">
        <v>2</v>
      </c>
      <c r="C5651">
        <v>16</v>
      </c>
    </row>
    <row r="5652" spans="1:3" x14ac:dyDescent="0.3">
      <c r="A5652">
        <v>15000</v>
      </c>
      <c r="B5652">
        <v>2</v>
      </c>
      <c r="C5652">
        <v>16</v>
      </c>
    </row>
    <row r="5653" spans="1:3" x14ac:dyDescent="0.3">
      <c r="A5653">
        <v>15190</v>
      </c>
      <c r="B5653">
        <v>4</v>
      </c>
      <c r="C5653">
        <v>16</v>
      </c>
    </row>
    <row r="5654" spans="1:3" x14ac:dyDescent="0.3">
      <c r="A5654">
        <v>16104</v>
      </c>
      <c r="B5654">
        <v>2</v>
      </c>
      <c r="C5654">
        <v>16</v>
      </c>
    </row>
    <row r="5655" spans="1:3" x14ac:dyDescent="0.3">
      <c r="A5655">
        <v>16104</v>
      </c>
      <c r="B5655">
        <v>2</v>
      </c>
      <c r="C5655">
        <v>16</v>
      </c>
    </row>
    <row r="5656" spans="1:3" x14ac:dyDescent="0.3">
      <c r="A5656">
        <v>24500</v>
      </c>
      <c r="B5656">
        <v>4</v>
      </c>
      <c r="C5656">
        <v>16</v>
      </c>
    </row>
    <row r="5657" spans="1:3" x14ac:dyDescent="0.3">
      <c r="A5657">
        <v>26438</v>
      </c>
      <c r="B5657">
        <v>2</v>
      </c>
      <c r="C5657">
        <v>16</v>
      </c>
    </row>
    <row r="5658" spans="1:3" x14ac:dyDescent="0.3">
      <c r="A5658">
        <v>26438</v>
      </c>
      <c r="B5658">
        <v>2</v>
      </c>
      <c r="C5658">
        <v>16</v>
      </c>
    </row>
    <row r="5659" spans="1:3" x14ac:dyDescent="0.3">
      <c r="A5659">
        <v>27931</v>
      </c>
      <c r="B5659">
        <v>2</v>
      </c>
      <c r="C5659">
        <v>16</v>
      </c>
    </row>
    <row r="5660" spans="1:3" x14ac:dyDescent="0.3">
      <c r="A5660">
        <v>27931</v>
      </c>
      <c r="B5660">
        <v>2</v>
      </c>
      <c r="C5660">
        <v>16</v>
      </c>
    </row>
    <row r="5661" spans="1:3" x14ac:dyDescent="0.3">
      <c r="A5661">
        <v>35410</v>
      </c>
      <c r="B5661">
        <v>3</v>
      </c>
      <c r="C5661">
        <v>16</v>
      </c>
    </row>
    <row r="5662" spans="1:3" x14ac:dyDescent="0.3">
      <c r="A5662">
        <v>35410</v>
      </c>
      <c r="B5662">
        <v>3</v>
      </c>
      <c r="C5662">
        <v>16</v>
      </c>
    </row>
    <row r="5663" spans="1:3" x14ac:dyDescent="0.3">
      <c r="A5663">
        <v>35410</v>
      </c>
      <c r="B5663">
        <v>3</v>
      </c>
      <c r="C5663">
        <v>16</v>
      </c>
    </row>
    <row r="5664" spans="1:3" x14ac:dyDescent="0.3">
      <c r="A5664">
        <v>62661</v>
      </c>
      <c r="B5664">
        <v>2</v>
      </c>
      <c r="C5664">
        <v>16</v>
      </c>
    </row>
    <row r="5665" spans="1:3" x14ac:dyDescent="0.3">
      <c r="A5665">
        <v>62661</v>
      </c>
      <c r="B5665">
        <v>2</v>
      </c>
      <c r="C5665">
        <v>16</v>
      </c>
    </row>
    <row r="5666" spans="1:3" x14ac:dyDescent="0.3">
      <c r="A5666">
        <v>57195</v>
      </c>
      <c r="B5666">
        <v>2</v>
      </c>
      <c r="C5666">
        <v>16</v>
      </c>
    </row>
    <row r="5667" spans="1:3" x14ac:dyDescent="0.3">
      <c r="A5667">
        <v>57195</v>
      </c>
      <c r="B5667">
        <v>2</v>
      </c>
      <c r="C5667">
        <v>16</v>
      </c>
    </row>
    <row r="5668" spans="1:3" x14ac:dyDescent="0.3">
      <c r="A5668">
        <v>49192</v>
      </c>
      <c r="B5668">
        <v>2</v>
      </c>
      <c r="C5668">
        <v>16</v>
      </c>
    </row>
    <row r="5669" spans="1:3" x14ac:dyDescent="0.3">
      <c r="A5669">
        <v>49192</v>
      </c>
      <c r="B5669">
        <v>2</v>
      </c>
      <c r="C5669">
        <v>16</v>
      </c>
    </row>
    <row r="5670" spans="1:3" x14ac:dyDescent="0.3">
      <c r="A5670">
        <v>58840</v>
      </c>
      <c r="B5670">
        <v>2</v>
      </c>
      <c r="C5670">
        <v>16</v>
      </c>
    </row>
    <row r="5671" spans="1:3" x14ac:dyDescent="0.3">
      <c r="A5671">
        <v>58840</v>
      </c>
      <c r="B5671">
        <v>2</v>
      </c>
      <c r="C5671">
        <v>16</v>
      </c>
    </row>
    <row r="5672" spans="1:3" x14ac:dyDescent="0.3">
      <c r="A5672">
        <v>46216</v>
      </c>
      <c r="B5672">
        <v>2</v>
      </c>
      <c r="C5672">
        <v>8</v>
      </c>
    </row>
    <row r="5673" spans="1:3" x14ac:dyDescent="0.3">
      <c r="A5673">
        <v>46216</v>
      </c>
      <c r="B5673">
        <v>2</v>
      </c>
      <c r="C5673">
        <v>8</v>
      </c>
    </row>
    <row r="5674" spans="1:3" x14ac:dyDescent="0.3">
      <c r="A5674">
        <v>10173</v>
      </c>
      <c r="B5674">
        <v>3</v>
      </c>
      <c r="C5674">
        <v>16</v>
      </c>
    </row>
    <row r="5675" spans="1:3" x14ac:dyDescent="0.3">
      <c r="A5675">
        <v>10215</v>
      </c>
      <c r="B5675">
        <v>1</v>
      </c>
      <c r="C5675">
        <v>16</v>
      </c>
    </row>
    <row r="5676" spans="1:3" x14ac:dyDescent="0.3">
      <c r="A5676">
        <v>10228</v>
      </c>
      <c r="B5676">
        <v>1</v>
      </c>
      <c r="C5676">
        <v>16</v>
      </c>
    </row>
    <row r="5677" spans="1:3" x14ac:dyDescent="0.3">
      <c r="A5677">
        <v>10248</v>
      </c>
      <c r="B5677">
        <v>1</v>
      </c>
      <c r="C5677">
        <v>16</v>
      </c>
    </row>
    <row r="5678" spans="1:3" x14ac:dyDescent="0.3">
      <c r="A5678">
        <v>10268</v>
      </c>
      <c r="B5678">
        <v>1</v>
      </c>
      <c r="C5678">
        <v>16</v>
      </c>
    </row>
    <row r="5679" spans="1:3" x14ac:dyDescent="0.3">
      <c r="A5679">
        <v>10276</v>
      </c>
      <c r="B5679">
        <v>3</v>
      </c>
      <c r="C5679">
        <v>16</v>
      </c>
    </row>
    <row r="5680" spans="1:3" x14ac:dyDescent="0.3">
      <c r="A5680">
        <v>10280</v>
      </c>
      <c r="B5680">
        <v>2</v>
      </c>
      <c r="C5680">
        <v>16</v>
      </c>
    </row>
    <row r="5681" spans="1:3" x14ac:dyDescent="0.3">
      <c r="A5681">
        <v>10347</v>
      </c>
      <c r="B5681">
        <v>2</v>
      </c>
      <c r="C5681">
        <v>16</v>
      </c>
    </row>
    <row r="5682" spans="1:3" x14ac:dyDescent="0.3">
      <c r="A5682">
        <v>10536</v>
      </c>
      <c r="B5682">
        <v>1</v>
      </c>
      <c r="C5682">
        <v>16</v>
      </c>
    </row>
    <row r="5683" spans="1:3" x14ac:dyDescent="0.3">
      <c r="A5683">
        <v>10772</v>
      </c>
      <c r="B5683">
        <v>1</v>
      </c>
      <c r="C5683">
        <v>16</v>
      </c>
    </row>
    <row r="5684" spans="1:3" x14ac:dyDescent="0.3">
      <c r="A5684">
        <v>79670</v>
      </c>
      <c r="B5684">
        <v>1</v>
      </c>
      <c r="C5684">
        <v>16</v>
      </c>
    </row>
    <row r="5685" spans="1:3" x14ac:dyDescent="0.3">
      <c r="A5685">
        <v>11108</v>
      </c>
      <c r="B5685">
        <v>2</v>
      </c>
      <c r="C5685">
        <v>16</v>
      </c>
    </row>
    <row r="5686" spans="1:3" x14ac:dyDescent="0.3">
      <c r="A5686">
        <v>11110</v>
      </c>
      <c r="B5686">
        <v>1</v>
      </c>
      <c r="C5686">
        <v>8</v>
      </c>
    </row>
    <row r="5687" spans="1:3" x14ac:dyDescent="0.3">
      <c r="A5687">
        <v>11695</v>
      </c>
      <c r="B5687">
        <v>2</v>
      </c>
      <c r="C5687">
        <v>16</v>
      </c>
    </row>
    <row r="5688" spans="1:3" x14ac:dyDescent="0.3">
      <c r="A5688">
        <v>11915</v>
      </c>
      <c r="B5688">
        <v>2</v>
      </c>
      <c r="C5688">
        <v>16</v>
      </c>
    </row>
    <row r="5689" spans="1:3" x14ac:dyDescent="0.3">
      <c r="A5689">
        <v>12131</v>
      </c>
      <c r="B5689">
        <v>2</v>
      </c>
      <c r="C5689">
        <v>16</v>
      </c>
    </row>
    <row r="5690" spans="1:3" x14ac:dyDescent="0.3">
      <c r="A5690">
        <v>79335</v>
      </c>
      <c r="B5690">
        <v>1</v>
      </c>
      <c r="C5690">
        <v>8</v>
      </c>
    </row>
    <row r="5691" spans="1:3" x14ac:dyDescent="0.3">
      <c r="A5691">
        <v>12600</v>
      </c>
      <c r="B5691">
        <v>2</v>
      </c>
      <c r="C5691">
        <v>8</v>
      </c>
    </row>
    <row r="5692" spans="1:3" x14ac:dyDescent="0.3">
      <c r="A5692">
        <v>13158</v>
      </c>
      <c r="B5692">
        <v>1</v>
      </c>
      <c r="C5692">
        <v>8</v>
      </c>
    </row>
    <row r="5693" spans="1:3" x14ac:dyDescent="0.3">
      <c r="A5693">
        <v>13893</v>
      </c>
      <c r="B5693">
        <v>1</v>
      </c>
      <c r="C5693">
        <v>8</v>
      </c>
    </row>
    <row r="5694" spans="1:3" x14ac:dyDescent="0.3">
      <c r="A5694">
        <v>14660</v>
      </c>
      <c r="B5694">
        <v>1</v>
      </c>
      <c r="C5694">
        <v>8</v>
      </c>
    </row>
    <row r="5695" spans="1:3" x14ac:dyDescent="0.3">
      <c r="A5695">
        <v>14661</v>
      </c>
      <c r="B5695">
        <v>1</v>
      </c>
      <c r="C5695">
        <v>8</v>
      </c>
    </row>
    <row r="5696" spans="1:3" x14ac:dyDescent="0.3">
      <c r="A5696">
        <v>14740</v>
      </c>
      <c r="B5696">
        <v>1</v>
      </c>
      <c r="C5696">
        <v>8</v>
      </c>
    </row>
    <row r="5697" spans="1:3" x14ac:dyDescent="0.3">
      <c r="A5697">
        <v>14997</v>
      </c>
      <c r="B5697">
        <v>1</v>
      </c>
      <c r="C5697">
        <v>16</v>
      </c>
    </row>
    <row r="5698" spans="1:3" x14ac:dyDescent="0.3">
      <c r="A5698">
        <v>15100</v>
      </c>
      <c r="B5698">
        <v>2</v>
      </c>
      <c r="C5698">
        <v>16</v>
      </c>
    </row>
    <row r="5699" spans="1:3" x14ac:dyDescent="0.3">
      <c r="A5699">
        <v>78402</v>
      </c>
      <c r="B5699">
        <v>1</v>
      </c>
      <c r="C5699">
        <v>16</v>
      </c>
    </row>
    <row r="5700" spans="1:3" x14ac:dyDescent="0.3">
      <c r="A5700">
        <v>78401</v>
      </c>
      <c r="B5700">
        <v>1</v>
      </c>
      <c r="C5700">
        <v>8</v>
      </c>
    </row>
    <row r="5701" spans="1:3" x14ac:dyDescent="0.3">
      <c r="A5701">
        <v>15288</v>
      </c>
      <c r="B5701">
        <v>3</v>
      </c>
      <c r="C5701">
        <v>16</v>
      </c>
    </row>
    <row r="5702" spans="1:3" x14ac:dyDescent="0.3">
      <c r="A5702">
        <v>78400</v>
      </c>
      <c r="B5702">
        <v>2</v>
      </c>
      <c r="C5702">
        <v>8</v>
      </c>
    </row>
    <row r="5703" spans="1:3" x14ac:dyDescent="0.3">
      <c r="A5703">
        <v>15334</v>
      </c>
      <c r="B5703">
        <v>3</v>
      </c>
      <c r="C5703">
        <v>16</v>
      </c>
    </row>
    <row r="5704" spans="1:3" x14ac:dyDescent="0.3">
      <c r="A5704">
        <v>15958</v>
      </c>
      <c r="B5704">
        <v>2</v>
      </c>
      <c r="C5704">
        <v>16</v>
      </c>
    </row>
    <row r="5705" spans="1:3" x14ac:dyDescent="0.3">
      <c r="A5705">
        <v>78203</v>
      </c>
      <c r="B5705">
        <v>1</v>
      </c>
      <c r="C5705">
        <v>8</v>
      </c>
    </row>
    <row r="5706" spans="1:3" x14ac:dyDescent="0.3">
      <c r="A5706">
        <v>16180</v>
      </c>
      <c r="B5706">
        <v>4</v>
      </c>
      <c r="C5706">
        <v>16</v>
      </c>
    </row>
    <row r="5707" spans="1:3" x14ac:dyDescent="0.3">
      <c r="A5707">
        <v>16748</v>
      </c>
      <c r="B5707">
        <v>1</v>
      </c>
      <c r="C5707">
        <v>8</v>
      </c>
    </row>
    <row r="5708" spans="1:3" x14ac:dyDescent="0.3">
      <c r="A5708">
        <v>16752</v>
      </c>
      <c r="B5708">
        <v>1</v>
      </c>
      <c r="C5708">
        <v>8</v>
      </c>
    </row>
    <row r="5709" spans="1:3" x14ac:dyDescent="0.3">
      <c r="A5709">
        <v>16758</v>
      </c>
      <c r="B5709">
        <v>1</v>
      </c>
      <c r="C5709">
        <v>8</v>
      </c>
    </row>
    <row r="5710" spans="1:3" x14ac:dyDescent="0.3">
      <c r="A5710">
        <v>77759</v>
      </c>
      <c r="B5710">
        <v>2</v>
      </c>
      <c r="C5710">
        <v>8</v>
      </c>
    </row>
    <row r="5711" spans="1:3" x14ac:dyDescent="0.3">
      <c r="A5711">
        <v>17255</v>
      </c>
      <c r="B5711">
        <v>1</v>
      </c>
      <c r="C5711">
        <v>16</v>
      </c>
    </row>
    <row r="5712" spans="1:3" x14ac:dyDescent="0.3">
      <c r="A5712">
        <v>77639</v>
      </c>
      <c r="B5712">
        <v>3</v>
      </c>
      <c r="C5712">
        <v>16</v>
      </c>
    </row>
    <row r="5713" spans="1:3" x14ac:dyDescent="0.3">
      <c r="A5713">
        <v>17455</v>
      </c>
      <c r="B5713">
        <v>3</v>
      </c>
      <c r="C5713">
        <v>16</v>
      </c>
    </row>
    <row r="5714" spans="1:3" x14ac:dyDescent="0.3">
      <c r="A5714">
        <v>77429</v>
      </c>
      <c r="B5714">
        <v>1</v>
      </c>
      <c r="C5714">
        <v>8</v>
      </c>
    </row>
    <row r="5715" spans="1:3" x14ac:dyDescent="0.3">
      <c r="A5715">
        <v>18760</v>
      </c>
      <c r="B5715">
        <v>2</v>
      </c>
      <c r="C5715">
        <v>16</v>
      </c>
    </row>
    <row r="5716" spans="1:3" x14ac:dyDescent="0.3">
      <c r="A5716">
        <v>18796</v>
      </c>
      <c r="B5716">
        <v>2</v>
      </c>
      <c r="C5716">
        <v>16</v>
      </c>
    </row>
    <row r="5717" spans="1:3" x14ac:dyDescent="0.3">
      <c r="A5717">
        <v>19300</v>
      </c>
      <c r="B5717">
        <v>1</v>
      </c>
      <c r="C5717">
        <v>8</v>
      </c>
    </row>
    <row r="5718" spans="1:3" x14ac:dyDescent="0.3">
      <c r="A5718">
        <v>19435</v>
      </c>
      <c r="B5718">
        <v>1</v>
      </c>
      <c r="C5718">
        <v>8</v>
      </c>
    </row>
    <row r="5719" spans="1:3" x14ac:dyDescent="0.3">
      <c r="A5719">
        <v>20503</v>
      </c>
      <c r="B5719">
        <v>1</v>
      </c>
      <c r="C5719">
        <v>8</v>
      </c>
    </row>
    <row r="5720" spans="1:3" x14ac:dyDescent="0.3">
      <c r="A5720">
        <v>76359</v>
      </c>
      <c r="B5720">
        <v>1</v>
      </c>
      <c r="C5720">
        <v>8</v>
      </c>
    </row>
    <row r="5721" spans="1:3" x14ac:dyDescent="0.3">
      <c r="A5721">
        <v>76333</v>
      </c>
      <c r="B5721">
        <v>1</v>
      </c>
      <c r="C5721">
        <v>8</v>
      </c>
    </row>
    <row r="5722" spans="1:3" x14ac:dyDescent="0.3">
      <c r="A5722">
        <v>21681</v>
      </c>
      <c r="B5722">
        <v>2</v>
      </c>
      <c r="C5722">
        <v>8</v>
      </c>
    </row>
    <row r="5723" spans="1:3" x14ac:dyDescent="0.3">
      <c r="A5723">
        <v>21959</v>
      </c>
      <c r="B5723">
        <v>1</v>
      </c>
      <c r="C5723">
        <v>8</v>
      </c>
    </row>
    <row r="5724" spans="1:3" x14ac:dyDescent="0.3">
      <c r="A5724">
        <v>76078</v>
      </c>
      <c r="B5724">
        <v>1</v>
      </c>
      <c r="C5724">
        <v>8</v>
      </c>
    </row>
    <row r="5725" spans="1:3" x14ac:dyDescent="0.3">
      <c r="A5725">
        <v>76077</v>
      </c>
      <c r="B5725">
        <v>1</v>
      </c>
      <c r="C5725">
        <v>8</v>
      </c>
    </row>
    <row r="5726" spans="1:3" x14ac:dyDescent="0.3">
      <c r="A5726">
        <v>22431</v>
      </c>
      <c r="B5726">
        <v>1</v>
      </c>
      <c r="C5726">
        <v>8</v>
      </c>
    </row>
    <row r="5727" spans="1:3" x14ac:dyDescent="0.3">
      <c r="A5727">
        <v>22577</v>
      </c>
      <c r="B5727">
        <v>3</v>
      </c>
      <c r="C5727">
        <v>8</v>
      </c>
    </row>
    <row r="5728" spans="1:3" x14ac:dyDescent="0.3">
      <c r="A5728">
        <v>22578</v>
      </c>
      <c r="B5728">
        <v>3</v>
      </c>
      <c r="C5728">
        <v>8</v>
      </c>
    </row>
    <row r="5729" spans="1:3" x14ac:dyDescent="0.3">
      <c r="A5729">
        <v>22590</v>
      </c>
      <c r="B5729">
        <v>1</v>
      </c>
      <c r="C5729">
        <v>8</v>
      </c>
    </row>
    <row r="5730" spans="1:3" x14ac:dyDescent="0.3">
      <c r="A5730">
        <v>75781</v>
      </c>
      <c r="B5730">
        <v>1</v>
      </c>
      <c r="C5730">
        <v>8</v>
      </c>
    </row>
    <row r="5731" spans="1:3" x14ac:dyDescent="0.3">
      <c r="A5731">
        <v>23339</v>
      </c>
      <c r="B5731">
        <v>1</v>
      </c>
      <c r="C5731">
        <v>8</v>
      </c>
    </row>
    <row r="5732" spans="1:3" x14ac:dyDescent="0.3">
      <c r="A5732">
        <v>23661</v>
      </c>
      <c r="B5732">
        <v>2</v>
      </c>
      <c r="C5732">
        <v>8</v>
      </c>
    </row>
    <row r="5733" spans="1:3" x14ac:dyDescent="0.3">
      <c r="A5733">
        <v>75030</v>
      </c>
      <c r="B5733">
        <v>2</v>
      </c>
      <c r="C5733">
        <v>16</v>
      </c>
    </row>
    <row r="5734" spans="1:3" x14ac:dyDescent="0.3">
      <c r="A5734">
        <v>74950</v>
      </c>
      <c r="B5734">
        <v>2</v>
      </c>
      <c r="C5734">
        <v>16</v>
      </c>
    </row>
    <row r="5735" spans="1:3" x14ac:dyDescent="0.3">
      <c r="A5735">
        <v>24674</v>
      </c>
      <c r="B5735">
        <v>1</v>
      </c>
      <c r="C5735">
        <v>8</v>
      </c>
    </row>
    <row r="5736" spans="1:3" x14ac:dyDescent="0.3">
      <c r="A5736">
        <v>24739</v>
      </c>
      <c r="B5736">
        <v>1</v>
      </c>
      <c r="C5736">
        <v>16</v>
      </c>
    </row>
    <row r="5737" spans="1:3" x14ac:dyDescent="0.3">
      <c r="A5737">
        <v>25042</v>
      </c>
      <c r="B5737">
        <v>2</v>
      </c>
      <c r="C5737">
        <v>16</v>
      </c>
    </row>
    <row r="5738" spans="1:3" x14ac:dyDescent="0.3">
      <c r="A5738">
        <v>25530</v>
      </c>
      <c r="B5738">
        <v>2</v>
      </c>
      <c r="C5738">
        <v>16</v>
      </c>
    </row>
    <row r="5739" spans="1:3" x14ac:dyDescent="0.3">
      <c r="A5739">
        <v>25686</v>
      </c>
      <c r="B5739">
        <v>1</v>
      </c>
      <c r="C5739">
        <v>8</v>
      </c>
    </row>
    <row r="5740" spans="1:3" x14ac:dyDescent="0.3">
      <c r="A5740">
        <v>25711</v>
      </c>
      <c r="B5740">
        <v>2</v>
      </c>
      <c r="C5740">
        <v>16</v>
      </c>
    </row>
    <row r="5741" spans="1:3" x14ac:dyDescent="0.3">
      <c r="A5741">
        <v>26320</v>
      </c>
      <c r="B5741">
        <v>1</v>
      </c>
      <c r="C5741">
        <v>8</v>
      </c>
    </row>
    <row r="5742" spans="1:3" x14ac:dyDescent="0.3">
      <c r="A5742">
        <v>26420</v>
      </c>
      <c r="B5742">
        <v>1</v>
      </c>
      <c r="C5742">
        <v>8</v>
      </c>
    </row>
    <row r="5743" spans="1:3" x14ac:dyDescent="0.3">
      <c r="A5743">
        <v>26676</v>
      </c>
      <c r="B5743">
        <v>1</v>
      </c>
      <c r="C5743">
        <v>16</v>
      </c>
    </row>
    <row r="5744" spans="1:3" x14ac:dyDescent="0.3">
      <c r="A5744">
        <v>26677</v>
      </c>
      <c r="B5744">
        <v>1</v>
      </c>
      <c r="C5744">
        <v>16</v>
      </c>
    </row>
    <row r="5745" spans="1:3" x14ac:dyDescent="0.3">
      <c r="A5745">
        <v>73715</v>
      </c>
      <c r="B5745">
        <v>1</v>
      </c>
      <c r="C5745">
        <v>8</v>
      </c>
    </row>
    <row r="5746" spans="1:3" x14ac:dyDescent="0.3">
      <c r="A5746">
        <v>73709</v>
      </c>
      <c r="B5746">
        <v>1</v>
      </c>
      <c r="C5746">
        <v>8</v>
      </c>
    </row>
    <row r="5747" spans="1:3" x14ac:dyDescent="0.3">
      <c r="A5747">
        <v>27009</v>
      </c>
      <c r="B5747">
        <v>1</v>
      </c>
      <c r="C5747">
        <v>8</v>
      </c>
    </row>
    <row r="5748" spans="1:3" x14ac:dyDescent="0.3">
      <c r="A5748">
        <v>73517</v>
      </c>
      <c r="B5748">
        <v>1</v>
      </c>
      <c r="C5748">
        <v>8</v>
      </c>
    </row>
    <row r="5749" spans="1:3" x14ac:dyDescent="0.3">
      <c r="A5749">
        <v>73503</v>
      </c>
      <c r="B5749">
        <v>2</v>
      </c>
      <c r="C5749">
        <v>16</v>
      </c>
    </row>
    <row r="5750" spans="1:3" x14ac:dyDescent="0.3">
      <c r="A5750">
        <v>27213</v>
      </c>
      <c r="B5750">
        <v>1</v>
      </c>
      <c r="C5750">
        <v>16</v>
      </c>
    </row>
    <row r="5751" spans="1:3" x14ac:dyDescent="0.3">
      <c r="A5751">
        <v>73410</v>
      </c>
      <c r="B5751">
        <v>3</v>
      </c>
      <c r="C5751">
        <v>16</v>
      </c>
    </row>
    <row r="5752" spans="1:3" x14ac:dyDescent="0.3">
      <c r="A5752">
        <v>27412</v>
      </c>
      <c r="B5752">
        <v>1</v>
      </c>
      <c r="C5752">
        <v>16</v>
      </c>
    </row>
    <row r="5753" spans="1:3" x14ac:dyDescent="0.3">
      <c r="A5753">
        <v>27980</v>
      </c>
      <c r="B5753">
        <v>2</v>
      </c>
      <c r="C5753">
        <v>16</v>
      </c>
    </row>
    <row r="5754" spans="1:3" x14ac:dyDescent="0.3">
      <c r="A5754">
        <v>27982</v>
      </c>
      <c r="B5754">
        <v>1</v>
      </c>
      <c r="C5754">
        <v>16</v>
      </c>
    </row>
    <row r="5755" spans="1:3" x14ac:dyDescent="0.3">
      <c r="A5755">
        <v>28074</v>
      </c>
      <c r="B5755">
        <v>3</v>
      </c>
      <c r="C5755">
        <v>16</v>
      </c>
    </row>
    <row r="5756" spans="1:3" x14ac:dyDescent="0.3">
      <c r="A5756">
        <v>28357</v>
      </c>
      <c r="B5756">
        <v>1</v>
      </c>
      <c r="C5756">
        <v>16</v>
      </c>
    </row>
    <row r="5757" spans="1:3" x14ac:dyDescent="0.3">
      <c r="A5757">
        <v>70975</v>
      </c>
      <c r="B5757">
        <v>2</v>
      </c>
      <c r="C5757">
        <v>8</v>
      </c>
    </row>
    <row r="5758" spans="1:3" x14ac:dyDescent="0.3">
      <c r="A5758">
        <v>70972</v>
      </c>
      <c r="B5758">
        <v>1</v>
      </c>
      <c r="C5758">
        <v>8</v>
      </c>
    </row>
    <row r="5759" spans="1:3" x14ac:dyDescent="0.3">
      <c r="A5759">
        <v>70805</v>
      </c>
      <c r="B5759">
        <v>1</v>
      </c>
      <c r="C5759">
        <v>16</v>
      </c>
    </row>
    <row r="5760" spans="1:3" x14ac:dyDescent="0.3">
      <c r="A5760">
        <v>70437</v>
      </c>
      <c r="B5760">
        <v>1</v>
      </c>
      <c r="C5760">
        <v>8</v>
      </c>
    </row>
    <row r="5761" spans="1:3" x14ac:dyDescent="0.3">
      <c r="A5761">
        <v>30195</v>
      </c>
      <c r="B5761">
        <v>1</v>
      </c>
      <c r="C5761">
        <v>16</v>
      </c>
    </row>
    <row r="5762" spans="1:3" x14ac:dyDescent="0.3">
      <c r="A5762">
        <v>70433</v>
      </c>
      <c r="B5762">
        <v>1</v>
      </c>
      <c r="C5762">
        <v>8</v>
      </c>
    </row>
    <row r="5763" spans="1:3" x14ac:dyDescent="0.3">
      <c r="A5763">
        <v>30737</v>
      </c>
      <c r="B5763">
        <v>1</v>
      </c>
      <c r="C5763">
        <v>8</v>
      </c>
    </row>
    <row r="5764" spans="1:3" x14ac:dyDescent="0.3">
      <c r="A5764">
        <v>69523</v>
      </c>
      <c r="B5764">
        <v>1</v>
      </c>
      <c r="C5764">
        <v>8</v>
      </c>
    </row>
    <row r="5765" spans="1:3" x14ac:dyDescent="0.3">
      <c r="A5765">
        <v>69514</v>
      </c>
      <c r="B5765">
        <v>1</v>
      </c>
      <c r="C5765">
        <v>8</v>
      </c>
    </row>
    <row r="5766" spans="1:3" x14ac:dyDescent="0.3">
      <c r="A5766">
        <v>31006</v>
      </c>
      <c r="B5766">
        <v>1</v>
      </c>
      <c r="C5766">
        <v>8</v>
      </c>
    </row>
    <row r="5767" spans="1:3" x14ac:dyDescent="0.3">
      <c r="A5767">
        <v>31123</v>
      </c>
      <c r="B5767">
        <v>1</v>
      </c>
      <c r="C5767">
        <v>8</v>
      </c>
    </row>
    <row r="5768" spans="1:3" x14ac:dyDescent="0.3">
      <c r="A5768">
        <v>31129</v>
      </c>
      <c r="B5768">
        <v>1</v>
      </c>
      <c r="C5768">
        <v>16</v>
      </c>
    </row>
    <row r="5769" spans="1:3" x14ac:dyDescent="0.3">
      <c r="A5769">
        <v>69282</v>
      </c>
      <c r="B5769">
        <v>1</v>
      </c>
      <c r="C5769">
        <v>8</v>
      </c>
    </row>
    <row r="5770" spans="1:3" x14ac:dyDescent="0.3">
      <c r="A5770">
        <v>69154</v>
      </c>
      <c r="B5770">
        <v>1</v>
      </c>
      <c r="C5770">
        <v>8</v>
      </c>
    </row>
    <row r="5771" spans="1:3" x14ac:dyDescent="0.3">
      <c r="A5771">
        <v>31257</v>
      </c>
      <c r="B5771">
        <v>1</v>
      </c>
      <c r="C5771">
        <v>16</v>
      </c>
    </row>
    <row r="5772" spans="1:3" x14ac:dyDescent="0.3">
      <c r="A5772">
        <v>31447</v>
      </c>
      <c r="B5772">
        <v>1</v>
      </c>
      <c r="C5772">
        <v>8</v>
      </c>
    </row>
    <row r="5773" spans="1:3" x14ac:dyDescent="0.3">
      <c r="A5773">
        <v>31671</v>
      </c>
      <c r="B5773">
        <v>1</v>
      </c>
      <c r="C5773">
        <v>8</v>
      </c>
    </row>
    <row r="5774" spans="1:3" x14ac:dyDescent="0.3">
      <c r="A5774">
        <v>31672</v>
      </c>
      <c r="B5774">
        <v>1</v>
      </c>
      <c r="C5774">
        <v>16</v>
      </c>
    </row>
    <row r="5775" spans="1:3" x14ac:dyDescent="0.3">
      <c r="A5775">
        <v>31833</v>
      </c>
      <c r="B5775">
        <v>2</v>
      </c>
      <c r="C5775">
        <v>16</v>
      </c>
    </row>
    <row r="5776" spans="1:3" x14ac:dyDescent="0.3">
      <c r="A5776">
        <v>68505</v>
      </c>
      <c r="B5776">
        <v>1</v>
      </c>
      <c r="C5776">
        <v>8</v>
      </c>
    </row>
    <row r="5777" spans="1:3" x14ac:dyDescent="0.3">
      <c r="A5777">
        <v>32283</v>
      </c>
      <c r="B5777">
        <v>1</v>
      </c>
      <c r="C5777">
        <v>16</v>
      </c>
    </row>
    <row r="5778" spans="1:3" x14ac:dyDescent="0.3">
      <c r="A5778">
        <v>32362</v>
      </c>
      <c r="B5778">
        <v>1</v>
      </c>
      <c r="C5778">
        <v>8</v>
      </c>
    </row>
    <row r="5779" spans="1:3" x14ac:dyDescent="0.3">
      <c r="A5779">
        <v>32430</v>
      </c>
      <c r="B5779">
        <v>1</v>
      </c>
      <c r="C5779">
        <v>8</v>
      </c>
    </row>
    <row r="5780" spans="1:3" x14ac:dyDescent="0.3">
      <c r="A5780">
        <v>67520</v>
      </c>
      <c r="B5780">
        <v>2</v>
      </c>
      <c r="C5780">
        <v>16</v>
      </c>
    </row>
    <row r="5781" spans="1:3" x14ac:dyDescent="0.3">
      <c r="A5781">
        <v>32905</v>
      </c>
      <c r="B5781">
        <v>1</v>
      </c>
      <c r="C5781">
        <v>16</v>
      </c>
    </row>
    <row r="5782" spans="1:3" x14ac:dyDescent="0.3">
      <c r="A5782">
        <v>32921</v>
      </c>
      <c r="B5782">
        <v>1</v>
      </c>
      <c r="C5782">
        <v>16</v>
      </c>
    </row>
    <row r="5783" spans="1:3" x14ac:dyDescent="0.3">
      <c r="A5783">
        <v>32923</v>
      </c>
      <c r="B5783">
        <v>1</v>
      </c>
      <c r="C5783">
        <v>16</v>
      </c>
    </row>
    <row r="5784" spans="1:3" x14ac:dyDescent="0.3">
      <c r="A5784">
        <v>67470</v>
      </c>
      <c r="B5784">
        <v>2</v>
      </c>
      <c r="C5784">
        <v>16</v>
      </c>
    </row>
    <row r="5785" spans="1:3" x14ac:dyDescent="0.3">
      <c r="A5785">
        <v>33080</v>
      </c>
      <c r="B5785">
        <v>2</v>
      </c>
      <c r="C5785">
        <v>16</v>
      </c>
    </row>
    <row r="5786" spans="1:3" x14ac:dyDescent="0.3">
      <c r="A5786">
        <v>33081</v>
      </c>
      <c r="B5786">
        <v>2</v>
      </c>
      <c r="C5786">
        <v>16</v>
      </c>
    </row>
    <row r="5787" spans="1:3" x14ac:dyDescent="0.3">
      <c r="A5787">
        <v>33402</v>
      </c>
      <c r="B5787">
        <v>1</v>
      </c>
      <c r="C5787">
        <v>8</v>
      </c>
    </row>
    <row r="5788" spans="1:3" x14ac:dyDescent="0.3">
      <c r="A5788">
        <v>66271</v>
      </c>
      <c r="B5788">
        <v>1</v>
      </c>
      <c r="C5788">
        <v>16</v>
      </c>
    </row>
    <row r="5789" spans="1:3" x14ac:dyDescent="0.3">
      <c r="A5789">
        <v>34011</v>
      </c>
      <c r="B5789">
        <v>2</v>
      </c>
      <c r="C5789">
        <v>16</v>
      </c>
    </row>
    <row r="5790" spans="1:3" x14ac:dyDescent="0.3">
      <c r="A5790">
        <v>34518</v>
      </c>
      <c r="B5790">
        <v>2</v>
      </c>
      <c r="C5790">
        <v>16</v>
      </c>
    </row>
    <row r="5791" spans="1:3" x14ac:dyDescent="0.3">
      <c r="A5791">
        <v>34696</v>
      </c>
      <c r="B5791">
        <v>1</v>
      </c>
      <c r="C5791">
        <v>8</v>
      </c>
    </row>
    <row r="5792" spans="1:3" x14ac:dyDescent="0.3">
      <c r="A5792">
        <v>34840</v>
      </c>
      <c r="B5792">
        <v>1</v>
      </c>
      <c r="C5792">
        <v>16</v>
      </c>
    </row>
    <row r="5793" spans="1:3" x14ac:dyDescent="0.3">
      <c r="A5793">
        <v>64887</v>
      </c>
      <c r="B5793">
        <v>1</v>
      </c>
      <c r="C5793">
        <v>8</v>
      </c>
    </row>
    <row r="5794" spans="1:3" x14ac:dyDescent="0.3">
      <c r="A5794">
        <v>64728</v>
      </c>
      <c r="B5794">
        <v>1</v>
      </c>
      <c r="C5794">
        <v>16</v>
      </c>
    </row>
    <row r="5795" spans="1:3" x14ac:dyDescent="0.3">
      <c r="A5795">
        <v>64727</v>
      </c>
      <c r="B5795">
        <v>1</v>
      </c>
      <c r="C5795">
        <v>8</v>
      </c>
    </row>
    <row r="5796" spans="1:3" x14ac:dyDescent="0.3">
      <c r="A5796">
        <v>35151</v>
      </c>
      <c r="B5796">
        <v>2</v>
      </c>
      <c r="C5796">
        <v>8</v>
      </c>
    </row>
    <row r="5797" spans="1:3" x14ac:dyDescent="0.3">
      <c r="A5797">
        <v>35151</v>
      </c>
      <c r="B5797">
        <v>2</v>
      </c>
      <c r="C5797">
        <v>8</v>
      </c>
    </row>
    <row r="5798" spans="1:3" x14ac:dyDescent="0.3">
      <c r="A5798">
        <v>35204</v>
      </c>
      <c r="B5798">
        <v>2</v>
      </c>
      <c r="C5798">
        <v>8</v>
      </c>
    </row>
    <row r="5799" spans="1:3" x14ac:dyDescent="0.3">
      <c r="A5799">
        <v>64398</v>
      </c>
      <c r="B5799">
        <v>1</v>
      </c>
      <c r="C5799">
        <v>8</v>
      </c>
    </row>
    <row r="5800" spans="1:3" x14ac:dyDescent="0.3">
      <c r="A5800">
        <v>63970</v>
      </c>
      <c r="B5800">
        <v>1</v>
      </c>
      <c r="C5800">
        <v>8</v>
      </c>
    </row>
    <row r="5801" spans="1:3" x14ac:dyDescent="0.3">
      <c r="A5801">
        <v>35716</v>
      </c>
      <c r="B5801">
        <v>1</v>
      </c>
      <c r="C5801">
        <v>16</v>
      </c>
    </row>
    <row r="5802" spans="1:3" x14ac:dyDescent="0.3">
      <c r="A5802">
        <v>35720</v>
      </c>
      <c r="B5802">
        <v>1</v>
      </c>
      <c r="C5802">
        <v>8</v>
      </c>
    </row>
    <row r="5803" spans="1:3" x14ac:dyDescent="0.3">
      <c r="A5803">
        <v>36213</v>
      </c>
      <c r="B5803">
        <v>1</v>
      </c>
      <c r="C5803">
        <v>8</v>
      </c>
    </row>
    <row r="5804" spans="1:3" x14ac:dyDescent="0.3">
      <c r="A5804">
        <v>62820</v>
      </c>
      <c r="B5804">
        <v>1</v>
      </c>
      <c r="C5804">
        <v>8</v>
      </c>
    </row>
    <row r="5805" spans="1:3" x14ac:dyDescent="0.3">
      <c r="A5805">
        <v>62134</v>
      </c>
      <c r="B5805">
        <v>2</v>
      </c>
      <c r="C5805">
        <v>16</v>
      </c>
    </row>
    <row r="5806" spans="1:3" x14ac:dyDescent="0.3">
      <c r="A5806">
        <v>36808</v>
      </c>
      <c r="B5806">
        <v>1</v>
      </c>
      <c r="C5806">
        <v>16</v>
      </c>
    </row>
    <row r="5807" spans="1:3" x14ac:dyDescent="0.3">
      <c r="A5807">
        <v>61788</v>
      </c>
      <c r="B5807">
        <v>1</v>
      </c>
      <c r="C5807">
        <v>16</v>
      </c>
    </row>
    <row r="5808" spans="1:3" x14ac:dyDescent="0.3">
      <c r="A5808">
        <v>61334</v>
      </c>
      <c r="B5808">
        <v>1</v>
      </c>
      <c r="C5808">
        <v>8</v>
      </c>
    </row>
    <row r="5809" spans="1:3" x14ac:dyDescent="0.3">
      <c r="A5809">
        <v>37203</v>
      </c>
      <c r="B5809">
        <v>2</v>
      </c>
      <c r="C5809">
        <v>8</v>
      </c>
    </row>
    <row r="5810" spans="1:3" x14ac:dyDescent="0.3">
      <c r="A5810">
        <v>37380</v>
      </c>
      <c r="B5810">
        <v>1</v>
      </c>
      <c r="C5810">
        <v>16</v>
      </c>
    </row>
    <row r="5811" spans="1:3" x14ac:dyDescent="0.3">
      <c r="A5811">
        <v>37382</v>
      </c>
      <c r="B5811">
        <v>2</v>
      </c>
      <c r="C5811">
        <v>16</v>
      </c>
    </row>
    <row r="5812" spans="1:3" x14ac:dyDescent="0.3">
      <c r="A5812">
        <v>37905</v>
      </c>
      <c r="B5812">
        <v>1</v>
      </c>
      <c r="C5812">
        <v>8</v>
      </c>
    </row>
    <row r="5813" spans="1:3" x14ac:dyDescent="0.3">
      <c r="A5813">
        <v>60536</v>
      </c>
      <c r="B5813">
        <v>3</v>
      </c>
      <c r="C5813">
        <v>16</v>
      </c>
    </row>
    <row r="5814" spans="1:3" x14ac:dyDescent="0.3">
      <c r="A5814">
        <v>38227</v>
      </c>
      <c r="B5814">
        <v>4</v>
      </c>
      <c r="C5814">
        <v>8</v>
      </c>
    </row>
    <row r="5815" spans="1:3" x14ac:dyDescent="0.3">
      <c r="A5815">
        <v>38231</v>
      </c>
      <c r="B5815">
        <v>1</v>
      </c>
      <c r="C5815">
        <v>16</v>
      </c>
    </row>
    <row r="5816" spans="1:3" x14ac:dyDescent="0.3">
      <c r="A5816">
        <v>38424</v>
      </c>
      <c r="B5816">
        <v>3</v>
      </c>
      <c r="C5816">
        <v>16</v>
      </c>
    </row>
    <row r="5817" spans="1:3" x14ac:dyDescent="0.3">
      <c r="A5817">
        <v>59670</v>
      </c>
      <c r="B5817">
        <v>2</v>
      </c>
      <c r="C5817">
        <v>8</v>
      </c>
    </row>
    <row r="5818" spans="1:3" x14ac:dyDescent="0.3">
      <c r="A5818">
        <v>38921</v>
      </c>
      <c r="B5818">
        <v>1</v>
      </c>
      <c r="C5818">
        <v>8</v>
      </c>
    </row>
    <row r="5819" spans="1:3" x14ac:dyDescent="0.3">
      <c r="A5819">
        <v>59022</v>
      </c>
      <c r="B5819">
        <v>1</v>
      </c>
      <c r="C5819">
        <v>16</v>
      </c>
    </row>
    <row r="5820" spans="1:3" x14ac:dyDescent="0.3">
      <c r="A5820">
        <v>39128</v>
      </c>
      <c r="B5820">
        <v>1</v>
      </c>
      <c r="C5820">
        <v>8</v>
      </c>
    </row>
    <row r="5821" spans="1:3" x14ac:dyDescent="0.3">
      <c r="A5821">
        <v>39387</v>
      </c>
      <c r="B5821">
        <v>3</v>
      </c>
      <c r="C5821">
        <v>8</v>
      </c>
    </row>
    <row r="5822" spans="1:3" x14ac:dyDescent="0.3">
      <c r="A5822">
        <v>39460</v>
      </c>
      <c r="B5822">
        <v>2</v>
      </c>
      <c r="C5822">
        <v>16</v>
      </c>
    </row>
    <row r="5823" spans="1:3" x14ac:dyDescent="0.3">
      <c r="A5823">
        <v>40001</v>
      </c>
      <c r="B5823">
        <v>1</v>
      </c>
      <c r="C5823">
        <v>16</v>
      </c>
    </row>
    <row r="5824" spans="1:3" x14ac:dyDescent="0.3">
      <c r="A5824">
        <v>40134</v>
      </c>
      <c r="B5824">
        <v>2</v>
      </c>
      <c r="C5824">
        <v>16</v>
      </c>
    </row>
    <row r="5825" spans="1:3" x14ac:dyDescent="0.3">
      <c r="A5825">
        <v>56386</v>
      </c>
      <c r="B5825">
        <v>1</v>
      </c>
      <c r="C5825">
        <v>16</v>
      </c>
    </row>
    <row r="5826" spans="1:3" x14ac:dyDescent="0.3">
      <c r="A5826">
        <v>40284</v>
      </c>
      <c r="B5826">
        <v>2</v>
      </c>
      <c r="C5826">
        <v>16</v>
      </c>
    </row>
    <row r="5827" spans="1:3" x14ac:dyDescent="0.3">
      <c r="A5827">
        <v>56089</v>
      </c>
      <c r="B5827">
        <v>1</v>
      </c>
      <c r="C5827">
        <v>8</v>
      </c>
    </row>
    <row r="5828" spans="1:3" x14ac:dyDescent="0.3">
      <c r="A5828">
        <v>40393</v>
      </c>
      <c r="B5828">
        <v>2</v>
      </c>
      <c r="C5828">
        <v>16</v>
      </c>
    </row>
    <row r="5829" spans="1:3" x14ac:dyDescent="0.3">
      <c r="A5829">
        <v>55712</v>
      </c>
      <c r="B5829">
        <v>1</v>
      </c>
      <c r="C5829">
        <v>16</v>
      </c>
    </row>
    <row r="5830" spans="1:3" x14ac:dyDescent="0.3">
      <c r="A5830">
        <v>55665</v>
      </c>
      <c r="B5830">
        <v>1</v>
      </c>
      <c r="C5830">
        <v>8</v>
      </c>
    </row>
    <row r="5831" spans="1:3" x14ac:dyDescent="0.3">
      <c r="A5831">
        <v>40594</v>
      </c>
      <c r="B5831">
        <v>1</v>
      </c>
      <c r="C5831">
        <v>16</v>
      </c>
    </row>
    <row r="5832" spans="1:3" x14ac:dyDescent="0.3">
      <c r="A5832">
        <v>55160</v>
      </c>
      <c r="B5832">
        <v>1</v>
      </c>
      <c r="C5832">
        <v>8</v>
      </c>
    </row>
    <row r="5833" spans="1:3" x14ac:dyDescent="0.3">
      <c r="A5833">
        <v>41531</v>
      </c>
      <c r="B5833">
        <v>2</v>
      </c>
      <c r="C5833">
        <v>16</v>
      </c>
    </row>
    <row r="5834" spans="1:3" x14ac:dyDescent="0.3">
      <c r="A5834">
        <v>41617</v>
      </c>
      <c r="B5834">
        <v>1</v>
      </c>
      <c r="C5834">
        <v>16</v>
      </c>
    </row>
    <row r="5835" spans="1:3" x14ac:dyDescent="0.3">
      <c r="A5835">
        <v>52520</v>
      </c>
      <c r="B5835">
        <v>1</v>
      </c>
      <c r="C5835">
        <v>16</v>
      </c>
    </row>
    <row r="5836" spans="1:3" x14ac:dyDescent="0.3">
      <c r="A5836">
        <v>52519</v>
      </c>
      <c r="B5836">
        <v>2</v>
      </c>
      <c r="C5836">
        <v>16</v>
      </c>
    </row>
    <row r="5837" spans="1:3" x14ac:dyDescent="0.3">
      <c r="A5837">
        <v>52284</v>
      </c>
      <c r="B5837">
        <v>1</v>
      </c>
      <c r="C5837">
        <v>16</v>
      </c>
    </row>
    <row r="5838" spans="1:3" x14ac:dyDescent="0.3">
      <c r="A5838">
        <v>42221</v>
      </c>
      <c r="B5838">
        <v>1</v>
      </c>
      <c r="C5838">
        <v>16</v>
      </c>
    </row>
    <row r="5839" spans="1:3" x14ac:dyDescent="0.3">
      <c r="A5839">
        <v>51984</v>
      </c>
      <c r="B5839">
        <v>1</v>
      </c>
      <c r="C5839">
        <v>16</v>
      </c>
    </row>
    <row r="5840" spans="1:3" x14ac:dyDescent="0.3">
      <c r="A5840">
        <v>51983</v>
      </c>
      <c r="B5840">
        <v>2</v>
      </c>
      <c r="C5840">
        <v>16</v>
      </c>
    </row>
    <row r="5841" spans="1:3" x14ac:dyDescent="0.3">
      <c r="A5841">
        <v>42362</v>
      </c>
      <c r="B5841">
        <v>1</v>
      </c>
      <c r="C5841">
        <v>8</v>
      </c>
    </row>
    <row r="5842" spans="1:3" x14ac:dyDescent="0.3">
      <c r="A5842">
        <v>51231</v>
      </c>
      <c r="B5842">
        <v>1</v>
      </c>
      <c r="C5842">
        <v>8</v>
      </c>
    </row>
    <row r="5843" spans="1:3" x14ac:dyDescent="0.3">
      <c r="A5843">
        <v>42996</v>
      </c>
      <c r="B5843">
        <v>2</v>
      </c>
      <c r="C5843">
        <v>16</v>
      </c>
    </row>
    <row r="5844" spans="1:3" x14ac:dyDescent="0.3">
      <c r="A5844">
        <v>43003</v>
      </c>
      <c r="B5844">
        <v>3</v>
      </c>
      <c r="C5844">
        <v>16</v>
      </c>
    </row>
    <row r="5845" spans="1:3" x14ac:dyDescent="0.3">
      <c r="A5845">
        <v>43642</v>
      </c>
      <c r="B5845">
        <v>1</v>
      </c>
      <c r="C5845">
        <v>16</v>
      </c>
    </row>
    <row r="5846" spans="1:3" x14ac:dyDescent="0.3">
      <c r="A5846">
        <v>43644</v>
      </c>
      <c r="B5846">
        <v>1</v>
      </c>
      <c r="C5846">
        <v>8</v>
      </c>
    </row>
    <row r="5847" spans="1:3" x14ac:dyDescent="0.3">
      <c r="A5847">
        <v>50004</v>
      </c>
      <c r="B5847">
        <v>1</v>
      </c>
      <c r="C5847">
        <v>16</v>
      </c>
    </row>
    <row r="5848" spans="1:3" x14ac:dyDescent="0.3">
      <c r="A5848">
        <v>49923</v>
      </c>
      <c r="B5848">
        <v>1</v>
      </c>
      <c r="C5848">
        <v>8</v>
      </c>
    </row>
    <row r="5849" spans="1:3" x14ac:dyDescent="0.3">
      <c r="A5849">
        <v>49465</v>
      </c>
      <c r="B5849">
        <v>2</v>
      </c>
      <c r="C5849">
        <v>16</v>
      </c>
    </row>
    <row r="5850" spans="1:3" x14ac:dyDescent="0.3">
      <c r="A5850">
        <v>45399</v>
      </c>
      <c r="B5850">
        <v>1</v>
      </c>
      <c r="C5850">
        <v>8</v>
      </c>
    </row>
    <row r="5851" spans="1:3" x14ac:dyDescent="0.3">
      <c r="A5851">
        <v>49075</v>
      </c>
      <c r="B5851">
        <v>1</v>
      </c>
      <c r="C5851">
        <v>8</v>
      </c>
    </row>
    <row r="5852" spans="1:3" x14ac:dyDescent="0.3">
      <c r="A5852">
        <v>45965</v>
      </c>
      <c r="B5852">
        <v>1</v>
      </c>
      <c r="C5852">
        <v>16</v>
      </c>
    </row>
    <row r="5853" spans="1:3" x14ac:dyDescent="0.3">
      <c r="A5853">
        <v>45966</v>
      </c>
      <c r="B5853">
        <v>1</v>
      </c>
      <c r="C5853">
        <v>16</v>
      </c>
    </row>
    <row r="5854" spans="1:3" x14ac:dyDescent="0.3">
      <c r="A5854">
        <v>46020</v>
      </c>
      <c r="B5854">
        <v>1</v>
      </c>
      <c r="C5854">
        <v>8</v>
      </c>
    </row>
    <row r="5855" spans="1:3" x14ac:dyDescent="0.3">
      <c r="A5855">
        <v>47725</v>
      </c>
      <c r="B5855">
        <v>2</v>
      </c>
      <c r="C5855">
        <v>16</v>
      </c>
    </row>
    <row r="5856" spans="1:3" x14ac:dyDescent="0.3">
      <c r="A5856">
        <v>47724</v>
      </c>
      <c r="B5856">
        <v>1</v>
      </c>
      <c r="C5856">
        <v>8</v>
      </c>
    </row>
    <row r="5857" spans="1:3" x14ac:dyDescent="0.3">
      <c r="A5857">
        <v>47528</v>
      </c>
      <c r="B5857">
        <v>2</v>
      </c>
      <c r="C5857">
        <v>16</v>
      </c>
    </row>
    <row r="5858" spans="1:3" x14ac:dyDescent="0.3">
      <c r="A5858">
        <v>46332</v>
      </c>
      <c r="B5858">
        <v>1</v>
      </c>
      <c r="C5858">
        <v>16</v>
      </c>
    </row>
    <row r="5859" spans="1:3" x14ac:dyDescent="0.3">
      <c r="A5859">
        <v>47091</v>
      </c>
      <c r="B5859">
        <v>2</v>
      </c>
      <c r="C5859">
        <v>16</v>
      </c>
    </row>
    <row r="5860" spans="1:3" x14ac:dyDescent="0.3">
      <c r="A5860">
        <v>47009</v>
      </c>
      <c r="B5860">
        <v>1</v>
      </c>
      <c r="C5860">
        <v>16</v>
      </c>
    </row>
    <row r="5861" spans="1:3" x14ac:dyDescent="0.3">
      <c r="A5861">
        <v>79522</v>
      </c>
      <c r="B5861">
        <v>2</v>
      </c>
      <c r="C5861">
        <v>16</v>
      </c>
    </row>
    <row r="5862" spans="1:3" x14ac:dyDescent="0.3">
      <c r="A5862">
        <v>79522</v>
      </c>
      <c r="B5862">
        <v>2</v>
      </c>
      <c r="C5862">
        <v>16</v>
      </c>
    </row>
    <row r="5863" spans="1:3" x14ac:dyDescent="0.3">
      <c r="A5863">
        <v>11918</v>
      </c>
      <c r="B5863">
        <v>2</v>
      </c>
      <c r="C5863">
        <v>16</v>
      </c>
    </row>
    <row r="5864" spans="1:3" x14ac:dyDescent="0.3">
      <c r="A5864">
        <v>12320</v>
      </c>
      <c r="B5864">
        <v>2</v>
      </c>
      <c r="C5864">
        <v>16</v>
      </c>
    </row>
    <row r="5865" spans="1:3" x14ac:dyDescent="0.3">
      <c r="A5865">
        <v>12320</v>
      </c>
      <c r="B5865">
        <v>2</v>
      </c>
      <c r="C5865">
        <v>16</v>
      </c>
    </row>
    <row r="5866" spans="1:3" x14ac:dyDescent="0.3">
      <c r="A5866">
        <v>13005</v>
      </c>
      <c r="B5866">
        <v>3</v>
      </c>
      <c r="C5866">
        <v>8</v>
      </c>
    </row>
    <row r="5867" spans="1:3" x14ac:dyDescent="0.3">
      <c r="A5867">
        <v>13412</v>
      </c>
      <c r="B5867">
        <v>2</v>
      </c>
      <c r="C5867">
        <v>16</v>
      </c>
    </row>
    <row r="5868" spans="1:3" x14ac:dyDescent="0.3">
      <c r="A5868">
        <v>13412</v>
      </c>
      <c r="B5868">
        <v>2</v>
      </c>
      <c r="C5868">
        <v>16</v>
      </c>
    </row>
    <row r="5869" spans="1:3" x14ac:dyDescent="0.3">
      <c r="A5869">
        <v>16553</v>
      </c>
      <c r="B5869">
        <v>2</v>
      </c>
      <c r="C5869">
        <v>16</v>
      </c>
    </row>
    <row r="5870" spans="1:3" x14ac:dyDescent="0.3">
      <c r="A5870">
        <v>16553</v>
      </c>
      <c r="B5870">
        <v>2</v>
      </c>
      <c r="C5870">
        <v>16</v>
      </c>
    </row>
    <row r="5871" spans="1:3" x14ac:dyDescent="0.3">
      <c r="A5871">
        <v>17090</v>
      </c>
      <c r="B5871">
        <v>2</v>
      </c>
      <c r="C5871">
        <v>16</v>
      </c>
    </row>
    <row r="5872" spans="1:3" x14ac:dyDescent="0.3">
      <c r="A5872">
        <v>17090</v>
      </c>
      <c r="B5872">
        <v>2</v>
      </c>
      <c r="C5872">
        <v>16</v>
      </c>
    </row>
    <row r="5873" spans="1:3" x14ac:dyDescent="0.3">
      <c r="A5873">
        <v>17452</v>
      </c>
      <c r="B5873">
        <v>2</v>
      </c>
      <c r="C5873">
        <v>16</v>
      </c>
    </row>
    <row r="5874" spans="1:3" x14ac:dyDescent="0.3">
      <c r="A5874">
        <v>17452</v>
      </c>
      <c r="B5874">
        <v>2</v>
      </c>
      <c r="C5874">
        <v>16</v>
      </c>
    </row>
    <row r="5875" spans="1:3" x14ac:dyDescent="0.3">
      <c r="A5875">
        <v>17698</v>
      </c>
      <c r="B5875">
        <v>2</v>
      </c>
      <c r="C5875">
        <v>16</v>
      </c>
    </row>
    <row r="5876" spans="1:3" x14ac:dyDescent="0.3">
      <c r="A5876">
        <v>17698</v>
      </c>
      <c r="B5876">
        <v>2</v>
      </c>
      <c r="C5876">
        <v>16</v>
      </c>
    </row>
    <row r="5877" spans="1:3" x14ac:dyDescent="0.3">
      <c r="A5877">
        <v>77428</v>
      </c>
      <c r="B5877">
        <v>2</v>
      </c>
      <c r="C5877">
        <v>16</v>
      </c>
    </row>
    <row r="5878" spans="1:3" x14ac:dyDescent="0.3">
      <c r="A5878">
        <v>77428</v>
      </c>
      <c r="B5878">
        <v>2</v>
      </c>
      <c r="C5878">
        <v>16</v>
      </c>
    </row>
    <row r="5879" spans="1:3" x14ac:dyDescent="0.3">
      <c r="A5879">
        <v>76331</v>
      </c>
      <c r="B5879">
        <v>2</v>
      </c>
      <c r="C5879">
        <v>16</v>
      </c>
    </row>
    <row r="5880" spans="1:3" x14ac:dyDescent="0.3">
      <c r="A5880">
        <v>76331</v>
      </c>
      <c r="B5880">
        <v>2</v>
      </c>
      <c r="C5880">
        <v>16</v>
      </c>
    </row>
    <row r="5881" spans="1:3" x14ac:dyDescent="0.3">
      <c r="A5881">
        <v>23617</v>
      </c>
      <c r="B5881">
        <v>2</v>
      </c>
      <c r="C5881">
        <v>16</v>
      </c>
    </row>
    <row r="5882" spans="1:3" x14ac:dyDescent="0.3">
      <c r="A5882">
        <v>23617</v>
      </c>
      <c r="B5882">
        <v>2</v>
      </c>
      <c r="C5882">
        <v>16</v>
      </c>
    </row>
    <row r="5883" spans="1:3" x14ac:dyDescent="0.3">
      <c r="A5883">
        <v>24519</v>
      </c>
      <c r="B5883">
        <v>2</v>
      </c>
      <c r="C5883">
        <v>16</v>
      </c>
    </row>
    <row r="5884" spans="1:3" x14ac:dyDescent="0.3">
      <c r="A5884">
        <v>24519</v>
      </c>
      <c r="B5884">
        <v>2</v>
      </c>
      <c r="C5884">
        <v>16</v>
      </c>
    </row>
    <row r="5885" spans="1:3" x14ac:dyDescent="0.3">
      <c r="A5885">
        <v>74179</v>
      </c>
      <c r="B5885">
        <v>2</v>
      </c>
      <c r="C5885">
        <v>16</v>
      </c>
    </row>
    <row r="5886" spans="1:3" x14ac:dyDescent="0.3">
      <c r="A5886">
        <v>74179</v>
      </c>
      <c r="B5886">
        <v>2</v>
      </c>
      <c r="C5886">
        <v>16</v>
      </c>
    </row>
    <row r="5887" spans="1:3" x14ac:dyDescent="0.3">
      <c r="A5887">
        <v>73625</v>
      </c>
      <c r="B5887">
        <v>2</v>
      </c>
      <c r="C5887">
        <v>16</v>
      </c>
    </row>
    <row r="5888" spans="1:3" x14ac:dyDescent="0.3">
      <c r="A5888">
        <v>73625</v>
      </c>
      <c r="B5888">
        <v>2</v>
      </c>
      <c r="C5888">
        <v>16</v>
      </c>
    </row>
    <row r="5889" spans="1:3" x14ac:dyDescent="0.3">
      <c r="A5889">
        <v>72545</v>
      </c>
      <c r="B5889">
        <v>2</v>
      </c>
      <c r="C5889">
        <v>16</v>
      </c>
    </row>
    <row r="5890" spans="1:3" x14ac:dyDescent="0.3">
      <c r="A5890">
        <v>72545</v>
      </c>
      <c r="B5890">
        <v>2</v>
      </c>
      <c r="C5890">
        <v>16</v>
      </c>
    </row>
    <row r="5891" spans="1:3" x14ac:dyDescent="0.3">
      <c r="A5891">
        <v>28486</v>
      </c>
      <c r="B5891">
        <v>2</v>
      </c>
      <c r="C5891">
        <v>16</v>
      </c>
    </row>
    <row r="5892" spans="1:3" x14ac:dyDescent="0.3">
      <c r="A5892">
        <v>28486</v>
      </c>
      <c r="B5892">
        <v>2</v>
      </c>
      <c r="C5892">
        <v>16</v>
      </c>
    </row>
    <row r="5893" spans="1:3" x14ac:dyDescent="0.3">
      <c r="A5893">
        <v>28835</v>
      </c>
      <c r="B5893">
        <v>2</v>
      </c>
      <c r="C5893">
        <v>16</v>
      </c>
    </row>
    <row r="5894" spans="1:3" x14ac:dyDescent="0.3">
      <c r="A5894">
        <v>28835</v>
      </c>
      <c r="B5894">
        <v>2</v>
      </c>
      <c r="C5894">
        <v>16</v>
      </c>
    </row>
    <row r="5895" spans="1:3" x14ac:dyDescent="0.3">
      <c r="A5895">
        <v>71462</v>
      </c>
      <c r="B5895">
        <v>2</v>
      </c>
      <c r="C5895">
        <v>16</v>
      </c>
    </row>
    <row r="5896" spans="1:3" x14ac:dyDescent="0.3">
      <c r="A5896">
        <v>71462</v>
      </c>
      <c r="B5896">
        <v>2</v>
      </c>
      <c r="C5896">
        <v>16</v>
      </c>
    </row>
    <row r="5897" spans="1:3" x14ac:dyDescent="0.3">
      <c r="A5897">
        <v>29489</v>
      </c>
      <c r="B5897">
        <v>2</v>
      </c>
      <c r="C5897">
        <v>16</v>
      </c>
    </row>
    <row r="5898" spans="1:3" x14ac:dyDescent="0.3">
      <c r="A5898">
        <v>29489</v>
      </c>
      <c r="B5898">
        <v>2</v>
      </c>
      <c r="C5898">
        <v>16</v>
      </c>
    </row>
    <row r="5899" spans="1:3" x14ac:dyDescent="0.3">
      <c r="A5899">
        <v>70974</v>
      </c>
      <c r="B5899">
        <v>2</v>
      </c>
      <c r="C5899">
        <v>16</v>
      </c>
    </row>
    <row r="5900" spans="1:3" x14ac:dyDescent="0.3">
      <c r="A5900">
        <v>70974</v>
      </c>
      <c r="B5900">
        <v>2</v>
      </c>
      <c r="C5900">
        <v>16</v>
      </c>
    </row>
    <row r="5901" spans="1:3" x14ac:dyDescent="0.3">
      <c r="A5901">
        <v>30081</v>
      </c>
      <c r="B5901">
        <v>2</v>
      </c>
      <c r="C5901">
        <v>16</v>
      </c>
    </row>
    <row r="5902" spans="1:3" x14ac:dyDescent="0.3">
      <c r="A5902">
        <v>30081</v>
      </c>
      <c r="B5902">
        <v>2</v>
      </c>
      <c r="C5902">
        <v>16</v>
      </c>
    </row>
    <row r="5903" spans="1:3" x14ac:dyDescent="0.3">
      <c r="A5903">
        <v>69284</v>
      </c>
      <c r="B5903">
        <v>2</v>
      </c>
      <c r="C5903">
        <v>16</v>
      </c>
    </row>
    <row r="5904" spans="1:3" x14ac:dyDescent="0.3">
      <c r="A5904">
        <v>69284</v>
      </c>
      <c r="B5904">
        <v>2</v>
      </c>
      <c r="C5904">
        <v>16</v>
      </c>
    </row>
    <row r="5905" spans="1:3" x14ac:dyDescent="0.3">
      <c r="A5905">
        <v>69281</v>
      </c>
      <c r="B5905">
        <v>2</v>
      </c>
      <c r="C5905">
        <v>16</v>
      </c>
    </row>
    <row r="5906" spans="1:3" x14ac:dyDescent="0.3">
      <c r="A5906">
        <v>69281</v>
      </c>
      <c r="B5906">
        <v>2</v>
      </c>
      <c r="C5906">
        <v>16</v>
      </c>
    </row>
    <row r="5907" spans="1:3" x14ac:dyDescent="0.3">
      <c r="A5907">
        <v>67519</v>
      </c>
      <c r="B5907">
        <v>2</v>
      </c>
      <c r="C5907">
        <v>8</v>
      </c>
    </row>
    <row r="5908" spans="1:3" x14ac:dyDescent="0.3">
      <c r="A5908">
        <v>67519</v>
      </c>
      <c r="B5908">
        <v>2</v>
      </c>
      <c r="C5908">
        <v>8</v>
      </c>
    </row>
    <row r="5909" spans="1:3" x14ac:dyDescent="0.3">
      <c r="A5909">
        <v>67255</v>
      </c>
      <c r="B5909">
        <v>2</v>
      </c>
      <c r="C5909">
        <v>16</v>
      </c>
    </row>
    <row r="5910" spans="1:3" x14ac:dyDescent="0.3">
      <c r="A5910">
        <v>67255</v>
      </c>
      <c r="B5910">
        <v>2</v>
      </c>
      <c r="C5910">
        <v>16</v>
      </c>
    </row>
    <row r="5911" spans="1:3" x14ac:dyDescent="0.3">
      <c r="A5911">
        <v>33401</v>
      </c>
      <c r="B5911">
        <v>2</v>
      </c>
      <c r="C5911">
        <v>16</v>
      </c>
    </row>
    <row r="5912" spans="1:3" x14ac:dyDescent="0.3">
      <c r="A5912">
        <v>33401</v>
      </c>
      <c r="B5912">
        <v>2</v>
      </c>
      <c r="C5912">
        <v>16</v>
      </c>
    </row>
    <row r="5913" spans="1:3" x14ac:dyDescent="0.3">
      <c r="A5913">
        <v>33571</v>
      </c>
      <c r="B5913">
        <v>2</v>
      </c>
      <c r="C5913">
        <v>16</v>
      </c>
    </row>
    <row r="5914" spans="1:3" x14ac:dyDescent="0.3">
      <c r="A5914">
        <v>33571</v>
      </c>
      <c r="B5914">
        <v>2</v>
      </c>
      <c r="C5914">
        <v>16</v>
      </c>
    </row>
    <row r="5915" spans="1:3" x14ac:dyDescent="0.3">
      <c r="A5915">
        <v>34173</v>
      </c>
      <c r="B5915">
        <v>2</v>
      </c>
      <c r="C5915">
        <v>16</v>
      </c>
    </row>
    <row r="5916" spans="1:3" x14ac:dyDescent="0.3">
      <c r="A5916">
        <v>34173</v>
      </c>
      <c r="B5916">
        <v>2</v>
      </c>
      <c r="C5916">
        <v>16</v>
      </c>
    </row>
    <row r="5917" spans="1:3" x14ac:dyDescent="0.3">
      <c r="A5917">
        <v>36350</v>
      </c>
      <c r="B5917">
        <v>2</v>
      </c>
      <c r="C5917">
        <v>16</v>
      </c>
    </row>
    <row r="5918" spans="1:3" x14ac:dyDescent="0.3">
      <c r="A5918">
        <v>36350</v>
      </c>
      <c r="B5918">
        <v>2</v>
      </c>
      <c r="C5918">
        <v>16</v>
      </c>
    </row>
    <row r="5919" spans="1:3" x14ac:dyDescent="0.3">
      <c r="A5919">
        <v>37783</v>
      </c>
      <c r="B5919">
        <v>2</v>
      </c>
      <c r="C5919">
        <v>16</v>
      </c>
    </row>
    <row r="5920" spans="1:3" x14ac:dyDescent="0.3">
      <c r="A5920">
        <v>37783</v>
      </c>
      <c r="B5920">
        <v>2</v>
      </c>
      <c r="C5920">
        <v>16</v>
      </c>
    </row>
    <row r="5921" spans="1:3" x14ac:dyDescent="0.3">
      <c r="A5921">
        <v>37968</v>
      </c>
      <c r="B5921">
        <v>2</v>
      </c>
      <c r="C5921">
        <v>16</v>
      </c>
    </row>
    <row r="5922" spans="1:3" x14ac:dyDescent="0.3">
      <c r="A5922">
        <v>37968</v>
      </c>
      <c r="B5922">
        <v>2</v>
      </c>
      <c r="C5922">
        <v>16</v>
      </c>
    </row>
    <row r="5923" spans="1:3" x14ac:dyDescent="0.3">
      <c r="A5923">
        <v>38012</v>
      </c>
      <c r="B5923">
        <v>2</v>
      </c>
      <c r="C5923">
        <v>16</v>
      </c>
    </row>
    <row r="5924" spans="1:3" x14ac:dyDescent="0.3">
      <c r="A5924">
        <v>38012</v>
      </c>
      <c r="B5924">
        <v>2</v>
      </c>
      <c r="C5924">
        <v>16</v>
      </c>
    </row>
    <row r="5925" spans="1:3" x14ac:dyDescent="0.3">
      <c r="A5925">
        <v>60042</v>
      </c>
      <c r="B5925">
        <v>2</v>
      </c>
      <c r="C5925">
        <v>16</v>
      </c>
    </row>
    <row r="5926" spans="1:3" x14ac:dyDescent="0.3">
      <c r="A5926">
        <v>60042</v>
      </c>
      <c r="B5926">
        <v>2</v>
      </c>
      <c r="C5926">
        <v>16</v>
      </c>
    </row>
    <row r="5927" spans="1:3" x14ac:dyDescent="0.3">
      <c r="A5927">
        <v>38746</v>
      </c>
      <c r="B5927">
        <v>2</v>
      </c>
      <c r="C5927">
        <v>16</v>
      </c>
    </row>
    <row r="5928" spans="1:3" x14ac:dyDescent="0.3">
      <c r="A5928">
        <v>38746</v>
      </c>
      <c r="B5928">
        <v>2</v>
      </c>
      <c r="C5928">
        <v>16</v>
      </c>
    </row>
    <row r="5929" spans="1:3" x14ac:dyDescent="0.3">
      <c r="A5929">
        <v>58471</v>
      </c>
      <c r="B5929">
        <v>3</v>
      </c>
      <c r="C5929">
        <v>16</v>
      </c>
    </row>
    <row r="5930" spans="1:3" x14ac:dyDescent="0.3">
      <c r="A5930">
        <v>58471</v>
      </c>
      <c r="B5930">
        <v>3</v>
      </c>
      <c r="C5930">
        <v>16</v>
      </c>
    </row>
    <row r="5931" spans="1:3" x14ac:dyDescent="0.3">
      <c r="A5931">
        <v>58471</v>
      </c>
      <c r="B5931">
        <v>3</v>
      </c>
      <c r="C5931">
        <v>16</v>
      </c>
    </row>
    <row r="5932" spans="1:3" x14ac:dyDescent="0.3">
      <c r="A5932">
        <v>42356</v>
      </c>
      <c r="B5932">
        <v>3</v>
      </c>
      <c r="C5932">
        <v>16</v>
      </c>
    </row>
    <row r="5933" spans="1:3" x14ac:dyDescent="0.3">
      <c r="A5933">
        <v>42356</v>
      </c>
      <c r="B5933">
        <v>3</v>
      </c>
      <c r="C5933">
        <v>16</v>
      </c>
    </row>
    <row r="5934" spans="1:3" x14ac:dyDescent="0.3">
      <c r="A5934">
        <v>42356</v>
      </c>
      <c r="B5934">
        <v>3</v>
      </c>
      <c r="C5934">
        <v>16</v>
      </c>
    </row>
    <row r="5935" spans="1:3" x14ac:dyDescent="0.3">
      <c r="A5935">
        <v>51558</v>
      </c>
      <c r="B5935">
        <v>2</v>
      </c>
      <c r="C5935">
        <v>16</v>
      </c>
    </row>
    <row r="5936" spans="1:3" x14ac:dyDescent="0.3">
      <c r="A5936">
        <v>51558</v>
      </c>
      <c r="B5936">
        <v>2</v>
      </c>
      <c r="C5936">
        <v>16</v>
      </c>
    </row>
    <row r="5937" spans="1:3" x14ac:dyDescent="0.3">
      <c r="A5937">
        <v>51408</v>
      </c>
      <c r="B5937">
        <v>2</v>
      </c>
      <c r="C5937">
        <v>16</v>
      </c>
    </row>
    <row r="5938" spans="1:3" x14ac:dyDescent="0.3">
      <c r="A5938">
        <v>51408</v>
      </c>
      <c r="B5938">
        <v>2</v>
      </c>
      <c r="C5938">
        <v>16</v>
      </c>
    </row>
    <row r="5939" spans="1:3" x14ac:dyDescent="0.3">
      <c r="A5939">
        <v>50298</v>
      </c>
      <c r="B5939">
        <v>2</v>
      </c>
      <c r="C5939">
        <v>16</v>
      </c>
    </row>
    <row r="5940" spans="1:3" x14ac:dyDescent="0.3">
      <c r="A5940">
        <v>50298</v>
      </c>
      <c r="B5940">
        <v>2</v>
      </c>
      <c r="C5940">
        <v>16</v>
      </c>
    </row>
    <row r="5941" spans="1:3" x14ac:dyDescent="0.3">
      <c r="A5941">
        <v>50107</v>
      </c>
      <c r="B5941">
        <v>2</v>
      </c>
      <c r="C5941">
        <v>16</v>
      </c>
    </row>
    <row r="5942" spans="1:3" x14ac:dyDescent="0.3">
      <c r="A5942">
        <v>50107</v>
      </c>
      <c r="B5942">
        <v>2</v>
      </c>
      <c r="C5942">
        <v>16</v>
      </c>
    </row>
    <row r="5943" spans="1:3" x14ac:dyDescent="0.3">
      <c r="A5943">
        <v>45522</v>
      </c>
      <c r="B5943">
        <v>2</v>
      </c>
      <c r="C5943">
        <v>16</v>
      </c>
    </row>
    <row r="5944" spans="1:3" x14ac:dyDescent="0.3">
      <c r="A5944">
        <v>45522</v>
      </c>
      <c r="B5944">
        <v>2</v>
      </c>
      <c r="C5944">
        <v>16</v>
      </c>
    </row>
    <row r="5945" spans="1:3" x14ac:dyDescent="0.3">
      <c r="A5945">
        <v>49074</v>
      </c>
      <c r="B5945">
        <v>2</v>
      </c>
      <c r="C5945">
        <v>16</v>
      </c>
    </row>
    <row r="5946" spans="1:3" x14ac:dyDescent="0.3">
      <c r="A5946">
        <v>49074</v>
      </c>
      <c r="B5946">
        <v>2</v>
      </c>
      <c r="C5946">
        <v>16</v>
      </c>
    </row>
    <row r="5947" spans="1:3" x14ac:dyDescent="0.3">
      <c r="A5947">
        <v>46080</v>
      </c>
      <c r="B5947">
        <v>2</v>
      </c>
      <c r="C5947">
        <v>16</v>
      </c>
    </row>
    <row r="5948" spans="1:3" x14ac:dyDescent="0.3">
      <c r="A5948">
        <v>78548</v>
      </c>
      <c r="B5948">
        <v>1</v>
      </c>
      <c r="C5948">
        <v>8</v>
      </c>
    </row>
    <row r="5949" spans="1:3" x14ac:dyDescent="0.3">
      <c r="A5949">
        <v>33473</v>
      </c>
      <c r="B5949">
        <v>1</v>
      </c>
      <c r="C5949">
        <v>8</v>
      </c>
    </row>
    <row r="5950" spans="1:3" x14ac:dyDescent="0.3">
      <c r="A5950">
        <v>33474</v>
      </c>
      <c r="B5950">
        <v>1</v>
      </c>
      <c r="C5950">
        <v>8</v>
      </c>
    </row>
    <row r="5951" spans="1:3" x14ac:dyDescent="0.3">
      <c r="A5951">
        <v>33475</v>
      </c>
      <c r="B5951">
        <v>1</v>
      </c>
      <c r="C5951">
        <v>8</v>
      </c>
    </row>
    <row r="5952" spans="1:3" x14ac:dyDescent="0.3">
      <c r="A5952">
        <v>64839</v>
      </c>
      <c r="B5952">
        <v>1</v>
      </c>
      <c r="C5952">
        <v>8</v>
      </c>
    </row>
    <row r="5953" spans="1:3" x14ac:dyDescent="0.3">
      <c r="A5953">
        <v>76150</v>
      </c>
      <c r="B5953">
        <v>1</v>
      </c>
      <c r="C5953">
        <v>8</v>
      </c>
    </row>
    <row r="5954" spans="1:3" x14ac:dyDescent="0.3">
      <c r="A5954">
        <v>75189</v>
      </c>
      <c r="B5954">
        <v>1</v>
      </c>
      <c r="C5954">
        <v>8</v>
      </c>
    </row>
    <row r="5955" spans="1:3" x14ac:dyDescent="0.3">
      <c r="A5955">
        <v>23365</v>
      </c>
      <c r="B5955">
        <v>1</v>
      </c>
      <c r="C5955">
        <v>16</v>
      </c>
    </row>
    <row r="5956" spans="1:3" x14ac:dyDescent="0.3">
      <c r="A5956">
        <v>26871</v>
      </c>
      <c r="B5956">
        <v>1</v>
      </c>
      <c r="C5956">
        <v>8</v>
      </c>
    </row>
    <row r="5957" spans="1:3" x14ac:dyDescent="0.3">
      <c r="A5957">
        <v>73711</v>
      </c>
      <c r="B5957">
        <v>1</v>
      </c>
      <c r="C5957">
        <v>8</v>
      </c>
    </row>
    <row r="5958" spans="1:3" x14ac:dyDescent="0.3">
      <c r="A5958">
        <v>13050</v>
      </c>
      <c r="B5958">
        <v>1</v>
      </c>
      <c r="C5958">
        <v>8</v>
      </c>
    </row>
    <row r="5959" spans="1:3" x14ac:dyDescent="0.3">
      <c r="A5959">
        <v>13774</v>
      </c>
      <c r="B5959">
        <v>2</v>
      </c>
      <c r="C5959">
        <v>16</v>
      </c>
    </row>
    <row r="5960" spans="1:3" x14ac:dyDescent="0.3">
      <c r="A5960">
        <v>78304</v>
      </c>
      <c r="B5960">
        <v>1</v>
      </c>
      <c r="C5960">
        <v>8</v>
      </c>
    </row>
    <row r="5961" spans="1:3" x14ac:dyDescent="0.3">
      <c r="A5961">
        <v>16761</v>
      </c>
      <c r="B5961">
        <v>1</v>
      </c>
      <c r="C5961">
        <v>8</v>
      </c>
    </row>
    <row r="5962" spans="1:3" x14ac:dyDescent="0.3">
      <c r="A5962">
        <v>17743</v>
      </c>
      <c r="B5962">
        <v>1</v>
      </c>
      <c r="C5962">
        <v>8</v>
      </c>
    </row>
    <row r="5963" spans="1:3" x14ac:dyDescent="0.3">
      <c r="A5963">
        <v>17974</v>
      </c>
      <c r="B5963">
        <v>1</v>
      </c>
      <c r="C5963">
        <v>8</v>
      </c>
    </row>
    <row r="5964" spans="1:3" x14ac:dyDescent="0.3">
      <c r="A5964">
        <v>76622</v>
      </c>
      <c r="B5964">
        <v>1</v>
      </c>
      <c r="C5964">
        <v>8</v>
      </c>
    </row>
    <row r="5965" spans="1:3" x14ac:dyDescent="0.3">
      <c r="A5965">
        <v>75839</v>
      </c>
      <c r="B5965">
        <v>1</v>
      </c>
      <c r="C5965">
        <v>8</v>
      </c>
    </row>
    <row r="5966" spans="1:3" x14ac:dyDescent="0.3">
      <c r="A5966">
        <v>23433</v>
      </c>
      <c r="B5966">
        <v>2</v>
      </c>
      <c r="C5966">
        <v>16</v>
      </c>
    </row>
    <row r="5967" spans="1:3" x14ac:dyDescent="0.3">
      <c r="A5967">
        <v>23756</v>
      </c>
      <c r="B5967">
        <v>1</v>
      </c>
      <c r="C5967">
        <v>8</v>
      </c>
    </row>
    <row r="5968" spans="1:3" x14ac:dyDescent="0.3">
      <c r="A5968">
        <v>75272</v>
      </c>
      <c r="B5968">
        <v>1</v>
      </c>
      <c r="C5968">
        <v>8</v>
      </c>
    </row>
    <row r="5969" spans="1:3" x14ac:dyDescent="0.3">
      <c r="A5969">
        <v>74586</v>
      </c>
      <c r="B5969">
        <v>1</v>
      </c>
      <c r="C5969">
        <v>8</v>
      </c>
    </row>
    <row r="5970" spans="1:3" x14ac:dyDescent="0.3">
      <c r="A5970">
        <v>74538</v>
      </c>
      <c r="B5970">
        <v>1</v>
      </c>
      <c r="C5970">
        <v>8</v>
      </c>
    </row>
    <row r="5971" spans="1:3" x14ac:dyDescent="0.3">
      <c r="A5971">
        <v>74266</v>
      </c>
      <c r="B5971">
        <v>1</v>
      </c>
      <c r="C5971">
        <v>8</v>
      </c>
    </row>
    <row r="5972" spans="1:3" x14ac:dyDescent="0.3">
      <c r="A5972">
        <v>27884</v>
      </c>
      <c r="B5972">
        <v>1</v>
      </c>
      <c r="C5972">
        <v>8</v>
      </c>
    </row>
    <row r="5973" spans="1:3" x14ac:dyDescent="0.3">
      <c r="A5973">
        <v>29022</v>
      </c>
      <c r="B5973">
        <v>1</v>
      </c>
      <c r="C5973">
        <v>8</v>
      </c>
    </row>
    <row r="5974" spans="1:3" x14ac:dyDescent="0.3">
      <c r="A5974">
        <v>29174</v>
      </c>
      <c r="B5974">
        <v>1</v>
      </c>
      <c r="C5974">
        <v>8</v>
      </c>
    </row>
    <row r="5975" spans="1:3" x14ac:dyDescent="0.3">
      <c r="A5975">
        <v>31187</v>
      </c>
      <c r="B5975">
        <v>1</v>
      </c>
      <c r="C5975">
        <v>8</v>
      </c>
    </row>
    <row r="5976" spans="1:3" x14ac:dyDescent="0.3">
      <c r="A5976">
        <v>31710</v>
      </c>
      <c r="B5976">
        <v>1</v>
      </c>
      <c r="C5976">
        <v>8</v>
      </c>
    </row>
    <row r="5977" spans="1:3" x14ac:dyDescent="0.3">
      <c r="A5977">
        <v>67813</v>
      </c>
      <c r="B5977">
        <v>1</v>
      </c>
      <c r="C5977">
        <v>16</v>
      </c>
    </row>
    <row r="5978" spans="1:3" x14ac:dyDescent="0.3">
      <c r="A5978">
        <v>66517</v>
      </c>
      <c r="B5978">
        <v>1</v>
      </c>
      <c r="C5978">
        <v>8</v>
      </c>
    </row>
    <row r="5979" spans="1:3" x14ac:dyDescent="0.3">
      <c r="A5979">
        <v>66311</v>
      </c>
      <c r="B5979">
        <v>1</v>
      </c>
      <c r="C5979">
        <v>8</v>
      </c>
    </row>
    <row r="5980" spans="1:3" x14ac:dyDescent="0.3">
      <c r="A5980">
        <v>35107</v>
      </c>
      <c r="B5980">
        <v>1</v>
      </c>
      <c r="C5980">
        <v>8</v>
      </c>
    </row>
    <row r="5981" spans="1:3" x14ac:dyDescent="0.3">
      <c r="A5981">
        <v>64152</v>
      </c>
      <c r="B5981">
        <v>1</v>
      </c>
      <c r="C5981">
        <v>8</v>
      </c>
    </row>
    <row r="5982" spans="1:3" x14ac:dyDescent="0.3">
      <c r="A5982">
        <v>63148</v>
      </c>
      <c r="B5982">
        <v>1</v>
      </c>
      <c r="C5982">
        <v>8</v>
      </c>
    </row>
    <row r="5983" spans="1:3" x14ac:dyDescent="0.3">
      <c r="A5983">
        <v>62398</v>
      </c>
      <c r="B5983">
        <v>1</v>
      </c>
      <c r="C5983">
        <v>8</v>
      </c>
    </row>
    <row r="5984" spans="1:3" x14ac:dyDescent="0.3">
      <c r="A5984">
        <v>61670</v>
      </c>
      <c r="B5984">
        <v>1</v>
      </c>
      <c r="C5984">
        <v>8</v>
      </c>
    </row>
    <row r="5985" spans="1:3" x14ac:dyDescent="0.3">
      <c r="A5985">
        <v>37333</v>
      </c>
      <c r="B5985">
        <v>1</v>
      </c>
      <c r="C5985">
        <v>8</v>
      </c>
    </row>
    <row r="5986" spans="1:3" x14ac:dyDescent="0.3">
      <c r="A5986">
        <v>37839</v>
      </c>
      <c r="B5986">
        <v>1</v>
      </c>
      <c r="C5986">
        <v>8</v>
      </c>
    </row>
    <row r="5987" spans="1:3" x14ac:dyDescent="0.3">
      <c r="A5987">
        <v>60330</v>
      </c>
      <c r="B5987">
        <v>1</v>
      </c>
      <c r="C5987">
        <v>8</v>
      </c>
    </row>
    <row r="5988" spans="1:3" x14ac:dyDescent="0.3">
      <c r="A5988">
        <v>58408</v>
      </c>
      <c r="B5988">
        <v>1</v>
      </c>
      <c r="C5988">
        <v>8</v>
      </c>
    </row>
    <row r="5989" spans="1:3" x14ac:dyDescent="0.3">
      <c r="A5989">
        <v>57707</v>
      </c>
      <c r="B5989">
        <v>1</v>
      </c>
      <c r="C5989">
        <v>8</v>
      </c>
    </row>
    <row r="5990" spans="1:3" x14ac:dyDescent="0.3">
      <c r="A5990">
        <v>39668</v>
      </c>
      <c r="B5990">
        <v>1</v>
      </c>
      <c r="C5990">
        <v>8</v>
      </c>
    </row>
    <row r="5991" spans="1:3" x14ac:dyDescent="0.3">
      <c r="A5991">
        <v>57546</v>
      </c>
      <c r="B5991">
        <v>1</v>
      </c>
      <c r="C5991">
        <v>8</v>
      </c>
    </row>
    <row r="5992" spans="1:3" x14ac:dyDescent="0.3">
      <c r="A5992">
        <v>57259</v>
      </c>
      <c r="B5992">
        <v>1</v>
      </c>
      <c r="C5992">
        <v>8</v>
      </c>
    </row>
    <row r="5993" spans="1:3" x14ac:dyDescent="0.3">
      <c r="A5993">
        <v>56407</v>
      </c>
      <c r="B5993">
        <v>1</v>
      </c>
      <c r="C5993">
        <v>8</v>
      </c>
    </row>
    <row r="5994" spans="1:3" x14ac:dyDescent="0.3">
      <c r="A5994">
        <v>54941</v>
      </c>
      <c r="B5994">
        <v>2</v>
      </c>
      <c r="C5994">
        <v>16</v>
      </c>
    </row>
    <row r="5995" spans="1:3" x14ac:dyDescent="0.3">
      <c r="A5995">
        <v>53791</v>
      </c>
      <c r="B5995">
        <v>1</v>
      </c>
      <c r="C5995">
        <v>16</v>
      </c>
    </row>
    <row r="5996" spans="1:3" x14ac:dyDescent="0.3">
      <c r="A5996">
        <v>53198</v>
      </c>
      <c r="B5996">
        <v>1</v>
      </c>
      <c r="C5996">
        <v>8</v>
      </c>
    </row>
    <row r="5997" spans="1:3" x14ac:dyDescent="0.3">
      <c r="A5997">
        <v>52932</v>
      </c>
      <c r="B5997">
        <v>1</v>
      </c>
      <c r="C5997">
        <v>8</v>
      </c>
    </row>
    <row r="5998" spans="1:3" x14ac:dyDescent="0.3">
      <c r="A5998">
        <v>52928</v>
      </c>
      <c r="B5998">
        <v>2</v>
      </c>
      <c r="C5998">
        <v>16</v>
      </c>
    </row>
    <row r="5999" spans="1:3" x14ac:dyDescent="0.3">
      <c r="A5999">
        <v>51901</v>
      </c>
      <c r="B5999">
        <v>1</v>
      </c>
      <c r="C5999">
        <v>8</v>
      </c>
    </row>
    <row r="6000" spans="1:3" x14ac:dyDescent="0.3">
      <c r="A6000">
        <v>50773</v>
      </c>
      <c r="B6000">
        <v>1</v>
      </c>
      <c r="C6000">
        <v>16</v>
      </c>
    </row>
    <row r="6001" spans="1:3" x14ac:dyDescent="0.3">
      <c r="A6001">
        <v>50586</v>
      </c>
      <c r="B6001">
        <v>1</v>
      </c>
      <c r="C6001">
        <v>16</v>
      </c>
    </row>
    <row r="6002" spans="1:3" x14ac:dyDescent="0.3">
      <c r="A6002" s="26">
        <v>50122</v>
      </c>
      <c r="B6002" s="26">
        <v>1</v>
      </c>
      <c r="C6002" s="26">
        <v>8</v>
      </c>
    </row>
    <row r="6003" spans="1:3" x14ac:dyDescent="0.3">
      <c r="A6003">
        <v>49099</v>
      </c>
      <c r="B6003">
        <v>1</v>
      </c>
      <c r="C6003">
        <v>8</v>
      </c>
    </row>
    <row r="6004" spans="1:3" x14ac:dyDescent="0.3">
      <c r="A6004">
        <v>47214</v>
      </c>
      <c r="B6004">
        <v>1</v>
      </c>
      <c r="C6004">
        <v>8</v>
      </c>
    </row>
    <row r="6005" spans="1:3" x14ac:dyDescent="0.3">
      <c r="A6005">
        <v>26901</v>
      </c>
      <c r="B6005">
        <v>2</v>
      </c>
      <c r="C6005">
        <v>16</v>
      </c>
    </row>
    <row r="6006" spans="1:3" x14ac:dyDescent="0.3">
      <c r="A6006">
        <v>26901</v>
      </c>
      <c r="B6006">
        <v>2</v>
      </c>
      <c r="C6006">
        <v>16</v>
      </c>
    </row>
    <row r="6007" spans="1:3" x14ac:dyDescent="0.3">
      <c r="A6007">
        <v>27074</v>
      </c>
      <c r="B6007">
        <v>2</v>
      </c>
      <c r="C6007">
        <v>16</v>
      </c>
    </row>
    <row r="6008" spans="1:3" x14ac:dyDescent="0.3">
      <c r="A6008">
        <v>27074</v>
      </c>
      <c r="B6008">
        <v>2</v>
      </c>
      <c r="C6008">
        <v>16</v>
      </c>
    </row>
    <row r="6009" spans="1:3" x14ac:dyDescent="0.3">
      <c r="A6009">
        <v>27075</v>
      </c>
      <c r="B6009">
        <v>2</v>
      </c>
      <c r="C6009">
        <v>16</v>
      </c>
    </row>
    <row r="6010" spans="1:3" x14ac:dyDescent="0.3">
      <c r="A6010">
        <v>27075</v>
      </c>
      <c r="B6010">
        <v>2</v>
      </c>
      <c r="C6010">
        <v>16</v>
      </c>
    </row>
    <row r="6011" spans="1:3" x14ac:dyDescent="0.3">
      <c r="A6011">
        <v>29021</v>
      </c>
      <c r="B6011">
        <v>2</v>
      </c>
      <c r="C6011">
        <v>16</v>
      </c>
    </row>
    <row r="6012" spans="1:3" x14ac:dyDescent="0.3">
      <c r="A6012">
        <v>29021</v>
      </c>
      <c r="B6012">
        <v>2</v>
      </c>
      <c r="C6012">
        <v>16</v>
      </c>
    </row>
    <row r="6013" spans="1:3" x14ac:dyDescent="0.3">
      <c r="A6013">
        <v>29693</v>
      </c>
      <c r="B6013">
        <v>2</v>
      </c>
      <c r="C6013">
        <v>16</v>
      </c>
    </row>
    <row r="6014" spans="1:3" x14ac:dyDescent="0.3">
      <c r="A6014">
        <v>29693</v>
      </c>
      <c r="B6014">
        <v>2</v>
      </c>
      <c r="C6014">
        <v>16</v>
      </c>
    </row>
    <row r="6015" spans="1:3" x14ac:dyDescent="0.3">
      <c r="A6015">
        <v>32103</v>
      </c>
      <c r="B6015">
        <v>1</v>
      </c>
      <c r="C6015">
        <v>8</v>
      </c>
    </row>
    <row r="6016" spans="1:3" x14ac:dyDescent="0.3">
      <c r="A6016">
        <v>33485</v>
      </c>
      <c r="B6016">
        <v>3</v>
      </c>
      <c r="C6016">
        <v>16</v>
      </c>
    </row>
    <row r="6017" spans="1:3" x14ac:dyDescent="0.3">
      <c r="A6017">
        <v>33485</v>
      </c>
      <c r="B6017">
        <v>3</v>
      </c>
      <c r="C6017">
        <v>16</v>
      </c>
    </row>
    <row r="6018" spans="1:3" x14ac:dyDescent="0.3">
      <c r="A6018">
        <v>33485</v>
      </c>
      <c r="B6018">
        <v>3</v>
      </c>
      <c r="C6018">
        <v>16</v>
      </c>
    </row>
    <row r="6019" spans="1:3" x14ac:dyDescent="0.3">
      <c r="A6019">
        <v>50585</v>
      </c>
      <c r="B6019">
        <v>2</v>
      </c>
      <c r="C6019">
        <v>16</v>
      </c>
    </row>
    <row r="6020" spans="1:3" x14ac:dyDescent="0.3">
      <c r="A6020">
        <v>50585</v>
      </c>
      <c r="B6020">
        <v>2</v>
      </c>
      <c r="C6020">
        <v>16</v>
      </c>
    </row>
    <row r="6021" spans="1:3" x14ac:dyDescent="0.3">
      <c r="A6021">
        <v>81364</v>
      </c>
      <c r="B6021">
        <v>1</v>
      </c>
      <c r="C6021">
        <v>8</v>
      </c>
    </row>
    <row r="6022" spans="1:3" x14ac:dyDescent="0.3">
      <c r="A6022">
        <v>79027</v>
      </c>
      <c r="B6022">
        <v>1</v>
      </c>
      <c r="C6022">
        <v>8</v>
      </c>
    </row>
    <row r="6023" spans="1:3" x14ac:dyDescent="0.3">
      <c r="A6023">
        <v>78407</v>
      </c>
      <c r="B6023">
        <v>1</v>
      </c>
      <c r="C6023">
        <v>8</v>
      </c>
    </row>
    <row r="6024" spans="1:3" x14ac:dyDescent="0.3">
      <c r="A6024">
        <v>74533</v>
      </c>
      <c r="B6024">
        <v>1</v>
      </c>
      <c r="C6024">
        <v>8</v>
      </c>
    </row>
    <row r="6025" spans="1:3" x14ac:dyDescent="0.3">
      <c r="A6025">
        <v>71912</v>
      </c>
      <c r="B6025">
        <v>1</v>
      </c>
      <c r="C6025">
        <v>8</v>
      </c>
    </row>
    <row r="6026" spans="1:3" x14ac:dyDescent="0.3">
      <c r="A6026">
        <v>25952</v>
      </c>
      <c r="B6026">
        <v>1</v>
      </c>
      <c r="C6026">
        <v>8</v>
      </c>
    </row>
    <row r="6027" spans="1:3" x14ac:dyDescent="0.3">
      <c r="A6027">
        <v>77946</v>
      </c>
      <c r="B6027">
        <v>1</v>
      </c>
      <c r="C6027">
        <v>8</v>
      </c>
    </row>
    <row r="6028" spans="1:3" x14ac:dyDescent="0.3">
      <c r="A6028">
        <v>57053</v>
      </c>
      <c r="B6028">
        <v>1</v>
      </c>
      <c r="C6028">
        <v>16</v>
      </c>
    </row>
    <row r="6029" spans="1:3" x14ac:dyDescent="0.3">
      <c r="A6029">
        <v>38873</v>
      </c>
      <c r="B6029">
        <v>1</v>
      </c>
      <c r="C6029">
        <v>8</v>
      </c>
    </row>
    <row r="6030" spans="1:3" x14ac:dyDescent="0.3">
      <c r="A6030">
        <v>10035</v>
      </c>
      <c r="B6030">
        <v>4</v>
      </c>
      <c r="C6030">
        <v>16</v>
      </c>
    </row>
    <row r="6031" spans="1:3" x14ac:dyDescent="0.3">
      <c r="A6031">
        <v>80589</v>
      </c>
      <c r="B6031">
        <v>1</v>
      </c>
      <c r="C6031">
        <v>8</v>
      </c>
    </row>
    <row r="6032" spans="1:3" x14ac:dyDescent="0.3">
      <c r="A6032">
        <v>78375</v>
      </c>
      <c r="B6032">
        <v>1</v>
      </c>
      <c r="C6032">
        <v>8</v>
      </c>
    </row>
    <row r="6033" spans="1:3" x14ac:dyDescent="0.3">
      <c r="A6033">
        <v>76124</v>
      </c>
      <c r="B6033">
        <v>2</v>
      </c>
      <c r="C6033">
        <v>8</v>
      </c>
    </row>
    <row r="6034" spans="1:3" x14ac:dyDescent="0.3">
      <c r="A6034">
        <v>76063</v>
      </c>
      <c r="B6034">
        <v>2</v>
      </c>
      <c r="C6034">
        <v>16</v>
      </c>
    </row>
    <row r="6035" spans="1:3" x14ac:dyDescent="0.3">
      <c r="A6035">
        <v>16737</v>
      </c>
      <c r="B6035">
        <v>1</v>
      </c>
      <c r="C6035">
        <v>8</v>
      </c>
    </row>
    <row r="6036" spans="1:3" x14ac:dyDescent="0.3">
      <c r="A6036">
        <v>64026</v>
      </c>
      <c r="B6036">
        <v>2</v>
      </c>
      <c r="C6036">
        <v>16</v>
      </c>
    </row>
    <row r="6037" spans="1:3" x14ac:dyDescent="0.3">
      <c r="A6037">
        <v>48768</v>
      </c>
      <c r="B6037">
        <v>3</v>
      </c>
      <c r="C6037">
        <v>16</v>
      </c>
    </row>
    <row r="6038" spans="1:3" x14ac:dyDescent="0.3">
      <c r="A6038">
        <v>43294</v>
      </c>
      <c r="B6038">
        <v>3</v>
      </c>
      <c r="C6038">
        <v>16</v>
      </c>
    </row>
    <row r="6039" spans="1:3" x14ac:dyDescent="0.3">
      <c r="A6039">
        <v>41725</v>
      </c>
      <c r="B6039">
        <v>1</v>
      </c>
      <c r="C6039">
        <v>8</v>
      </c>
    </row>
    <row r="6040" spans="1:3" x14ac:dyDescent="0.3">
      <c r="A6040">
        <v>41155</v>
      </c>
      <c r="B6040">
        <v>2</v>
      </c>
      <c r="C6040">
        <v>16</v>
      </c>
    </row>
    <row r="6041" spans="1:3" x14ac:dyDescent="0.3">
      <c r="A6041">
        <v>35142</v>
      </c>
      <c r="B6041">
        <v>1</v>
      </c>
      <c r="C6041">
        <v>16</v>
      </c>
    </row>
    <row r="6042" spans="1:3" x14ac:dyDescent="0.3">
      <c r="A6042">
        <v>30988</v>
      </c>
      <c r="B6042">
        <v>1</v>
      </c>
      <c r="C6042">
        <v>8</v>
      </c>
    </row>
    <row r="6043" spans="1:3" x14ac:dyDescent="0.3">
      <c r="A6043">
        <v>80131</v>
      </c>
      <c r="B6043">
        <v>1</v>
      </c>
      <c r="C6043">
        <v>8</v>
      </c>
    </row>
    <row r="6044" spans="1:3" x14ac:dyDescent="0.3">
      <c r="A6044">
        <v>79367</v>
      </c>
      <c r="B6044">
        <v>1</v>
      </c>
      <c r="C6044">
        <v>8</v>
      </c>
    </row>
    <row r="6045" spans="1:3" x14ac:dyDescent="0.3">
      <c r="A6045">
        <v>28564</v>
      </c>
      <c r="B6045">
        <v>1</v>
      </c>
      <c r="C6045">
        <v>8</v>
      </c>
    </row>
    <row r="6046" spans="1:3" x14ac:dyDescent="0.3">
      <c r="A6046">
        <v>80649</v>
      </c>
      <c r="B6046">
        <v>1</v>
      </c>
      <c r="C6046">
        <v>8</v>
      </c>
    </row>
    <row r="6047" spans="1:3" x14ac:dyDescent="0.3">
      <c r="A6047">
        <v>80574</v>
      </c>
      <c r="B6047">
        <v>1</v>
      </c>
      <c r="C6047">
        <v>8</v>
      </c>
    </row>
    <row r="6048" spans="1:3" x14ac:dyDescent="0.3">
      <c r="A6048">
        <v>80340</v>
      </c>
      <c r="B6048">
        <v>1</v>
      </c>
      <c r="C6048">
        <v>8</v>
      </c>
    </row>
    <row r="6049" spans="1:3" x14ac:dyDescent="0.3">
      <c r="A6049">
        <v>79972</v>
      </c>
      <c r="B6049">
        <v>1</v>
      </c>
      <c r="C6049">
        <v>8</v>
      </c>
    </row>
    <row r="6050" spans="1:3" x14ac:dyDescent="0.3">
      <c r="A6050">
        <v>79971</v>
      </c>
      <c r="B6050">
        <v>1</v>
      </c>
      <c r="C6050">
        <v>8</v>
      </c>
    </row>
    <row r="6051" spans="1:3" x14ac:dyDescent="0.3">
      <c r="A6051">
        <v>79929</v>
      </c>
      <c r="B6051">
        <v>1</v>
      </c>
      <c r="C6051">
        <v>8</v>
      </c>
    </row>
    <row r="6052" spans="1:3" x14ac:dyDescent="0.3">
      <c r="A6052">
        <v>79275</v>
      </c>
      <c r="B6052">
        <v>1</v>
      </c>
      <c r="C6052">
        <v>8</v>
      </c>
    </row>
    <row r="6053" spans="1:3" x14ac:dyDescent="0.3">
      <c r="A6053">
        <v>77950</v>
      </c>
      <c r="B6053">
        <v>1</v>
      </c>
      <c r="C6053">
        <v>8</v>
      </c>
    </row>
    <row r="6054" spans="1:3" x14ac:dyDescent="0.3">
      <c r="A6054">
        <v>75682</v>
      </c>
      <c r="B6054">
        <v>1</v>
      </c>
      <c r="C6054">
        <v>8</v>
      </c>
    </row>
    <row r="6055" spans="1:3" x14ac:dyDescent="0.3">
      <c r="A6055">
        <v>75598</v>
      </c>
      <c r="B6055">
        <v>1</v>
      </c>
      <c r="C6055">
        <v>8</v>
      </c>
    </row>
    <row r="6056" spans="1:3" x14ac:dyDescent="0.3">
      <c r="A6056">
        <v>74594</v>
      </c>
      <c r="B6056">
        <v>1</v>
      </c>
      <c r="C6056">
        <v>8</v>
      </c>
    </row>
    <row r="6057" spans="1:3" x14ac:dyDescent="0.3">
      <c r="A6057">
        <v>74477</v>
      </c>
      <c r="B6057">
        <v>1</v>
      </c>
      <c r="C6057">
        <v>8</v>
      </c>
    </row>
    <row r="6058" spans="1:3" x14ac:dyDescent="0.3">
      <c r="A6058">
        <v>74220</v>
      </c>
      <c r="B6058">
        <v>1</v>
      </c>
      <c r="C6058">
        <v>8</v>
      </c>
    </row>
    <row r="6059" spans="1:3" x14ac:dyDescent="0.3">
      <c r="A6059">
        <v>13273</v>
      </c>
      <c r="B6059">
        <v>1</v>
      </c>
      <c r="C6059">
        <v>8</v>
      </c>
    </row>
    <row r="6060" spans="1:3" x14ac:dyDescent="0.3">
      <c r="A6060">
        <v>72297</v>
      </c>
      <c r="B6060">
        <v>1</v>
      </c>
      <c r="C6060">
        <v>8</v>
      </c>
    </row>
    <row r="6061" spans="1:3" x14ac:dyDescent="0.3">
      <c r="A6061">
        <v>13948</v>
      </c>
      <c r="B6061">
        <v>1</v>
      </c>
      <c r="C6061">
        <v>8</v>
      </c>
    </row>
    <row r="6062" spans="1:3" x14ac:dyDescent="0.3">
      <c r="A6062">
        <v>15559</v>
      </c>
      <c r="B6062">
        <v>1</v>
      </c>
      <c r="C6062">
        <v>8</v>
      </c>
    </row>
    <row r="6063" spans="1:3" x14ac:dyDescent="0.3">
      <c r="A6063">
        <v>68069</v>
      </c>
      <c r="B6063">
        <v>1</v>
      </c>
      <c r="C6063">
        <v>8</v>
      </c>
    </row>
    <row r="6064" spans="1:3" x14ac:dyDescent="0.3">
      <c r="A6064">
        <v>67675</v>
      </c>
      <c r="B6064">
        <v>1</v>
      </c>
      <c r="C6064">
        <v>16</v>
      </c>
    </row>
    <row r="6065" spans="1:3" x14ac:dyDescent="0.3">
      <c r="A6065">
        <v>16125</v>
      </c>
      <c r="B6065">
        <v>1</v>
      </c>
      <c r="C6065">
        <v>8</v>
      </c>
    </row>
    <row r="6066" spans="1:3" x14ac:dyDescent="0.3">
      <c r="A6066">
        <v>17364</v>
      </c>
      <c r="B6066">
        <v>2</v>
      </c>
      <c r="C6066">
        <v>8</v>
      </c>
    </row>
    <row r="6067" spans="1:3" x14ac:dyDescent="0.3">
      <c r="A6067">
        <v>61867</v>
      </c>
      <c r="B6067">
        <v>1</v>
      </c>
      <c r="C6067">
        <v>8</v>
      </c>
    </row>
    <row r="6068" spans="1:3" x14ac:dyDescent="0.3">
      <c r="A6068">
        <v>18779</v>
      </c>
      <c r="B6068">
        <v>1</v>
      </c>
      <c r="C6068">
        <v>8</v>
      </c>
    </row>
    <row r="6069" spans="1:3" x14ac:dyDescent="0.3">
      <c r="A6069">
        <v>51186</v>
      </c>
      <c r="B6069">
        <v>1</v>
      </c>
      <c r="C6069">
        <v>8</v>
      </c>
    </row>
    <row r="6070" spans="1:3" x14ac:dyDescent="0.3">
      <c r="A6070">
        <v>49218</v>
      </c>
      <c r="B6070">
        <v>1</v>
      </c>
      <c r="C6070">
        <v>8</v>
      </c>
    </row>
    <row r="6071" spans="1:3" x14ac:dyDescent="0.3">
      <c r="A6071">
        <v>48664</v>
      </c>
      <c r="B6071">
        <v>1</v>
      </c>
      <c r="C6071">
        <v>8</v>
      </c>
    </row>
    <row r="6072" spans="1:3" x14ac:dyDescent="0.3">
      <c r="A6072">
        <v>46039</v>
      </c>
      <c r="B6072">
        <v>1</v>
      </c>
      <c r="C6072">
        <v>8</v>
      </c>
    </row>
    <row r="6073" spans="1:3" x14ac:dyDescent="0.3">
      <c r="A6073">
        <v>45678</v>
      </c>
      <c r="B6073">
        <v>1</v>
      </c>
      <c r="C6073">
        <v>8</v>
      </c>
    </row>
    <row r="6074" spans="1:3" x14ac:dyDescent="0.3">
      <c r="A6074">
        <v>22185</v>
      </c>
      <c r="B6074">
        <v>1</v>
      </c>
      <c r="C6074">
        <v>8</v>
      </c>
    </row>
    <row r="6075" spans="1:3" x14ac:dyDescent="0.3">
      <c r="A6075">
        <v>42900</v>
      </c>
      <c r="B6075">
        <v>1</v>
      </c>
      <c r="C6075">
        <v>8</v>
      </c>
    </row>
    <row r="6076" spans="1:3" x14ac:dyDescent="0.3">
      <c r="A6076">
        <v>42390</v>
      </c>
      <c r="B6076">
        <v>1</v>
      </c>
      <c r="C6076">
        <v>8</v>
      </c>
    </row>
    <row r="6077" spans="1:3" x14ac:dyDescent="0.3">
      <c r="A6077">
        <v>42299</v>
      </c>
      <c r="B6077">
        <v>1</v>
      </c>
      <c r="C6077">
        <v>8</v>
      </c>
    </row>
    <row r="6078" spans="1:3" x14ac:dyDescent="0.3">
      <c r="A6078">
        <v>41134</v>
      </c>
      <c r="B6078">
        <v>1</v>
      </c>
      <c r="C6078">
        <v>8</v>
      </c>
    </row>
    <row r="6079" spans="1:3" x14ac:dyDescent="0.3">
      <c r="A6079">
        <v>39924</v>
      </c>
      <c r="B6079">
        <v>1</v>
      </c>
      <c r="C6079">
        <v>16</v>
      </c>
    </row>
    <row r="6080" spans="1:3" x14ac:dyDescent="0.3">
      <c r="A6080">
        <v>39758</v>
      </c>
      <c r="B6080">
        <v>1</v>
      </c>
      <c r="C6080">
        <v>8</v>
      </c>
    </row>
    <row r="6081" spans="1:3" x14ac:dyDescent="0.3">
      <c r="A6081">
        <v>23089</v>
      </c>
      <c r="B6081">
        <v>1</v>
      </c>
      <c r="C6081">
        <v>8</v>
      </c>
    </row>
    <row r="6082" spans="1:3" x14ac:dyDescent="0.3">
      <c r="A6082">
        <v>38159</v>
      </c>
      <c r="B6082">
        <v>1</v>
      </c>
      <c r="C6082">
        <v>8</v>
      </c>
    </row>
    <row r="6083" spans="1:3" x14ac:dyDescent="0.3">
      <c r="A6083">
        <v>35540</v>
      </c>
      <c r="B6083">
        <v>1</v>
      </c>
      <c r="C6083">
        <v>8</v>
      </c>
    </row>
    <row r="6084" spans="1:3" x14ac:dyDescent="0.3">
      <c r="A6084">
        <v>33892</v>
      </c>
      <c r="B6084">
        <v>1</v>
      </c>
      <c r="C6084">
        <v>8</v>
      </c>
    </row>
    <row r="6085" spans="1:3" x14ac:dyDescent="0.3">
      <c r="A6085">
        <v>33011</v>
      </c>
      <c r="B6085">
        <v>1</v>
      </c>
      <c r="C6085">
        <v>16</v>
      </c>
    </row>
    <row r="6086" spans="1:3" x14ac:dyDescent="0.3">
      <c r="A6086">
        <v>31072</v>
      </c>
      <c r="B6086">
        <v>1</v>
      </c>
      <c r="C6086">
        <v>8</v>
      </c>
    </row>
    <row r="6087" spans="1:3" x14ac:dyDescent="0.3">
      <c r="A6087">
        <v>30805</v>
      </c>
      <c r="B6087">
        <v>1</v>
      </c>
      <c r="C6087">
        <v>8</v>
      </c>
    </row>
    <row r="6088" spans="1:3" x14ac:dyDescent="0.3">
      <c r="A6088">
        <v>30261</v>
      </c>
      <c r="B6088">
        <v>1</v>
      </c>
      <c r="C6088">
        <v>8</v>
      </c>
    </row>
    <row r="6089" spans="1:3" x14ac:dyDescent="0.3">
      <c r="A6089">
        <v>27898</v>
      </c>
      <c r="B6089">
        <v>1</v>
      </c>
      <c r="C6089">
        <v>8</v>
      </c>
    </row>
    <row r="6090" spans="1:3" x14ac:dyDescent="0.3">
      <c r="A6090">
        <v>27445</v>
      </c>
      <c r="B6090">
        <v>1</v>
      </c>
      <c r="C6090">
        <v>8</v>
      </c>
    </row>
    <row r="6091" spans="1:3" x14ac:dyDescent="0.3">
      <c r="A6091">
        <v>26918</v>
      </c>
      <c r="B6091">
        <v>1</v>
      </c>
      <c r="C6091">
        <v>8</v>
      </c>
    </row>
    <row r="6092" spans="1:3" x14ac:dyDescent="0.3">
      <c r="A6092">
        <v>26472</v>
      </c>
      <c r="B6092">
        <v>2</v>
      </c>
      <c r="C6092">
        <v>16</v>
      </c>
    </row>
    <row r="6093" spans="1:3" x14ac:dyDescent="0.3">
      <c r="A6093">
        <v>26156</v>
      </c>
      <c r="B6093">
        <v>1</v>
      </c>
      <c r="C6093">
        <v>16</v>
      </c>
    </row>
    <row r="6094" spans="1:3" x14ac:dyDescent="0.3">
      <c r="A6094">
        <v>79595</v>
      </c>
      <c r="B6094">
        <v>1</v>
      </c>
      <c r="C6094">
        <v>8</v>
      </c>
    </row>
    <row r="6095" spans="1:3" x14ac:dyDescent="0.3">
      <c r="A6095">
        <v>79524</v>
      </c>
      <c r="B6095">
        <v>1</v>
      </c>
      <c r="C6095">
        <v>8</v>
      </c>
    </row>
    <row r="6096" spans="1:3" x14ac:dyDescent="0.3">
      <c r="A6096">
        <v>10614</v>
      </c>
      <c r="B6096">
        <v>1</v>
      </c>
      <c r="C6096">
        <v>16</v>
      </c>
    </row>
    <row r="6097" spans="1:3" x14ac:dyDescent="0.3">
      <c r="A6097">
        <v>78409</v>
      </c>
      <c r="B6097">
        <v>1</v>
      </c>
      <c r="C6097">
        <v>8</v>
      </c>
    </row>
    <row r="6098" spans="1:3" x14ac:dyDescent="0.3">
      <c r="A6098">
        <v>78148</v>
      </c>
      <c r="B6098">
        <v>1</v>
      </c>
      <c r="C6098">
        <v>8</v>
      </c>
    </row>
    <row r="6099" spans="1:3" x14ac:dyDescent="0.3">
      <c r="A6099">
        <v>77949</v>
      </c>
      <c r="B6099">
        <v>1</v>
      </c>
      <c r="C6099">
        <v>8</v>
      </c>
    </row>
    <row r="6100" spans="1:3" x14ac:dyDescent="0.3">
      <c r="A6100">
        <v>77948</v>
      </c>
      <c r="B6100">
        <v>1</v>
      </c>
      <c r="C6100">
        <v>8</v>
      </c>
    </row>
    <row r="6101" spans="1:3" x14ac:dyDescent="0.3">
      <c r="A6101">
        <v>77727</v>
      </c>
      <c r="B6101">
        <v>1</v>
      </c>
      <c r="C6101">
        <v>16</v>
      </c>
    </row>
    <row r="6102" spans="1:3" x14ac:dyDescent="0.3">
      <c r="A6102">
        <v>77513</v>
      </c>
      <c r="B6102">
        <v>1</v>
      </c>
      <c r="C6102">
        <v>8</v>
      </c>
    </row>
    <row r="6103" spans="1:3" x14ac:dyDescent="0.3">
      <c r="A6103">
        <v>76928</v>
      </c>
      <c r="B6103">
        <v>1</v>
      </c>
      <c r="C6103">
        <v>16</v>
      </c>
    </row>
    <row r="6104" spans="1:3" x14ac:dyDescent="0.3">
      <c r="A6104">
        <v>76871</v>
      </c>
      <c r="B6104">
        <v>1</v>
      </c>
      <c r="C6104">
        <v>8</v>
      </c>
    </row>
    <row r="6105" spans="1:3" x14ac:dyDescent="0.3">
      <c r="A6105">
        <v>76574</v>
      </c>
      <c r="B6105">
        <v>1</v>
      </c>
      <c r="C6105">
        <v>8</v>
      </c>
    </row>
    <row r="6106" spans="1:3" x14ac:dyDescent="0.3">
      <c r="A6106">
        <v>76491</v>
      </c>
      <c r="B6106">
        <v>1</v>
      </c>
      <c r="C6106">
        <v>8</v>
      </c>
    </row>
    <row r="6107" spans="1:3" x14ac:dyDescent="0.3">
      <c r="A6107">
        <v>76490</v>
      </c>
      <c r="B6107">
        <v>1</v>
      </c>
      <c r="C6107">
        <v>8</v>
      </c>
    </row>
    <row r="6108" spans="1:3" x14ac:dyDescent="0.3">
      <c r="A6108">
        <v>76100</v>
      </c>
      <c r="B6108">
        <v>1</v>
      </c>
      <c r="C6108">
        <v>8</v>
      </c>
    </row>
    <row r="6109" spans="1:3" x14ac:dyDescent="0.3">
      <c r="A6109">
        <v>75944</v>
      </c>
      <c r="B6109">
        <v>1</v>
      </c>
      <c r="C6109">
        <v>8</v>
      </c>
    </row>
    <row r="6110" spans="1:3" x14ac:dyDescent="0.3">
      <c r="A6110">
        <v>75677</v>
      </c>
      <c r="B6110">
        <v>1</v>
      </c>
      <c r="C6110">
        <v>8</v>
      </c>
    </row>
    <row r="6111" spans="1:3" x14ac:dyDescent="0.3">
      <c r="A6111">
        <v>75573</v>
      </c>
      <c r="B6111">
        <v>1</v>
      </c>
      <c r="C6111">
        <v>8</v>
      </c>
    </row>
    <row r="6112" spans="1:3" x14ac:dyDescent="0.3">
      <c r="A6112">
        <v>75136</v>
      </c>
      <c r="B6112">
        <v>1</v>
      </c>
      <c r="C6112">
        <v>8</v>
      </c>
    </row>
    <row r="6113" spans="1:3" x14ac:dyDescent="0.3">
      <c r="A6113">
        <v>74596</v>
      </c>
      <c r="B6113">
        <v>1</v>
      </c>
      <c r="C6113">
        <v>8</v>
      </c>
    </row>
    <row r="6114" spans="1:3" x14ac:dyDescent="0.3">
      <c r="A6114">
        <v>74595</v>
      </c>
      <c r="B6114">
        <v>1</v>
      </c>
      <c r="C6114">
        <v>8</v>
      </c>
    </row>
    <row r="6115" spans="1:3" x14ac:dyDescent="0.3">
      <c r="A6115">
        <v>12753</v>
      </c>
      <c r="B6115">
        <v>1</v>
      </c>
      <c r="C6115">
        <v>8</v>
      </c>
    </row>
    <row r="6116" spans="1:3" x14ac:dyDescent="0.3">
      <c r="A6116">
        <v>74222</v>
      </c>
      <c r="B6116">
        <v>1</v>
      </c>
      <c r="C6116">
        <v>8</v>
      </c>
    </row>
    <row r="6117" spans="1:3" x14ac:dyDescent="0.3">
      <c r="A6117">
        <v>74221</v>
      </c>
      <c r="B6117">
        <v>1</v>
      </c>
      <c r="C6117">
        <v>8</v>
      </c>
    </row>
    <row r="6118" spans="1:3" x14ac:dyDescent="0.3">
      <c r="A6118">
        <v>73953</v>
      </c>
      <c r="B6118">
        <v>1</v>
      </c>
      <c r="C6118">
        <v>8</v>
      </c>
    </row>
    <row r="6119" spans="1:3" x14ac:dyDescent="0.3">
      <c r="A6119">
        <v>73951</v>
      </c>
      <c r="B6119">
        <v>1</v>
      </c>
      <c r="C6119">
        <v>16</v>
      </c>
    </row>
    <row r="6120" spans="1:3" x14ac:dyDescent="0.3">
      <c r="A6120">
        <v>72298</v>
      </c>
      <c r="B6120">
        <v>1</v>
      </c>
      <c r="C6120">
        <v>8</v>
      </c>
    </row>
    <row r="6121" spans="1:3" x14ac:dyDescent="0.3">
      <c r="A6121">
        <v>69848</v>
      </c>
      <c r="B6121">
        <v>1</v>
      </c>
      <c r="C6121">
        <v>8</v>
      </c>
    </row>
    <row r="6122" spans="1:3" x14ac:dyDescent="0.3">
      <c r="A6122">
        <v>69052</v>
      </c>
      <c r="B6122">
        <v>1</v>
      </c>
      <c r="C6122">
        <v>8</v>
      </c>
    </row>
    <row r="6123" spans="1:3" x14ac:dyDescent="0.3">
      <c r="A6123">
        <v>68390</v>
      </c>
      <c r="B6123">
        <v>1</v>
      </c>
      <c r="C6123">
        <v>8</v>
      </c>
    </row>
    <row r="6124" spans="1:3" x14ac:dyDescent="0.3">
      <c r="A6124">
        <v>67674</v>
      </c>
      <c r="B6124">
        <v>1</v>
      </c>
      <c r="C6124">
        <v>8</v>
      </c>
    </row>
    <row r="6125" spans="1:3" x14ac:dyDescent="0.3">
      <c r="A6125">
        <v>67487</v>
      </c>
      <c r="B6125">
        <v>1</v>
      </c>
      <c r="C6125">
        <v>8</v>
      </c>
    </row>
    <row r="6126" spans="1:3" x14ac:dyDescent="0.3">
      <c r="A6126">
        <v>67057</v>
      </c>
      <c r="B6126">
        <v>1</v>
      </c>
      <c r="C6126">
        <v>8</v>
      </c>
    </row>
    <row r="6127" spans="1:3" x14ac:dyDescent="0.3">
      <c r="A6127">
        <v>66521</v>
      </c>
      <c r="B6127">
        <v>1</v>
      </c>
      <c r="C6127">
        <v>16</v>
      </c>
    </row>
    <row r="6128" spans="1:3" x14ac:dyDescent="0.3">
      <c r="A6128">
        <v>65797</v>
      </c>
      <c r="B6128">
        <v>1</v>
      </c>
      <c r="C6128">
        <v>8</v>
      </c>
    </row>
    <row r="6129" spans="1:3" x14ac:dyDescent="0.3">
      <c r="A6129">
        <v>63807</v>
      </c>
      <c r="B6129">
        <v>1</v>
      </c>
      <c r="C6129">
        <v>8</v>
      </c>
    </row>
    <row r="6130" spans="1:3" x14ac:dyDescent="0.3">
      <c r="A6130">
        <v>17168</v>
      </c>
      <c r="B6130">
        <v>1</v>
      </c>
      <c r="C6130">
        <v>8</v>
      </c>
    </row>
    <row r="6131" spans="1:3" x14ac:dyDescent="0.3">
      <c r="A6131">
        <v>63155</v>
      </c>
      <c r="B6131">
        <v>1</v>
      </c>
      <c r="C6131">
        <v>8</v>
      </c>
    </row>
    <row r="6132" spans="1:3" x14ac:dyDescent="0.3">
      <c r="A6132">
        <v>61870</v>
      </c>
      <c r="B6132">
        <v>1</v>
      </c>
      <c r="C6132">
        <v>16</v>
      </c>
    </row>
    <row r="6133" spans="1:3" x14ac:dyDescent="0.3">
      <c r="A6133">
        <v>61869</v>
      </c>
      <c r="B6133">
        <v>1</v>
      </c>
      <c r="C6133">
        <v>8</v>
      </c>
    </row>
    <row r="6134" spans="1:3" x14ac:dyDescent="0.3">
      <c r="A6134">
        <v>59713</v>
      </c>
      <c r="B6134">
        <v>1</v>
      </c>
      <c r="C6134">
        <v>8</v>
      </c>
    </row>
    <row r="6135" spans="1:3" x14ac:dyDescent="0.3">
      <c r="A6135">
        <v>18770</v>
      </c>
      <c r="B6135">
        <v>1</v>
      </c>
      <c r="C6135">
        <v>8</v>
      </c>
    </row>
    <row r="6136" spans="1:3" x14ac:dyDescent="0.3">
      <c r="A6136">
        <v>55936</v>
      </c>
      <c r="B6136">
        <v>1</v>
      </c>
      <c r="C6136">
        <v>8</v>
      </c>
    </row>
    <row r="6137" spans="1:3" x14ac:dyDescent="0.3">
      <c r="A6137">
        <v>55883</v>
      </c>
      <c r="B6137">
        <v>1</v>
      </c>
      <c r="C6137">
        <v>8</v>
      </c>
    </row>
    <row r="6138" spans="1:3" x14ac:dyDescent="0.3">
      <c r="A6138">
        <v>55737</v>
      </c>
      <c r="B6138">
        <v>1</v>
      </c>
      <c r="C6138">
        <v>8</v>
      </c>
    </row>
    <row r="6139" spans="1:3" x14ac:dyDescent="0.3">
      <c r="A6139">
        <v>19669</v>
      </c>
      <c r="B6139">
        <v>2</v>
      </c>
      <c r="C6139">
        <v>8</v>
      </c>
    </row>
    <row r="6140" spans="1:3" x14ac:dyDescent="0.3">
      <c r="A6140">
        <v>19669</v>
      </c>
      <c r="B6140">
        <v>2</v>
      </c>
      <c r="C6140">
        <v>8</v>
      </c>
    </row>
    <row r="6141" spans="1:3" x14ac:dyDescent="0.3">
      <c r="A6141">
        <v>52800</v>
      </c>
      <c r="B6141">
        <v>1</v>
      </c>
      <c r="C6141">
        <v>8</v>
      </c>
    </row>
    <row r="6142" spans="1:3" x14ac:dyDescent="0.3">
      <c r="A6142">
        <v>52799</v>
      </c>
      <c r="B6142">
        <v>1</v>
      </c>
      <c r="C6142">
        <v>8</v>
      </c>
    </row>
    <row r="6143" spans="1:3" x14ac:dyDescent="0.3">
      <c r="A6143">
        <v>51728</v>
      </c>
      <c r="B6143">
        <v>1</v>
      </c>
      <c r="C6143">
        <v>8</v>
      </c>
    </row>
    <row r="6144" spans="1:3" x14ac:dyDescent="0.3">
      <c r="A6144">
        <v>50841</v>
      </c>
      <c r="B6144">
        <v>1</v>
      </c>
      <c r="C6144">
        <v>8</v>
      </c>
    </row>
    <row r="6145" spans="1:3" x14ac:dyDescent="0.3">
      <c r="A6145">
        <v>50840</v>
      </c>
      <c r="B6145">
        <v>1</v>
      </c>
      <c r="C6145">
        <v>8</v>
      </c>
    </row>
    <row r="6146" spans="1:3" x14ac:dyDescent="0.3">
      <c r="A6146">
        <v>50626</v>
      </c>
      <c r="B6146">
        <v>1</v>
      </c>
      <c r="C6146">
        <v>8</v>
      </c>
    </row>
    <row r="6147" spans="1:3" x14ac:dyDescent="0.3">
      <c r="A6147">
        <v>49560</v>
      </c>
      <c r="B6147">
        <v>1</v>
      </c>
      <c r="C6147">
        <v>8</v>
      </c>
    </row>
    <row r="6148" spans="1:3" x14ac:dyDescent="0.3">
      <c r="A6148">
        <v>48546</v>
      </c>
      <c r="B6148">
        <v>1</v>
      </c>
      <c r="C6148">
        <v>16</v>
      </c>
    </row>
    <row r="6149" spans="1:3" x14ac:dyDescent="0.3">
      <c r="A6149">
        <v>21340</v>
      </c>
      <c r="B6149">
        <v>1</v>
      </c>
      <c r="C6149">
        <v>8</v>
      </c>
    </row>
    <row r="6150" spans="1:3" x14ac:dyDescent="0.3">
      <c r="A6150">
        <v>46942</v>
      </c>
      <c r="B6150">
        <v>1</v>
      </c>
      <c r="C6150">
        <v>16</v>
      </c>
    </row>
    <row r="6151" spans="1:3" x14ac:dyDescent="0.3">
      <c r="A6151">
        <v>46137</v>
      </c>
      <c r="B6151">
        <v>1</v>
      </c>
      <c r="C6151">
        <v>8</v>
      </c>
    </row>
    <row r="6152" spans="1:3" x14ac:dyDescent="0.3">
      <c r="A6152">
        <v>44891</v>
      </c>
      <c r="B6152">
        <v>1</v>
      </c>
      <c r="C6152">
        <v>8</v>
      </c>
    </row>
    <row r="6153" spans="1:3" x14ac:dyDescent="0.3">
      <c r="A6153">
        <v>41696</v>
      </c>
      <c r="B6153">
        <v>1</v>
      </c>
      <c r="C6153">
        <v>8</v>
      </c>
    </row>
    <row r="6154" spans="1:3" x14ac:dyDescent="0.3">
      <c r="A6154">
        <v>39110</v>
      </c>
      <c r="B6154">
        <v>1</v>
      </c>
      <c r="C6154">
        <v>16</v>
      </c>
    </row>
    <row r="6155" spans="1:3" x14ac:dyDescent="0.3">
      <c r="A6155">
        <v>36496</v>
      </c>
      <c r="B6155">
        <v>1</v>
      </c>
      <c r="C6155">
        <v>16</v>
      </c>
    </row>
    <row r="6156" spans="1:3" x14ac:dyDescent="0.3">
      <c r="A6156">
        <v>35759</v>
      </c>
      <c r="B6156">
        <v>1</v>
      </c>
      <c r="C6156">
        <v>8</v>
      </c>
    </row>
    <row r="6157" spans="1:3" x14ac:dyDescent="0.3">
      <c r="A6157">
        <v>33499</v>
      </c>
      <c r="B6157">
        <v>1</v>
      </c>
      <c r="C6157">
        <v>16</v>
      </c>
    </row>
    <row r="6158" spans="1:3" x14ac:dyDescent="0.3">
      <c r="A6158">
        <v>30384</v>
      </c>
      <c r="B6158">
        <v>1</v>
      </c>
      <c r="C6158">
        <v>8</v>
      </c>
    </row>
    <row r="6159" spans="1:3" x14ac:dyDescent="0.3">
      <c r="A6159">
        <v>28755</v>
      </c>
      <c r="B6159">
        <v>1</v>
      </c>
      <c r="C6159">
        <v>8</v>
      </c>
    </row>
    <row r="6160" spans="1:3" x14ac:dyDescent="0.3">
      <c r="A6160">
        <v>28036</v>
      </c>
      <c r="B6160">
        <v>1</v>
      </c>
      <c r="C6160">
        <v>8</v>
      </c>
    </row>
    <row r="6161" spans="1:3" x14ac:dyDescent="0.3">
      <c r="A6161">
        <v>27813</v>
      </c>
      <c r="B6161">
        <v>1</v>
      </c>
      <c r="C6161">
        <v>8</v>
      </c>
    </row>
    <row r="6162" spans="1:3" x14ac:dyDescent="0.3">
      <c r="A6162">
        <v>27520</v>
      </c>
      <c r="B6162">
        <v>1</v>
      </c>
      <c r="C6162">
        <v>8</v>
      </c>
    </row>
    <row r="6163" spans="1:3" x14ac:dyDescent="0.3">
      <c r="A6163">
        <v>25672</v>
      </c>
      <c r="B6163">
        <v>1</v>
      </c>
      <c r="C6163">
        <v>16</v>
      </c>
    </row>
    <row r="6164" spans="1:3" x14ac:dyDescent="0.3">
      <c r="A6164">
        <v>10016</v>
      </c>
      <c r="B6164">
        <v>1</v>
      </c>
      <c r="C6164">
        <v>8</v>
      </c>
    </row>
    <row r="6165" spans="1:3" x14ac:dyDescent="0.3">
      <c r="A6165">
        <v>80658</v>
      </c>
      <c r="B6165">
        <v>2</v>
      </c>
      <c r="C6165">
        <v>8</v>
      </c>
    </row>
    <row r="6166" spans="1:3" x14ac:dyDescent="0.3">
      <c r="A6166">
        <v>80583</v>
      </c>
      <c r="B6166">
        <v>2</v>
      </c>
      <c r="C6166">
        <v>8</v>
      </c>
    </row>
    <row r="6167" spans="1:3" x14ac:dyDescent="0.3">
      <c r="A6167">
        <v>80436</v>
      </c>
      <c r="B6167">
        <v>1</v>
      </c>
      <c r="C6167">
        <v>8</v>
      </c>
    </row>
    <row r="6168" spans="1:3" x14ac:dyDescent="0.3">
      <c r="A6168">
        <v>80422</v>
      </c>
      <c r="B6168">
        <v>1</v>
      </c>
      <c r="C6168">
        <v>8</v>
      </c>
    </row>
    <row r="6169" spans="1:3" x14ac:dyDescent="0.3">
      <c r="A6169">
        <v>80246</v>
      </c>
      <c r="B6169">
        <v>1</v>
      </c>
      <c r="C6169">
        <v>8</v>
      </c>
    </row>
    <row r="6170" spans="1:3" x14ac:dyDescent="0.3">
      <c r="A6170">
        <v>79986</v>
      </c>
      <c r="B6170">
        <v>2</v>
      </c>
      <c r="C6170">
        <v>8</v>
      </c>
    </row>
    <row r="6171" spans="1:3" x14ac:dyDescent="0.3">
      <c r="A6171">
        <v>79879</v>
      </c>
      <c r="B6171">
        <v>1</v>
      </c>
      <c r="C6171">
        <v>8</v>
      </c>
    </row>
    <row r="6172" spans="1:3" x14ac:dyDescent="0.3">
      <c r="A6172">
        <v>79856</v>
      </c>
      <c r="B6172">
        <v>1</v>
      </c>
      <c r="C6172">
        <v>8</v>
      </c>
    </row>
    <row r="6173" spans="1:3" x14ac:dyDescent="0.3">
      <c r="A6173">
        <v>79843</v>
      </c>
      <c r="B6173">
        <v>1</v>
      </c>
      <c r="C6173">
        <v>8</v>
      </c>
    </row>
    <row r="6174" spans="1:3" x14ac:dyDescent="0.3">
      <c r="A6174">
        <v>77645</v>
      </c>
      <c r="B6174">
        <v>1</v>
      </c>
      <c r="C6174">
        <v>8</v>
      </c>
    </row>
    <row r="6175" spans="1:3" x14ac:dyDescent="0.3">
      <c r="A6175">
        <v>11084</v>
      </c>
      <c r="B6175">
        <v>1</v>
      </c>
      <c r="C6175">
        <v>16</v>
      </c>
    </row>
    <row r="6176" spans="1:3" x14ac:dyDescent="0.3">
      <c r="A6176">
        <v>77300</v>
      </c>
      <c r="B6176">
        <v>2</v>
      </c>
      <c r="C6176">
        <v>8</v>
      </c>
    </row>
    <row r="6177" spans="1:3" x14ac:dyDescent="0.3">
      <c r="A6177">
        <v>77299</v>
      </c>
      <c r="B6177">
        <v>1</v>
      </c>
      <c r="C6177">
        <v>8</v>
      </c>
    </row>
    <row r="6178" spans="1:3" x14ac:dyDescent="0.3">
      <c r="A6178">
        <v>76882</v>
      </c>
      <c r="B6178">
        <v>1</v>
      </c>
      <c r="C6178">
        <v>8</v>
      </c>
    </row>
    <row r="6179" spans="1:3" x14ac:dyDescent="0.3">
      <c r="A6179">
        <v>11742</v>
      </c>
      <c r="B6179">
        <v>2</v>
      </c>
      <c r="C6179">
        <v>8</v>
      </c>
    </row>
    <row r="6180" spans="1:3" x14ac:dyDescent="0.3">
      <c r="A6180">
        <v>11754</v>
      </c>
      <c r="B6180">
        <v>2</v>
      </c>
      <c r="C6180">
        <v>8</v>
      </c>
    </row>
    <row r="6181" spans="1:3" x14ac:dyDescent="0.3">
      <c r="A6181">
        <v>75497</v>
      </c>
      <c r="B6181">
        <v>1</v>
      </c>
      <c r="C6181">
        <v>8</v>
      </c>
    </row>
    <row r="6182" spans="1:3" x14ac:dyDescent="0.3">
      <c r="A6182">
        <v>75450</v>
      </c>
      <c r="B6182">
        <v>1</v>
      </c>
      <c r="C6182">
        <v>8</v>
      </c>
    </row>
    <row r="6183" spans="1:3" x14ac:dyDescent="0.3">
      <c r="A6183">
        <v>75449</v>
      </c>
      <c r="B6183">
        <v>1</v>
      </c>
      <c r="C6183">
        <v>8</v>
      </c>
    </row>
    <row r="6184" spans="1:3" x14ac:dyDescent="0.3">
      <c r="A6184">
        <v>75448</v>
      </c>
      <c r="B6184">
        <v>1</v>
      </c>
      <c r="C6184">
        <v>8</v>
      </c>
    </row>
    <row r="6185" spans="1:3" x14ac:dyDescent="0.3">
      <c r="A6185">
        <v>74943</v>
      </c>
      <c r="B6185">
        <v>1</v>
      </c>
      <c r="C6185">
        <v>8</v>
      </c>
    </row>
    <row r="6186" spans="1:3" x14ac:dyDescent="0.3">
      <c r="A6186">
        <v>74784</v>
      </c>
      <c r="B6186">
        <v>1</v>
      </c>
      <c r="C6186">
        <v>8</v>
      </c>
    </row>
    <row r="6187" spans="1:3" x14ac:dyDescent="0.3">
      <c r="A6187">
        <v>74603</v>
      </c>
      <c r="B6187">
        <v>1</v>
      </c>
      <c r="C6187">
        <v>8</v>
      </c>
    </row>
    <row r="6188" spans="1:3" x14ac:dyDescent="0.3">
      <c r="A6188">
        <v>74602</v>
      </c>
      <c r="B6188">
        <v>1</v>
      </c>
      <c r="C6188">
        <v>8</v>
      </c>
    </row>
    <row r="6189" spans="1:3" x14ac:dyDescent="0.3">
      <c r="A6189">
        <v>74545</v>
      </c>
      <c r="B6189">
        <v>1</v>
      </c>
      <c r="C6189">
        <v>8</v>
      </c>
    </row>
    <row r="6190" spans="1:3" x14ac:dyDescent="0.3">
      <c r="A6190">
        <v>74480</v>
      </c>
      <c r="B6190">
        <v>1</v>
      </c>
      <c r="C6190">
        <v>8</v>
      </c>
    </row>
    <row r="6191" spans="1:3" x14ac:dyDescent="0.3">
      <c r="A6191">
        <v>74479</v>
      </c>
      <c r="B6191">
        <v>1</v>
      </c>
      <c r="C6191">
        <v>8</v>
      </c>
    </row>
    <row r="6192" spans="1:3" x14ac:dyDescent="0.3">
      <c r="A6192">
        <v>74426</v>
      </c>
      <c r="B6192">
        <v>1</v>
      </c>
      <c r="C6192">
        <v>8</v>
      </c>
    </row>
    <row r="6193" spans="1:3" x14ac:dyDescent="0.3">
      <c r="A6193">
        <v>73832</v>
      </c>
      <c r="B6193">
        <v>1</v>
      </c>
      <c r="C6193">
        <v>8</v>
      </c>
    </row>
    <row r="6194" spans="1:3" x14ac:dyDescent="0.3">
      <c r="A6194">
        <v>72301</v>
      </c>
      <c r="B6194">
        <v>1</v>
      </c>
      <c r="C6194">
        <v>8</v>
      </c>
    </row>
    <row r="6195" spans="1:3" x14ac:dyDescent="0.3">
      <c r="A6195">
        <v>71840</v>
      </c>
      <c r="B6195">
        <v>1</v>
      </c>
      <c r="C6195">
        <v>8</v>
      </c>
    </row>
    <row r="6196" spans="1:3" x14ac:dyDescent="0.3">
      <c r="A6196">
        <v>71839</v>
      </c>
      <c r="B6196">
        <v>1</v>
      </c>
      <c r="C6196">
        <v>8</v>
      </c>
    </row>
    <row r="6197" spans="1:3" x14ac:dyDescent="0.3">
      <c r="A6197">
        <v>71754</v>
      </c>
      <c r="B6197">
        <v>2</v>
      </c>
      <c r="C6197">
        <v>16</v>
      </c>
    </row>
    <row r="6198" spans="1:3" x14ac:dyDescent="0.3">
      <c r="A6198">
        <v>71631</v>
      </c>
      <c r="B6198">
        <v>1</v>
      </c>
      <c r="C6198">
        <v>8</v>
      </c>
    </row>
    <row r="6199" spans="1:3" x14ac:dyDescent="0.3">
      <c r="A6199">
        <v>71030</v>
      </c>
      <c r="B6199">
        <v>1</v>
      </c>
      <c r="C6199">
        <v>8</v>
      </c>
    </row>
    <row r="6200" spans="1:3" x14ac:dyDescent="0.3">
      <c r="A6200">
        <v>71029</v>
      </c>
      <c r="B6200">
        <v>1</v>
      </c>
      <c r="C6200">
        <v>8</v>
      </c>
    </row>
    <row r="6201" spans="1:3" x14ac:dyDescent="0.3">
      <c r="A6201">
        <v>70766</v>
      </c>
      <c r="B6201">
        <v>1</v>
      </c>
      <c r="C6201">
        <v>8</v>
      </c>
    </row>
    <row r="6202" spans="1:3" x14ac:dyDescent="0.3">
      <c r="A6202">
        <v>70288</v>
      </c>
      <c r="B6202">
        <v>1</v>
      </c>
      <c r="C6202">
        <v>8</v>
      </c>
    </row>
    <row r="6203" spans="1:3" x14ac:dyDescent="0.3">
      <c r="A6203">
        <v>69615</v>
      </c>
      <c r="B6203">
        <v>1</v>
      </c>
      <c r="C6203">
        <v>8</v>
      </c>
    </row>
    <row r="6204" spans="1:3" x14ac:dyDescent="0.3">
      <c r="A6204">
        <v>68392</v>
      </c>
      <c r="B6204">
        <v>1</v>
      </c>
      <c r="C6204">
        <v>8</v>
      </c>
    </row>
    <row r="6205" spans="1:3" x14ac:dyDescent="0.3">
      <c r="A6205">
        <v>15611</v>
      </c>
      <c r="B6205">
        <v>1</v>
      </c>
      <c r="C6205">
        <v>8</v>
      </c>
    </row>
    <row r="6206" spans="1:3" x14ac:dyDescent="0.3">
      <c r="A6206">
        <v>15688</v>
      </c>
      <c r="B6206">
        <v>1</v>
      </c>
      <c r="C6206">
        <v>8</v>
      </c>
    </row>
    <row r="6207" spans="1:3" x14ac:dyDescent="0.3">
      <c r="A6207">
        <v>67828</v>
      </c>
      <c r="B6207">
        <v>1</v>
      </c>
      <c r="C6207">
        <v>8</v>
      </c>
    </row>
    <row r="6208" spans="1:3" x14ac:dyDescent="0.3">
      <c r="A6208">
        <v>15905</v>
      </c>
      <c r="B6208">
        <v>1</v>
      </c>
      <c r="C6208">
        <v>8</v>
      </c>
    </row>
    <row r="6209" spans="1:3" x14ac:dyDescent="0.3">
      <c r="A6209">
        <v>66436</v>
      </c>
      <c r="B6209">
        <v>1</v>
      </c>
      <c r="C6209">
        <v>16</v>
      </c>
    </row>
    <row r="6210" spans="1:3" x14ac:dyDescent="0.3">
      <c r="A6210">
        <v>66434</v>
      </c>
      <c r="B6210">
        <v>1</v>
      </c>
      <c r="C6210">
        <v>8</v>
      </c>
    </row>
    <row r="6211" spans="1:3" x14ac:dyDescent="0.3">
      <c r="A6211">
        <v>66433</v>
      </c>
      <c r="B6211">
        <v>1</v>
      </c>
      <c r="C6211">
        <v>8</v>
      </c>
    </row>
    <row r="6212" spans="1:3" x14ac:dyDescent="0.3">
      <c r="A6212">
        <v>65631</v>
      </c>
      <c r="B6212">
        <v>1</v>
      </c>
      <c r="C6212">
        <v>8</v>
      </c>
    </row>
    <row r="6213" spans="1:3" x14ac:dyDescent="0.3">
      <c r="A6213">
        <v>16423</v>
      </c>
      <c r="B6213">
        <v>2</v>
      </c>
      <c r="C6213">
        <v>16</v>
      </c>
    </row>
    <row r="6214" spans="1:3" x14ac:dyDescent="0.3">
      <c r="A6214">
        <v>65391</v>
      </c>
      <c r="B6214">
        <v>1</v>
      </c>
      <c r="C6214">
        <v>8</v>
      </c>
    </row>
    <row r="6215" spans="1:3" x14ac:dyDescent="0.3">
      <c r="A6215">
        <v>64600</v>
      </c>
      <c r="B6215">
        <v>1</v>
      </c>
      <c r="C6215">
        <v>8</v>
      </c>
    </row>
    <row r="6216" spans="1:3" x14ac:dyDescent="0.3">
      <c r="A6216">
        <v>64465</v>
      </c>
      <c r="B6216">
        <v>1</v>
      </c>
      <c r="C6216">
        <v>8</v>
      </c>
    </row>
    <row r="6217" spans="1:3" x14ac:dyDescent="0.3">
      <c r="A6217">
        <v>64464</v>
      </c>
      <c r="B6217">
        <v>1</v>
      </c>
      <c r="C6217">
        <v>8</v>
      </c>
    </row>
    <row r="6218" spans="1:3" x14ac:dyDescent="0.3">
      <c r="A6218">
        <v>64463</v>
      </c>
      <c r="B6218">
        <v>1</v>
      </c>
      <c r="C6218">
        <v>8</v>
      </c>
    </row>
    <row r="6219" spans="1:3" x14ac:dyDescent="0.3">
      <c r="A6219">
        <v>64462</v>
      </c>
      <c r="B6219">
        <v>1</v>
      </c>
      <c r="C6219">
        <v>8</v>
      </c>
    </row>
    <row r="6220" spans="1:3" x14ac:dyDescent="0.3">
      <c r="A6220">
        <v>63933</v>
      </c>
      <c r="B6220">
        <v>2</v>
      </c>
      <c r="C6220">
        <v>16</v>
      </c>
    </row>
    <row r="6221" spans="1:3" x14ac:dyDescent="0.3">
      <c r="A6221">
        <v>63300</v>
      </c>
      <c r="B6221">
        <v>1</v>
      </c>
      <c r="C6221">
        <v>8</v>
      </c>
    </row>
    <row r="6222" spans="1:3" x14ac:dyDescent="0.3">
      <c r="A6222">
        <v>62914</v>
      </c>
      <c r="B6222">
        <v>1</v>
      </c>
      <c r="C6222">
        <v>8</v>
      </c>
    </row>
    <row r="6223" spans="1:3" x14ac:dyDescent="0.3">
      <c r="A6223">
        <v>62764</v>
      </c>
      <c r="B6223">
        <v>1</v>
      </c>
      <c r="C6223">
        <v>8</v>
      </c>
    </row>
    <row r="6224" spans="1:3" x14ac:dyDescent="0.3">
      <c r="A6224">
        <v>62763</v>
      </c>
      <c r="B6224">
        <v>1</v>
      </c>
      <c r="C6224">
        <v>8</v>
      </c>
    </row>
    <row r="6225" spans="1:3" x14ac:dyDescent="0.3">
      <c r="A6225">
        <v>62762</v>
      </c>
      <c r="B6225">
        <v>1</v>
      </c>
      <c r="C6225">
        <v>8</v>
      </c>
    </row>
    <row r="6226" spans="1:3" x14ac:dyDescent="0.3">
      <c r="A6226">
        <v>17219</v>
      </c>
      <c r="B6226">
        <v>1</v>
      </c>
      <c r="C6226">
        <v>16</v>
      </c>
    </row>
    <row r="6227" spans="1:3" x14ac:dyDescent="0.3">
      <c r="A6227">
        <v>62268</v>
      </c>
      <c r="B6227">
        <v>1</v>
      </c>
      <c r="C6227">
        <v>8</v>
      </c>
    </row>
    <row r="6228" spans="1:3" x14ac:dyDescent="0.3">
      <c r="A6228">
        <v>61993</v>
      </c>
      <c r="B6228">
        <v>1</v>
      </c>
      <c r="C6228">
        <v>16</v>
      </c>
    </row>
    <row r="6229" spans="1:3" x14ac:dyDescent="0.3">
      <c r="A6229">
        <v>61605</v>
      </c>
      <c r="B6229">
        <v>1</v>
      </c>
      <c r="C6229">
        <v>8</v>
      </c>
    </row>
    <row r="6230" spans="1:3" x14ac:dyDescent="0.3">
      <c r="A6230">
        <v>17884</v>
      </c>
      <c r="B6230">
        <v>2</v>
      </c>
      <c r="C6230">
        <v>8</v>
      </c>
    </row>
    <row r="6231" spans="1:3" x14ac:dyDescent="0.3">
      <c r="A6231">
        <v>60864</v>
      </c>
      <c r="B6231">
        <v>1</v>
      </c>
      <c r="C6231">
        <v>8</v>
      </c>
    </row>
    <row r="6232" spans="1:3" x14ac:dyDescent="0.3">
      <c r="A6232">
        <v>60601</v>
      </c>
      <c r="B6232">
        <v>1</v>
      </c>
      <c r="C6232">
        <v>16</v>
      </c>
    </row>
    <row r="6233" spans="1:3" x14ac:dyDescent="0.3">
      <c r="A6233">
        <v>17927</v>
      </c>
      <c r="B6233">
        <v>2</v>
      </c>
      <c r="C6233">
        <v>16</v>
      </c>
    </row>
    <row r="6234" spans="1:3" x14ac:dyDescent="0.3">
      <c r="A6234">
        <v>59716</v>
      </c>
      <c r="B6234">
        <v>1</v>
      </c>
      <c r="C6234">
        <v>8</v>
      </c>
    </row>
    <row r="6235" spans="1:3" x14ac:dyDescent="0.3">
      <c r="A6235">
        <v>59523</v>
      </c>
      <c r="B6235">
        <v>1</v>
      </c>
      <c r="C6235">
        <v>8</v>
      </c>
    </row>
    <row r="6236" spans="1:3" x14ac:dyDescent="0.3">
      <c r="A6236">
        <v>59284</v>
      </c>
      <c r="B6236">
        <v>1</v>
      </c>
      <c r="C6236">
        <v>16</v>
      </c>
    </row>
    <row r="6237" spans="1:3" x14ac:dyDescent="0.3">
      <c r="A6237">
        <v>58935</v>
      </c>
      <c r="B6237">
        <v>1</v>
      </c>
      <c r="C6237">
        <v>8</v>
      </c>
    </row>
    <row r="6238" spans="1:3" x14ac:dyDescent="0.3">
      <c r="A6238">
        <v>57393</v>
      </c>
      <c r="B6238">
        <v>1</v>
      </c>
      <c r="C6238">
        <v>8</v>
      </c>
    </row>
    <row r="6239" spans="1:3" x14ac:dyDescent="0.3">
      <c r="A6239">
        <v>53504</v>
      </c>
      <c r="B6239">
        <v>1</v>
      </c>
      <c r="C6239">
        <v>8</v>
      </c>
    </row>
    <row r="6240" spans="1:3" x14ac:dyDescent="0.3">
      <c r="A6240">
        <v>19554</v>
      </c>
      <c r="B6240">
        <v>1</v>
      </c>
      <c r="C6240">
        <v>16</v>
      </c>
    </row>
    <row r="6241" spans="1:3" x14ac:dyDescent="0.3">
      <c r="A6241">
        <v>51193</v>
      </c>
      <c r="B6241">
        <v>1</v>
      </c>
      <c r="C6241">
        <v>16</v>
      </c>
    </row>
    <row r="6242" spans="1:3" x14ac:dyDescent="0.3">
      <c r="A6242">
        <v>51192</v>
      </c>
      <c r="B6242">
        <v>1</v>
      </c>
      <c r="C6242">
        <v>8</v>
      </c>
    </row>
    <row r="6243" spans="1:3" x14ac:dyDescent="0.3">
      <c r="A6243">
        <v>50628</v>
      </c>
      <c r="B6243">
        <v>1</v>
      </c>
      <c r="C6243">
        <v>8</v>
      </c>
    </row>
    <row r="6244" spans="1:3" x14ac:dyDescent="0.3">
      <c r="A6244">
        <v>49561</v>
      </c>
      <c r="B6244">
        <v>1</v>
      </c>
      <c r="C6244">
        <v>8</v>
      </c>
    </row>
    <row r="6245" spans="1:3" x14ac:dyDescent="0.3">
      <c r="A6245">
        <v>48861</v>
      </c>
      <c r="B6245">
        <v>2</v>
      </c>
      <c r="C6245">
        <v>16</v>
      </c>
    </row>
    <row r="6246" spans="1:3" x14ac:dyDescent="0.3">
      <c r="A6246">
        <v>48769</v>
      </c>
      <c r="B6246">
        <v>1</v>
      </c>
      <c r="C6246">
        <v>8</v>
      </c>
    </row>
    <row r="6247" spans="1:3" x14ac:dyDescent="0.3">
      <c r="A6247">
        <v>46047</v>
      </c>
      <c r="B6247">
        <v>3</v>
      </c>
      <c r="C6247">
        <v>16</v>
      </c>
    </row>
    <row r="6248" spans="1:3" x14ac:dyDescent="0.3">
      <c r="A6248">
        <v>46042</v>
      </c>
      <c r="B6248">
        <v>1</v>
      </c>
      <c r="C6248">
        <v>16</v>
      </c>
    </row>
    <row r="6249" spans="1:3" x14ac:dyDescent="0.3">
      <c r="A6249">
        <v>46041</v>
      </c>
      <c r="B6249">
        <v>1</v>
      </c>
      <c r="C6249">
        <v>8</v>
      </c>
    </row>
    <row r="6250" spans="1:3" x14ac:dyDescent="0.3">
      <c r="A6250">
        <v>46026</v>
      </c>
      <c r="B6250">
        <v>1</v>
      </c>
      <c r="C6250">
        <v>8</v>
      </c>
    </row>
    <row r="6251" spans="1:3" x14ac:dyDescent="0.3">
      <c r="A6251">
        <v>45682</v>
      </c>
      <c r="B6251">
        <v>1</v>
      </c>
      <c r="C6251">
        <v>8</v>
      </c>
    </row>
    <row r="6252" spans="1:3" x14ac:dyDescent="0.3">
      <c r="A6252">
        <v>22039</v>
      </c>
      <c r="B6252">
        <v>1</v>
      </c>
      <c r="C6252">
        <v>8</v>
      </c>
    </row>
    <row r="6253" spans="1:3" x14ac:dyDescent="0.3">
      <c r="A6253">
        <v>43079</v>
      </c>
      <c r="B6253">
        <v>1</v>
      </c>
      <c r="C6253">
        <v>8</v>
      </c>
    </row>
    <row r="6254" spans="1:3" x14ac:dyDescent="0.3">
      <c r="A6254">
        <v>42250</v>
      </c>
      <c r="B6254">
        <v>1</v>
      </c>
      <c r="C6254">
        <v>8</v>
      </c>
    </row>
    <row r="6255" spans="1:3" x14ac:dyDescent="0.3">
      <c r="A6255">
        <v>42249</v>
      </c>
      <c r="B6255">
        <v>2</v>
      </c>
      <c r="C6255">
        <v>8</v>
      </c>
    </row>
    <row r="6256" spans="1:3" x14ac:dyDescent="0.3">
      <c r="A6256">
        <v>42247</v>
      </c>
      <c r="B6256">
        <v>2</v>
      </c>
      <c r="C6256">
        <v>8</v>
      </c>
    </row>
    <row r="6257" spans="1:3" x14ac:dyDescent="0.3">
      <c r="A6257">
        <v>42055</v>
      </c>
      <c r="B6257">
        <v>1</v>
      </c>
      <c r="C6257">
        <v>8</v>
      </c>
    </row>
    <row r="6258" spans="1:3" x14ac:dyDescent="0.3">
      <c r="A6258">
        <v>41563</v>
      </c>
      <c r="B6258">
        <v>1</v>
      </c>
      <c r="C6258">
        <v>8</v>
      </c>
    </row>
    <row r="6259" spans="1:3" x14ac:dyDescent="0.3">
      <c r="A6259">
        <v>41440</v>
      </c>
      <c r="B6259">
        <v>2</v>
      </c>
      <c r="C6259">
        <v>8</v>
      </c>
    </row>
    <row r="6260" spans="1:3" x14ac:dyDescent="0.3">
      <c r="A6260">
        <v>41139</v>
      </c>
      <c r="B6260">
        <v>1</v>
      </c>
      <c r="C6260">
        <v>8</v>
      </c>
    </row>
    <row r="6261" spans="1:3" x14ac:dyDescent="0.3">
      <c r="A6261">
        <v>39409</v>
      </c>
      <c r="B6261">
        <v>1</v>
      </c>
      <c r="C6261">
        <v>8</v>
      </c>
    </row>
    <row r="6262" spans="1:3" x14ac:dyDescent="0.3">
      <c r="A6262">
        <v>39284</v>
      </c>
      <c r="B6262">
        <v>1</v>
      </c>
      <c r="C6262">
        <v>8</v>
      </c>
    </row>
    <row r="6263" spans="1:3" x14ac:dyDescent="0.3">
      <c r="A6263">
        <v>39236</v>
      </c>
      <c r="B6263">
        <v>1</v>
      </c>
      <c r="C6263">
        <v>8</v>
      </c>
    </row>
    <row r="6264" spans="1:3" x14ac:dyDescent="0.3">
      <c r="A6264">
        <v>39235</v>
      </c>
      <c r="B6264">
        <v>1</v>
      </c>
      <c r="C6264">
        <v>8</v>
      </c>
    </row>
    <row r="6265" spans="1:3" x14ac:dyDescent="0.3">
      <c r="A6265">
        <v>39113</v>
      </c>
      <c r="B6265">
        <v>1</v>
      </c>
      <c r="C6265">
        <v>8</v>
      </c>
    </row>
    <row r="6266" spans="1:3" x14ac:dyDescent="0.3">
      <c r="A6266">
        <v>38505</v>
      </c>
      <c r="B6266">
        <v>1</v>
      </c>
      <c r="C6266">
        <v>8</v>
      </c>
    </row>
    <row r="6267" spans="1:3" x14ac:dyDescent="0.3">
      <c r="A6267">
        <v>38310</v>
      </c>
      <c r="B6267">
        <v>1</v>
      </c>
      <c r="C6267">
        <v>16</v>
      </c>
    </row>
    <row r="6268" spans="1:3" x14ac:dyDescent="0.3">
      <c r="A6268">
        <v>38309</v>
      </c>
      <c r="B6268">
        <v>1</v>
      </c>
      <c r="C6268">
        <v>8</v>
      </c>
    </row>
    <row r="6269" spans="1:3" x14ac:dyDescent="0.3">
      <c r="A6269">
        <v>37509</v>
      </c>
      <c r="B6269">
        <v>1</v>
      </c>
      <c r="C6269">
        <v>16</v>
      </c>
    </row>
    <row r="6270" spans="1:3" x14ac:dyDescent="0.3">
      <c r="A6270">
        <v>37425</v>
      </c>
      <c r="B6270">
        <v>2</v>
      </c>
      <c r="C6270">
        <v>16</v>
      </c>
    </row>
    <row r="6271" spans="1:3" x14ac:dyDescent="0.3">
      <c r="A6271">
        <v>36678</v>
      </c>
      <c r="B6271">
        <v>2</v>
      </c>
      <c r="C6271">
        <v>8</v>
      </c>
    </row>
    <row r="6272" spans="1:3" x14ac:dyDescent="0.3">
      <c r="A6272">
        <v>36257</v>
      </c>
      <c r="B6272">
        <v>4</v>
      </c>
      <c r="C6272">
        <v>16</v>
      </c>
    </row>
    <row r="6273" spans="1:3" x14ac:dyDescent="0.3">
      <c r="A6273">
        <v>35870</v>
      </c>
      <c r="B6273">
        <v>1</v>
      </c>
      <c r="C6273">
        <v>8</v>
      </c>
    </row>
    <row r="6274" spans="1:3" x14ac:dyDescent="0.3">
      <c r="A6274">
        <v>35323</v>
      </c>
      <c r="B6274">
        <v>1</v>
      </c>
      <c r="C6274">
        <v>16</v>
      </c>
    </row>
    <row r="6275" spans="1:3" x14ac:dyDescent="0.3">
      <c r="A6275">
        <v>35033</v>
      </c>
      <c r="B6275">
        <v>2</v>
      </c>
      <c r="C6275">
        <v>16</v>
      </c>
    </row>
    <row r="6276" spans="1:3" x14ac:dyDescent="0.3">
      <c r="A6276">
        <v>34302</v>
      </c>
      <c r="B6276">
        <v>1</v>
      </c>
      <c r="C6276">
        <v>8</v>
      </c>
    </row>
    <row r="6277" spans="1:3" x14ac:dyDescent="0.3">
      <c r="A6277">
        <v>33015</v>
      </c>
      <c r="B6277">
        <v>1</v>
      </c>
      <c r="C6277">
        <v>16</v>
      </c>
    </row>
    <row r="6278" spans="1:3" x14ac:dyDescent="0.3">
      <c r="A6278">
        <v>32108</v>
      </c>
      <c r="B6278">
        <v>1</v>
      </c>
      <c r="C6278">
        <v>16</v>
      </c>
    </row>
    <row r="6279" spans="1:3" x14ac:dyDescent="0.3">
      <c r="A6279">
        <v>31905</v>
      </c>
      <c r="B6279">
        <v>1</v>
      </c>
      <c r="C6279">
        <v>8</v>
      </c>
    </row>
    <row r="6280" spans="1:3" x14ac:dyDescent="0.3">
      <c r="A6280">
        <v>31078</v>
      </c>
      <c r="B6280">
        <v>1</v>
      </c>
      <c r="C6280">
        <v>16</v>
      </c>
    </row>
    <row r="6281" spans="1:3" x14ac:dyDescent="0.3">
      <c r="A6281">
        <v>31075</v>
      </c>
      <c r="B6281">
        <v>2</v>
      </c>
      <c r="C6281">
        <v>16</v>
      </c>
    </row>
    <row r="6282" spans="1:3" x14ac:dyDescent="0.3">
      <c r="A6282">
        <v>30947</v>
      </c>
      <c r="B6282">
        <v>1</v>
      </c>
      <c r="C6282">
        <v>8</v>
      </c>
    </row>
    <row r="6283" spans="1:3" x14ac:dyDescent="0.3">
      <c r="A6283">
        <v>30387</v>
      </c>
      <c r="B6283">
        <v>1</v>
      </c>
      <c r="C6283">
        <v>8</v>
      </c>
    </row>
    <row r="6284" spans="1:3" x14ac:dyDescent="0.3">
      <c r="A6284">
        <v>30026</v>
      </c>
      <c r="B6284">
        <v>1</v>
      </c>
      <c r="C6284">
        <v>8</v>
      </c>
    </row>
    <row r="6285" spans="1:3" x14ac:dyDescent="0.3">
      <c r="A6285">
        <v>28759</v>
      </c>
      <c r="B6285">
        <v>1</v>
      </c>
      <c r="C6285">
        <v>8</v>
      </c>
    </row>
    <row r="6286" spans="1:3" x14ac:dyDescent="0.3">
      <c r="A6286">
        <v>24563</v>
      </c>
      <c r="B6286">
        <v>2</v>
      </c>
      <c r="C6286">
        <v>16</v>
      </c>
    </row>
    <row r="6287" spans="1:3" x14ac:dyDescent="0.3">
      <c r="A6287">
        <v>28039</v>
      </c>
      <c r="B6287">
        <v>1</v>
      </c>
      <c r="C6287">
        <v>8</v>
      </c>
    </row>
    <row r="6288" spans="1:3" x14ac:dyDescent="0.3">
      <c r="A6288">
        <v>26983</v>
      </c>
      <c r="B6288">
        <v>3</v>
      </c>
      <c r="C6288">
        <v>16</v>
      </c>
    </row>
    <row r="6289" spans="1:3" x14ac:dyDescent="0.3">
      <c r="A6289">
        <v>24848</v>
      </c>
      <c r="B6289">
        <v>1</v>
      </c>
      <c r="C6289">
        <v>8</v>
      </c>
    </row>
    <row r="6290" spans="1:3" x14ac:dyDescent="0.3">
      <c r="A6290">
        <v>25140</v>
      </c>
      <c r="B6290">
        <v>1</v>
      </c>
      <c r="C6290">
        <v>8</v>
      </c>
    </row>
    <row r="6291" spans="1:3" x14ac:dyDescent="0.3">
      <c r="A6291">
        <v>80722</v>
      </c>
      <c r="B6291">
        <v>1</v>
      </c>
      <c r="C6291">
        <v>8</v>
      </c>
    </row>
    <row r="6292" spans="1:3" x14ac:dyDescent="0.3">
      <c r="A6292">
        <v>80354</v>
      </c>
      <c r="B6292">
        <v>1</v>
      </c>
      <c r="C6292">
        <v>8</v>
      </c>
    </row>
    <row r="6293" spans="1:3" x14ac:dyDescent="0.3">
      <c r="A6293">
        <v>79985</v>
      </c>
      <c r="B6293">
        <v>1</v>
      </c>
      <c r="C6293">
        <v>8</v>
      </c>
    </row>
    <row r="6294" spans="1:3" x14ac:dyDescent="0.3">
      <c r="A6294">
        <v>79935</v>
      </c>
      <c r="B6294">
        <v>1</v>
      </c>
      <c r="C6294">
        <v>8</v>
      </c>
    </row>
    <row r="6295" spans="1:3" x14ac:dyDescent="0.3">
      <c r="A6295">
        <v>79878</v>
      </c>
      <c r="B6295">
        <v>1</v>
      </c>
      <c r="C6295">
        <v>8</v>
      </c>
    </row>
    <row r="6296" spans="1:3" x14ac:dyDescent="0.3">
      <c r="A6296">
        <v>79857</v>
      </c>
      <c r="B6296">
        <v>1</v>
      </c>
      <c r="C6296">
        <v>8</v>
      </c>
    </row>
    <row r="6297" spans="1:3" x14ac:dyDescent="0.3">
      <c r="A6297">
        <v>79842</v>
      </c>
      <c r="B6297">
        <v>1</v>
      </c>
      <c r="C6297">
        <v>8</v>
      </c>
    </row>
    <row r="6298" spans="1:3" x14ac:dyDescent="0.3">
      <c r="A6298">
        <v>79045</v>
      </c>
      <c r="B6298">
        <v>1</v>
      </c>
      <c r="C6298">
        <v>8</v>
      </c>
    </row>
    <row r="6299" spans="1:3" x14ac:dyDescent="0.3">
      <c r="A6299">
        <v>78793</v>
      </c>
      <c r="B6299">
        <v>2</v>
      </c>
      <c r="C6299">
        <v>8</v>
      </c>
    </row>
    <row r="6300" spans="1:3" x14ac:dyDescent="0.3">
      <c r="A6300">
        <v>78505</v>
      </c>
      <c r="B6300">
        <v>1</v>
      </c>
      <c r="C6300">
        <v>8</v>
      </c>
    </row>
    <row r="6301" spans="1:3" x14ac:dyDescent="0.3">
      <c r="A6301">
        <v>78070</v>
      </c>
      <c r="B6301">
        <v>1</v>
      </c>
      <c r="C6301">
        <v>8</v>
      </c>
    </row>
    <row r="6302" spans="1:3" x14ac:dyDescent="0.3">
      <c r="A6302">
        <v>76883</v>
      </c>
      <c r="B6302">
        <v>1</v>
      </c>
      <c r="C6302">
        <v>8</v>
      </c>
    </row>
    <row r="6303" spans="1:3" x14ac:dyDescent="0.3">
      <c r="A6303">
        <v>75992</v>
      </c>
      <c r="B6303">
        <v>1</v>
      </c>
      <c r="C6303">
        <v>8</v>
      </c>
    </row>
    <row r="6304" spans="1:3" x14ac:dyDescent="0.3">
      <c r="A6304">
        <v>75991</v>
      </c>
      <c r="B6304">
        <v>1</v>
      </c>
      <c r="C6304">
        <v>8</v>
      </c>
    </row>
    <row r="6305" spans="1:3" x14ac:dyDescent="0.3">
      <c r="A6305">
        <v>75990</v>
      </c>
      <c r="B6305">
        <v>1</v>
      </c>
      <c r="C6305">
        <v>8</v>
      </c>
    </row>
    <row r="6306" spans="1:3" x14ac:dyDescent="0.3">
      <c r="A6306">
        <v>75730</v>
      </c>
      <c r="B6306">
        <v>1</v>
      </c>
      <c r="C6306">
        <v>8</v>
      </c>
    </row>
    <row r="6307" spans="1:3" x14ac:dyDescent="0.3">
      <c r="A6307">
        <v>75521</v>
      </c>
      <c r="B6307">
        <v>1</v>
      </c>
      <c r="C6307">
        <v>8</v>
      </c>
    </row>
    <row r="6308" spans="1:3" x14ac:dyDescent="0.3">
      <c r="A6308">
        <v>75487</v>
      </c>
      <c r="B6308">
        <v>1</v>
      </c>
      <c r="C6308">
        <v>8</v>
      </c>
    </row>
    <row r="6309" spans="1:3" x14ac:dyDescent="0.3">
      <c r="A6309">
        <v>75469</v>
      </c>
      <c r="B6309">
        <v>1</v>
      </c>
      <c r="C6309">
        <v>8</v>
      </c>
    </row>
    <row r="6310" spans="1:3" x14ac:dyDescent="0.3">
      <c r="A6310">
        <v>74786</v>
      </c>
      <c r="B6310">
        <v>1</v>
      </c>
      <c r="C6310">
        <v>8</v>
      </c>
    </row>
    <row r="6311" spans="1:3" x14ac:dyDescent="0.3">
      <c r="A6311">
        <v>74785</v>
      </c>
      <c r="B6311">
        <v>1</v>
      </c>
      <c r="C6311">
        <v>8</v>
      </c>
    </row>
    <row r="6312" spans="1:3" x14ac:dyDescent="0.3">
      <c r="A6312">
        <v>74601</v>
      </c>
      <c r="B6312">
        <v>1</v>
      </c>
      <c r="C6312">
        <v>8</v>
      </c>
    </row>
    <row r="6313" spans="1:3" x14ac:dyDescent="0.3">
      <c r="A6313">
        <v>74425</v>
      </c>
      <c r="B6313">
        <v>1</v>
      </c>
      <c r="C6313">
        <v>8</v>
      </c>
    </row>
    <row r="6314" spans="1:3" x14ac:dyDescent="0.3">
      <c r="A6314">
        <v>74163</v>
      </c>
      <c r="B6314">
        <v>1</v>
      </c>
      <c r="C6314">
        <v>8</v>
      </c>
    </row>
    <row r="6315" spans="1:3" x14ac:dyDescent="0.3">
      <c r="A6315">
        <v>74162</v>
      </c>
      <c r="B6315">
        <v>1</v>
      </c>
      <c r="C6315">
        <v>8</v>
      </c>
    </row>
    <row r="6316" spans="1:3" x14ac:dyDescent="0.3">
      <c r="A6316">
        <v>74106</v>
      </c>
      <c r="B6316">
        <v>1</v>
      </c>
      <c r="C6316">
        <v>8</v>
      </c>
    </row>
    <row r="6317" spans="1:3" x14ac:dyDescent="0.3">
      <c r="A6317">
        <v>74105</v>
      </c>
      <c r="B6317">
        <v>1</v>
      </c>
      <c r="C6317">
        <v>8</v>
      </c>
    </row>
    <row r="6318" spans="1:3" x14ac:dyDescent="0.3">
      <c r="A6318">
        <v>74095</v>
      </c>
      <c r="B6318">
        <v>1</v>
      </c>
      <c r="C6318">
        <v>8</v>
      </c>
    </row>
    <row r="6319" spans="1:3" x14ac:dyDescent="0.3">
      <c r="A6319">
        <v>74094</v>
      </c>
      <c r="B6319">
        <v>1</v>
      </c>
      <c r="C6319">
        <v>8</v>
      </c>
    </row>
    <row r="6320" spans="1:3" x14ac:dyDescent="0.3">
      <c r="A6320">
        <v>73833</v>
      </c>
      <c r="B6320">
        <v>1</v>
      </c>
      <c r="C6320">
        <v>8</v>
      </c>
    </row>
    <row r="6321" spans="1:3" x14ac:dyDescent="0.3">
      <c r="A6321">
        <v>72624</v>
      </c>
      <c r="B6321">
        <v>1</v>
      </c>
      <c r="C6321">
        <v>8</v>
      </c>
    </row>
    <row r="6322" spans="1:3" x14ac:dyDescent="0.3">
      <c r="A6322">
        <v>71542</v>
      </c>
      <c r="B6322">
        <v>1</v>
      </c>
      <c r="C6322">
        <v>8</v>
      </c>
    </row>
    <row r="6323" spans="1:3" x14ac:dyDescent="0.3">
      <c r="A6323">
        <v>71344</v>
      </c>
      <c r="B6323">
        <v>1</v>
      </c>
      <c r="C6323">
        <v>8</v>
      </c>
    </row>
    <row r="6324" spans="1:3" x14ac:dyDescent="0.3">
      <c r="A6324">
        <v>71253</v>
      </c>
      <c r="B6324">
        <v>1</v>
      </c>
      <c r="C6324">
        <v>8</v>
      </c>
    </row>
    <row r="6325" spans="1:3" x14ac:dyDescent="0.3">
      <c r="A6325">
        <v>71144</v>
      </c>
      <c r="B6325">
        <v>1</v>
      </c>
      <c r="C6325">
        <v>8</v>
      </c>
    </row>
    <row r="6326" spans="1:3" x14ac:dyDescent="0.3">
      <c r="A6326">
        <v>71143</v>
      </c>
      <c r="B6326">
        <v>1</v>
      </c>
      <c r="C6326">
        <v>8</v>
      </c>
    </row>
    <row r="6327" spans="1:3" x14ac:dyDescent="0.3">
      <c r="A6327">
        <v>70667</v>
      </c>
      <c r="B6327">
        <v>1</v>
      </c>
      <c r="C6327">
        <v>8</v>
      </c>
    </row>
    <row r="6328" spans="1:3" x14ac:dyDescent="0.3">
      <c r="A6328">
        <v>70289</v>
      </c>
      <c r="B6328">
        <v>1</v>
      </c>
      <c r="C6328">
        <v>8</v>
      </c>
    </row>
    <row r="6329" spans="1:3" x14ac:dyDescent="0.3">
      <c r="A6329">
        <v>70086</v>
      </c>
      <c r="B6329">
        <v>1</v>
      </c>
      <c r="C6329">
        <v>8</v>
      </c>
    </row>
    <row r="6330" spans="1:3" x14ac:dyDescent="0.3">
      <c r="A6330">
        <v>69468</v>
      </c>
      <c r="B6330">
        <v>1</v>
      </c>
      <c r="C6330">
        <v>8</v>
      </c>
    </row>
    <row r="6331" spans="1:3" x14ac:dyDescent="0.3">
      <c r="A6331">
        <v>68538</v>
      </c>
      <c r="B6331">
        <v>1</v>
      </c>
      <c r="C6331">
        <v>8</v>
      </c>
    </row>
    <row r="6332" spans="1:3" x14ac:dyDescent="0.3">
      <c r="A6332">
        <v>66429</v>
      </c>
      <c r="B6332">
        <v>1</v>
      </c>
      <c r="C6332">
        <v>8</v>
      </c>
    </row>
    <row r="6333" spans="1:3" x14ac:dyDescent="0.3">
      <c r="A6333">
        <v>66428</v>
      </c>
      <c r="B6333">
        <v>1</v>
      </c>
      <c r="C6333">
        <v>8</v>
      </c>
    </row>
    <row r="6334" spans="1:3" x14ac:dyDescent="0.3">
      <c r="A6334">
        <v>66036</v>
      </c>
      <c r="B6334">
        <v>1</v>
      </c>
      <c r="C6334">
        <v>8</v>
      </c>
    </row>
    <row r="6335" spans="1:3" x14ac:dyDescent="0.3">
      <c r="A6335">
        <v>66034</v>
      </c>
      <c r="B6335">
        <v>1</v>
      </c>
      <c r="C6335">
        <v>8</v>
      </c>
    </row>
    <row r="6336" spans="1:3" x14ac:dyDescent="0.3">
      <c r="A6336">
        <v>65802</v>
      </c>
      <c r="B6336">
        <v>1</v>
      </c>
      <c r="C6336">
        <v>8</v>
      </c>
    </row>
    <row r="6337" spans="1:3" x14ac:dyDescent="0.3">
      <c r="A6337">
        <v>65801</v>
      </c>
      <c r="B6337">
        <v>1</v>
      </c>
      <c r="C6337">
        <v>8</v>
      </c>
    </row>
    <row r="6338" spans="1:3" x14ac:dyDescent="0.3">
      <c r="A6338">
        <v>65072</v>
      </c>
      <c r="B6338">
        <v>1</v>
      </c>
      <c r="C6338">
        <v>8</v>
      </c>
    </row>
    <row r="6339" spans="1:3" x14ac:dyDescent="0.3">
      <c r="A6339">
        <v>65069</v>
      </c>
      <c r="B6339">
        <v>1</v>
      </c>
      <c r="C6339">
        <v>8</v>
      </c>
    </row>
    <row r="6340" spans="1:3" x14ac:dyDescent="0.3">
      <c r="A6340">
        <v>64467</v>
      </c>
      <c r="B6340">
        <v>1</v>
      </c>
      <c r="C6340">
        <v>8</v>
      </c>
    </row>
    <row r="6341" spans="1:3" x14ac:dyDescent="0.3">
      <c r="A6341">
        <v>17012</v>
      </c>
      <c r="B6341">
        <v>2</v>
      </c>
      <c r="C6341">
        <v>16</v>
      </c>
    </row>
    <row r="6342" spans="1:3" x14ac:dyDescent="0.3">
      <c r="A6342">
        <v>17012</v>
      </c>
      <c r="B6342">
        <v>2</v>
      </c>
      <c r="C6342">
        <v>16</v>
      </c>
    </row>
    <row r="6343" spans="1:3" x14ac:dyDescent="0.3">
      <c r="A6343">
        <v>64093</v>
      </c>
      <c r="B6343">
        <v>1</v>
      </c>
      <c r="C6343">
        <v>8</v>
      </c>
    </row>
    <row r="6344" spans="1:3" x14ac:dyDescent="0.3">
      <c r="A6344">
        <v>63935</v>
      </c>
      <c r="B6344">
        <v>1</v>
      </c>
      <c r="C6344">
        <v>16</v>
      </c>
    </row>
    <row r="6345" spans="1:3" x14ac:dyDescent="0.3">
      <c r="A6345">
        <v>17122</v>
      </c>
      <c r="B6345">
        <v>1</v>
      </c>
      <c r="C6345">
        <v>8</v>
      </c>
    </row>
    <row r="6346" spans="1:3" x14ac:dyDescent="0.3">
      <c r="A6346">
        <v>62408</v>
      </c>
      <c r="B6346">
        <v>1</v>
      </c>
      <c r="C6346">
        <v>8</v>
      </c>
    </row>
    <row r="6347" spans="1:3" x14ac:dyDescent="0.3">
      <c r="A6347">
        <v>61519</v>
      </c>
      <c r="B6347">
        <v>1</v>
      </c>
      <c r="C6347">
        <v>8</v>
      </c>
    </row>
    <row r="6348" spans="1:3" x14ac:dyDescent="0.3">
      <c r="A6348">
        <v>61398</v>
      </c>
      <c r="B6348">
        <v>1</v>
      </c>
      <c r="C6348">
        <v>8</v>
      </c>
    </row>
    <row r="6349" spans="1:3" x14ac:dyDescent="0.3">
      <c r="A6349">
        <v>61379</v>
      </c>
      <c r="B6349">
        <v>1</v>
      </c>
      <c r="C6349">
        <v>16</v>
      </c>
    </row>
    <row r="6350" spans="1:3" x14ac:dyDescent="0.3">
      <c r="A6350">
        <v>61376</v>
      </c>
      <c r="B6350">
        <v>1</v>
      </c>
      <c r="C6350">
        <v>8</v>
      </c>
    </row>
    <row r="6351" spans="1:3" x14ac:dyDescent="0.3">
      <c r="A6351">
        <v>61144</v>
      </c>
      <c r="B6351">
        <v>1</v>
      </c>
      <c r="C6351">
        <v>8</v>
      </c>
    </row>
    <row r="6352" spans="1:3" x14ac:dyDescent="0.3">
      <c r="A6352">
        <v>60361</v>
      </c>
      <c r="B6352">
        <v>1</v>
      </c>
      <c r="C6352">
        <v>8</v>
      </c>
    </row>
    <row r="6353" spans="1:3" x14ac:dyDescent="0.3">
      <c r="A6353">
        <v>60115</v>
      </c>
      <c r="B6353">
        <v>1</v>
      </c>
      <c r="C6353">
        <v>16</v>
      </c>
    </row>
    <row r="6354" spans="1:3" x14ac:dyDescent="0.3">
      <c r="A6354">
        <v>59868</v>
      </c>
      <c r="B6354">
        <v>1</v>
      </c>
      <c r="C6354">
        <v>8</v>
      </c>
    </row>
    <row r="6355" spans="1:3" x14ac:dyDescent="0.3">
      <c r="A6355">
        <v>59385</v>
      </c>
      <c r="B6355">
        <v>1</v>
      </c>
      <c r="C6355">
        <v>8</v>
      </c>
    </row>
    <row r="6356" spans="1:3" x14ac:dyDescent="0.3">
      <c r="A6356">
        <v>59383</v>
      </c>
      <c r="B6356">
        <v>1</v>
      </c>
      <c r="C6356">
        <v>8</v>
      </c>
    </row>
    <row r="6357" spans="1:3" x14ac:dyDescent="0.3">
      <c r="A6357">
        <v>59168</v>
      </c>
      <c r="B6357">
        <v>1</v>
      </c>
      <c r="C6357">
        <v>8</v>
      </c>
    </row>
    <row r="6358" spans="1:3" x14ac:dyDescent="0.3">
      <c r="A6358">
        <v>58556</v>
      </c>
      <c r="B6358">
        <v>1</v>
      </c>
      <c r="C6358">
        <v>8</v>
      </c>
    </row>
    <row r="6359" spans="1:3" x14ac:dyDescent="0.3">
      <c r="A6359">
        <v>57291</v>
      </c>
      <c r="B6359">
        <v>2</v>
      </c>
      <c r="C6359">
        <v>8</v>
      </c>
    </row>
    <row r="6360" spans="1:3" x14ac:dyDescent="0.3">
      <c r="A6360">
        <v>57288</v>
      </c>
      <c r="B6360">
        <v>1</v>
      </c>
      <c r="C6360">
        <v>8</v>
      </c>
    </row>
    <row r="6361" spans="1:3" x14ac:dyDescent="0.3">
      <c r="A6361">
        <v>55481</v>
      </c>
      <c r="B6361">
        <v>1</v>
      </c>
      <c r="C6361">
        <v>8</v>
      </c>
    </row>
    <row r="6362" spans="1:3" x14ac:dyDescent="0.3">
      <c r="A6362">
        <v>55163</v>
      </c>
      <c r="B6362">
        <v>1</v>
      </c>
      <c r="C6362">
        <v>16</v>
      </c>
    </row>
    <row r="6363" spans="1:3" x14ac:dyDescent="0.3">
      <c r="A6363">
        <v>19126</v>
      </c>
      <c r="B6363">
        <v>1</v>
      </c>
      <c r="C6363">
        <v>8</v>
      </c>
    </row>
    <row r="6364" spans="1:3" x14ac:dyDescent="0.3">
      <c r="A6364">
        <v>53209</v>
      </c>
      <c r="B6364">
        <v>1</v>
      </c>
      <c r="C6364">
        <v>8</v>
      </c>
    </row>
    <row r="6365" spans="1:3" x14ac:dyDescent="0.3">
      <c r="A6365">
        <v>53142</v>
      </c>
      <c r="B6365">
        <v>1</v>
      </c>
      <c r="C6365">
        <v>8</v>
      </c>
    </row>
    <row r="6366" spans="1:3" x14ac:dyDescent="0.3">
      <c r="A6366">
        <v>53141</v>
      </c>
      <c r="B6366">
        <v>1</v>
      </c>
      <c r="C6366">
        <v>8</v>
      </c>
    </row>
    <row r="6367" spans="1:3" x14ac:dyDescent="0.3">
      <c r="A6367">
        <v>53081</v>
      </c>
      <c r="B6367">
        <v>1</v>
      </c>
      <c r="C6367">
        <v>8</v>
      </c>
    </row>
    <row r="6368" spans="1:3" x14ac:dyDescent="0.3">
      <c r="A6368">
        <v>53039</v>
      </c>
      <c r="B6368">
        <v>1</v>
      </c>
      <c r="C6368">
        <v>8</v>
      </c>
    </row>
    <row r="6369" spans="1:3" x14ac:dyDescent="0.3">
      <c r="A6369">
        <v>52896</v>
      </c>
      <c r="B6369">
        <v>1</v>
      </c>
      <c r="C6369">
        <v>8</v>
      </c>
    </row>
    <row r="6370" spans="1:3" x14ac:dyDescent="0.3">
      <c r="A6370">
        <v>52611</v>
      </c>
      <c r="B6370">
        <v>1</v>
      </c>
      <c r="C6370">
        <v>16</v>
      </c>
    </row>
    <row r="6371" spans="1:3" x14ac:dyDescent="0.3">
      <c r="A6371">
        <v>51904</v>
      </c>
      <c r="B6371">
        <v>1</v>
      </c>
      <c r="C6371">
        <v>8</v>
      </c>
    </row>
    <row r="6372" spans="1:3" x14ac:dyDescent="0.3">
      <c r="A6372">
        <v>51774</v>
      </c>
      <c r="B6372">
        <v>1</v>
      </c>
      <c r="C6372">
        <v>8</v>
      </c>
    </row>
    <row r="6373" spans="1:3" x14ac:dyDescent="0.3">
      <c r="A6373">
        <v>51614</v>
      </c>
      <c r="B6373">
        <v>1</v>
      </c>
      <c r="C6373">
        <v>8</v>
      </c>
    </row>
    <row r="6374" spans="1:3" x14ac:dyDescent="0.3">
      <c r="A6374">
        <v>51191</v>
      </c>
      <c r="B6374">
        <v>1</v>
      </c>
      <c r="C6374">
        <v>8</v>
      </c>
    </row>
    <row r="6375" spans="1:3" x14ac:dyDescent="0.3">
      <c r="A6375">
        <v>51190</v>
      </c>
      <c r="B6375">
        <v>1</v>
      </c>
      <c r="C6375">
        <v>8</v>
      </c>
    </row>
    <row r="6376" spans="1:3" x14ac:dyDescent="0.3">
      <c r="A6376">
        <v>20604</v>
      </c>
      <c r="B6376">
        <v>1</v>
      </c>
      <c r="C6376">
        <v>16</v>
      </c>
    </row>
    <row r="6377" spans="1:3" x14ac:dyDescent="0.3">
      <c r="A6377">
        <v>50598</v>
      </c>
      <c r="B6377">
        <v>1</v>
      </c>
      <c r="C6377">
        <v>8</v>
      </c>
    </row>
    <row r="6378" spans="1:3" x14ac:dyDescent="0.3">
      <c r="A6378">
        <v>50597</v>
      </c>
      <c r="B6378">
        <v>1</v>
      </c>
      <c r="C6378">
        <v>8</v>
      </c>
    </row>
    <row r="6379" spans="1:3" x14ac:dyDescent="0.3">
      <c r="A6379">
        <v>50596</v>
      </c>
      <c r="B6379">
        <v>1</v>
      </c>
      <c r="C6379">
        <v>8</v>
      </c>
    </row>
    <row r="6380" spans="1:3" x14ac:dyDescent="0.3">
      <c r="A6380">
        <v>50260</v>
      </c>
      <c r="B6380">
        <v>2</v>
      </c>
      <c r="C6380">
        <v>8</v>
      </c>
    </row>
    <row r="6381" spans="1:3" x14ac:dyDescent="0.3">
      <c r="A6381">
        <v>50260</v>
      </c>
      <c r="B6381">
        <v>2</v>
      </c>
      <c r="C6381">
        <v>8</v>
      </c>
    </row>
    <row r="6382" spans="1:3" x14ac:dyDescent="0.3">
      <c r="A6382">
        <v>49972</v>
      </c>
      <c r="B6382">
        <v>2</v>
      </c>
      <c r="C6382">
        <v>16</v>
      </c>
    </row>
    <row r="6383" spans="1:3" x14ac:dyDescent="0.3">
      <c r="A6383">
        <v>49972</v>
      </c>
      <c r="B6383">
        <v>2</v>
      </c>
      <c r="C6383">
        <v>16</v>
      </c>
    </row>
    <row r="6384" spans="1:3" x14ac:dyDescent="0.3">
      <c r="A6384">
        <v>49793</v>
      </c>
      <c r="B6384">
        <v>1</v>
      </c>
      <c r="C6384">
        <v>8</v>
      </c>
    </row>
    <row r="6385" spans="1:3" x14ac:dyDescent="0.3">
      <c r="A6385">
        <v>49792</v>
      </c>
      <c r="B6385">
        <v>1</v>
      </c>
      <c r="C6385">
        <v>8</v>
      </c>
    </row>
    <row r="6386" spans="1:3" x14ac:dyDescent="0.3">
      <c r="A6386">
        <v>21056</v>
      </c>
      <c r="B6386">
        <v>2</v>
      </c>
      <c r="C6386">
        <v>8</v>
      </c>
    </row>
    <row r="6387" spans="1:3" x14ac:dyDescent="0.3">
      <c r="A6387">
        <v>49064</v>
      </c>
      <c r="B6387">
        <v>1</v>
      </c>
      <c r="C6387">
        <v>8</v>
      </c>
    </row>
    <row r="6388" spans="1:3" x14ac:dyDescent="0.3">
      <c r="A6388">
        <v>48869</v>
      </c>
      <c r="B6388">
        <v>1</v>
      </c>
      <c r="C6388">
        <v>8</v>
      </c>
    </row>
    <row r="6389" spans="1:3" x14ac:dyDescent="0.3">
      <c r="A6389">
        <v>48468</v>
      </c>
      <c r="B6389">
        <v>1</v>
      </c>
      <c r="C6389">
        <v>8</v>
      </c>
    </row>
    <row r="6390" spans="1:3" x14ac:dyDescent="0.3">
      <c r="A6390">
        <v>47789</v>
      </c>
      <c r="B6390">
        <v>1</v>
      </c>
      <c r="C6390">
        <v>8</v>
      </c>
    </row>
    <row r="6391" spans="1:3" x14ac:dyDescent="0.3">
      <c r="A6391">
        <v>21345</v>
      </c>
      <c r="B6391">
        <v>1</v>
      </c>
      <c r="C6391">
        <v>16</v>
      </c>
    </row>
    <row r="6392" spans="1:3" x14ac:dyDescent="0.3">
      <c r="A6392">
        <v>21347</v>
      </c>
      <c r="B6392">
        <v>1</v>
      </c>
      <c r="C6392">
        <v>8</v>
      </c>
    </row>
    <row r="6393" spans="1:3" x14ac:dyDescent="0.3">
      <c r="A6393">
        <v>45361</v>
      </c>
      <c r="B6393">
        <v>2</v>
      </c>
      <c r="C6393">
        <v>16</v>
      </c>
    </row>
    <row r="6394" spans="1:3" x14ac:dyDescent="0.3">
      <c r="A6394">
        <v>45361</v>
      </c>
      <c r="B6394">
        <v>2</v>
      </c>
      <c r="C6394">
        <v>16</v>
      </c>
    </row>
    <row r="6395" spans="1:3" x14ac:dyDescent="0.3">
      <c r="A6395">
        <v>45359</v>
      </c>
      <c r="B6395">
        <v>1</v>
      </c>
      <c r="C6395">
        <v>8</v>
      </c>
    </row>
    <row r="6396" spans="1:3" x14ac:dyDescent="0.3">
      <c r="A6396">
        <v>43942</v>
      </c>
      <c r="B6396">
        <v>1</v>
      </c>
      <c r="C6396">
        <v>16</v>
      </c>
    </row>
    <row r="6397" spans="1:3" x14ac:dyDescent="0.3">
      <c r="A6397">
        <v>43432</v>
      </c>
      <c r="B6397">
        <v>1</v>
      </c>
      <c r="C6397">
        <v>16</v>
      </c>
    </row>
    <row r="6398" spans="1:3" x14ac:dyDescent="0.3">
      <c r="A6398">
        <v>42525</v>
      </c>
      <c r="B6398">
        <v>1</v>
      </c>
      <c r="C6398">
        <v>8</v>
      </c>
    </row>
    <row r="6399" spans="1:3" x14ac:dyDescent="0.3">
      <c r="A6399">
        <v>41748</v>
      </c>
      <c r="B6399">
        <v>1</v>
      </c>
      <c r="C6399">
        <v>8</v>
      </c>
    </row>
    <row r="6400" spans="1:3" x14ac:dyDescent="0.3">
      <c r="A6400">
        <v>41522</v>
      </c>
      <c r="B6400">
        <v>1</v>
      </c>
      <c r="C6400">
        <v>8</v>
      </c>
    </row>
    <row r="6401" spans="1:3" x14ac:dyDescent="0.3">
      <c r="A6401">
        <v>40656</v>
      </c>
      <c r="B6401">
        <v>1</v>
      </c>
      <c r="C6401">
        <v>16</v>
      </c>
    </row>
    <row r="6402" spans="1:3" x14ac:dyDescent="0.3">
      <c r="A6402" s="26">
        <v>22946</v>
      </c>
      <c r="B6402" s="26">
        <v>1</v>
      </c>
      <c r="C6402" s="26">
        <v>16</v>
      </c>
    </row>
    <row r="6403" spans="1:3" x14ac:dyDescent="0.3">
      <c r="A6403">
        <v>40302</v>
      </c>
      <c r="B6403">
        <v>1</v>
      </c>
      <c r="C6403">
        <v>8</v>
      </c>
    </row>
    <row r="6404" spans="1:3" x14ac:dyDescent="0.3">
      <c r="A6404">
        <v>38506</v>
      </c>
      <c r="B6404">
        <v>1</v>
      </c>
      <c r="C6404">
        <v>8</v>
      </c>
    </row>
    <row r="6405" spans="1:3" x14ac:dyDescent="0.3">
      <c r="A6405">
        <v>38073</v>
      </c>
      <c r="B6405">
        <v>1</v>
      </c>
      <c r="C6405">
        <v>8</v>
      </c>
    </row>
    <row r="6406" spans="1:3" x14ac:dyDescent="0.3">
      <c r="A6406">
        <v>37990</v>
      </c>
      <c r="B6406">
        <v>1</v>
      </c>
      <c r="C6406">
        <v>8</v>
      </c>
    </row>
    <row r="6407" spans="1:3" x14ac:dyDescent="0.3">
      <c r="A6407">
        <v>37965</v>
      </c>
      <c r="B6407">
        <v>1</v>
      </c>
      <c r="C6407">
        <v>16</v>
      </c>
    </row>
    <row r="6408" spans="1:3" x14ac:dyDescent="0.3">
      <c r="A6408">
        <v>37423</v>
      </c>
      <c r="B6408">
        <v>1</v>
      </c>
      <c r="C6408">
        <v>8</v>
      </c>
    </row>
    <row r="6409" spans="1:3" x14ac:dyDescent="0.3">
      <c r="A6409">
        <v>37171</v>
      </c>
      <c r="B6409">
        <v>1</v>
      </c>
      <c r="C6409">
        <v>8</v>
      </c>
    </row>
    <row r="6410" spans="1:3" x14ac:dyDescent="0.3">
      <c r="A6410">
        <v>35761</v>
      </c>
      <c r="B6410">
        <v>2</v>
      </c>
      <c r="C6410">
        <v>16</v>
      </c>
    </row>
    <row r="6411" spans="1:3" x14ac:dyDescent="0.3">
      <c r="A6411">
        <v>35761</v>
      </c>
      <c r="B6411">
        <v>2</v>
      </c>
      <c r="C6411">
        <v>16</v>
      </c>
    </row>
    <row r="6412" spans="1:3" x14ac:dyDescent="0.3">
      <c r="A6412">
        <v>35324</v>
      </c>
      <c r="B6412">
        <v>1</v>
      </c>
      <c r="C6412">
        <v>8</v>
      </c>
    </row>
    <row r="6413" spans="1:3" x14ac:dyDescent="0.3">
      <c r="A6413">
        <v>23855</v>
      </c>
      <c r="B6413">
        <v>1</v>
      </c>
      <c r="C6413">
        <v>16</v>
      </c>
    </row>
    <row r="6414" spans="1:3" x14ac:dyDescent="0.3">
      <c r="A6414">
        <v>34638</v>
      </c>
      <c r="B6414">
        <v>1</v>
      </c>
      <c r="C6414">
        <v>8</v>
      </c>
    </row>
    <row r="6415" spans="1:3" x14ac:dyDescent="0.3">
      <c r="A6415">
        <v>33744</v>
      </c>
      <c r="B6415">
        <v>1</v>
      </c>
      <c r="C6415">
        <v>8</v>
      </c>
    </row>
    <row r="6416" spans="1:3" x14ac:dyDescent="0.3">
      <c r="A6416">
        <v>33743</v>
      </c>
      <c r="B6416">
        <v>1</v>
      </c>
      <c r="C6416">
        <v>8</v>
      </c>
    </row>
    <row r="6417" spans="1:3" x14ac:dyDescent="0.3">
      <c r="A6417">
        <v>33507</v>
      </c>
      <c r="B6417">
        <v>1</v>
      </c>
      <c r="C6417">
        <v>8</v>
      </c>
    </row>
    <row r="6418" spans="1:3" x14ac:dyDescent="0.3">
      <c r="A6418">
        <v>33506</v>
      </c>
      <c r="B6418">
        <v>1</v>
      </c>
      <c r="C6418">
        <v>16</v>
      </c>
    </row>
    <row r="6419" spans="1:3" x14ac:dyDescent="0.3">
      <c r="A6419">
        <v>32645</v>
      </c>
      <c r="B6419">
        <v>2</v>
      </c>
      <c r="C6419">
        <v>16</v>
      </c>
    </row>
    <row r="6420" spans="1:3" x14ac:dyDescent="0.3">
      <c r="A6420">
        <v>32645</v>
      </c>
      <c r="B6420">
        <v>2</v>
      </c>
      <c r="C6420">
        <v>16</v>
      </c>
    </row>
    <row r="6421" spans="1:3" x14ac:dyDescent="0.3">
      <c r="A6421">
        <v>32107</v>
      </c>
      <c r="B6421">
        <v>1</v>
      </c>
      <c r="C6421">
        <v>16</v>
      </c>
    </row>
    <row r="6422" spans="1:3" x14ac:dyDescent="0.3">
      <c r="A6422">
        <v>31580</v>
      </c>
      <c r="B6422">
        <v>1</v>
      </c>
      <c r="C6422">
        <v>8</v>
      </c>
    </row>
    <row r="6423" spans="1:3" x14ac:dyDescent="0.3">
      <c r="A6423">
        <v>30809</v>
      </c>
      <c r="B6423">
        <v>1</v>
      </c>
      <c r="C6423">
        <v>8</v>
      </c>
    </row>
    <row r="6424" spans="1:3" x14ac:dyDescent="0.3">
      <c r="A6424">
        <v>28179</v>
      </c>
      <c r="B6424">
        <v>1</v>
      </c>
      <c r="C6424">
        <v>8</v>
      </c>
    </row>
    <row r="6425" spans="1:3" x14ac:dyDescent="0.3">
      <c r="A6425">
        <v>26926</v>
      </c>
      <c r="B6425">
        <v>1</v>
      </c>
      <c r="C6425">
        <v>8</v>
      </c>
    </row>
    <row r="6426" spans="1:3" x14ac:dyDescent="0.3">
      <c r="A6426">
        <v>26299</v>
      </c>
      <c r="B6426">
        <v>1</v>
      </c>
      <c r="C6426">
        <v>8</v>
      </c>
    </row>
    <row r="6427" spans="1:3" x14ac:dyDescent="0.3">
      <c r="A6427">
        <v>79052</v>
      </c>
      <c r="B6427">
        <v>1</v>
      </c>
      <c r="C6427">
        <v>8</v>
      </c>
    </row>
    <row r="6428" spans="1:3" x14ac:dyDescent="0.3">
      <c r="A6428">
        <v>64968</v>
      </c>
      <c r="B6428">
        <v>1</v>
      </c>
      <c r="C6428">
        <v>8</v>
      </c>
    </row>
    <row r="6429" spans="1:3" x14ac:dyDescent="0.3">
      <c r="A6429">
        <v>18506</v>
      </c>
      <c r="B6429">
        <v>2</v>
      </c>
      <c r="C6429">
        <v>16</v>
      </c>
    </row>
    <row r="6430" spans="1:3" x14ac:dyDescent="0.3">
      <c r="A6430">
        <v>37411</v>
      </c>
      <c r="B6430">
        <v>1</v>
      </c>
      <c r="C6430">
        <v>8</v>
      </c>
    </row>
    <row r="6431" spans="1:3" x14ac:dyDescent="0.3">
      <c r="A6431">
        <v>10525</v>
      </c>
      <c r="B6431">
        <v>1</v>
      </c>
      <c r="C6431">
        <v>16</v>
      </c>
    </row>
    <row r="6432" spans="1:3" x14ac:dyDescent="0.3">
      <c r="A6432">
        <v>10939</v>
      </c>
      <c r="B6432">
        <v>1</v>
      </c>
      <c r="C6432">
        <v>16</v>
      </c>
    </row>
    <row r="6433" spans="1:3" x14ac:dyDescent="0.3">
      <c r="A6433">
        <v>75694</v>
      </c>
      <c r="B6433">
        <v>1</v>
      </c>
      <c r="C6433">
        <v>8</v>
      </c>
    </row>
    <row r="6434" spans="1:3" x14ac:dyDescent="0.3">
      <c r="A6434">
        <v>74961</v>
      </c>
      <c r="B6434">
        <v>1</v>
      </c>
      <c r="C6434">
        <v>8</v>
      </c>
    </row>
    <row r="6435" spans="1:3" x14ac:dyDescent="0.3">
      <c r="A6435">
        <v>74766</v>
      </c>
      <c r="B6435">
        <v>1</v>
      </c>
      <c r="C6435">
        <v>8</v>
      </c>
    </row>
    <row r="6436" spans="1:3" x14ac:dyDescent="0.3">
      <c r="A6436">
        <v>70827</v>
      </c>
      <c r="B6436">
        <v>1</v>
      </c>
      <c r="C6436">
        <v>8</v>
      </c>
    </row>
    <row r="6437" spans="1:3" x14ac:dyDescent="0.3">
      <c r="A6437">
        <v>64280</v>
      </c>
      <c r="B6437">
        <v>1</v>
      </c>
      <c r="C6437">
        <v>8</v>
      </c>
    </row>
    <row r="6438" spans="1:3" x14ac:dyDescent="0.3">
      <c r="A6438">
        <v>61198</v>
      </c>
      <c r="B6438">
        <v>1</v>
      </c>
      <c r="C6438">
        <v>16</v>
      </c>
    </row>
    <row r="6439" spans="1:3" x14ac:dyDescent="0.3">
      <c r="A6439">
        <v>55134</v>
      </c>
      <c r="B6439">
        <v>1</v>
      </c>
      <c r="C6439">
        <v>8</v>
      </c>
    </row>
    <row r="6440" spans="1:3" x14ac:dyDescent="0.3">
      <c r="A6440">
        <v>43063</v>
      </c>
      <c r="B6440">
        <v>1</v>
      </c>
      <c r="C6440">
        <v>16</v>
      </c>
    </row>
    <row r="6441" spans="1:3" x14ac:dyDescent="0.3">
      <c r="A6441">
        <v>36090</v>
      </c>
      <c r="B6441">
        <v>1</v>
      </c>
      <c r="C6441">
        <v>16</v>
      </c>
    </row>
    <row r="6442" spans="1:3" x14ac:dyDescent="0.3">
      <c r="A6442">
        <v>35989</v>
      </c>
      <c r="B6442">
        <v>1</v>
      </c>
      <c r="C6442">
        <v>8</v>
      </c>
    </row>
    <row r="6443" spans="1:3" x14ac:dyDescent="0.3">
      <c r="A6443">
        <v>27629</v>
      </c>
      <c r="B6443">
        <v>1</v>
      </c>
      <c r="C6443">
        <v>8</v>
      </c>
    </row>
    <row r="6444" spans="1:3" x14ac:dyDescent="0.3">
      <c r="A6444">
        <v>80732</v>
      </c>
      <c r="B6444">
        <v>1</v>
      </c>
      <c r="C6444">
        <v>8</v>
      </c>
    </row>
    <row r="6445" spans="1:3" x14ac:dyDescent="0.3">
      <c r="A6445">
        <v>80731</v>
      </c>
      <c r="B6445">
        <v>1</v>
      </c>
      <c r="C6445">
        <v>8</v>
      </c>
    </row>
    <row r="6446" spans="1:3" x14ac:dyDescent="0.3">
      <c r="A6446">
        <v>80600</v>
      </c>
      <c r="B6446">
        <v>1</v>
      </c>
      <c r="C6446">
        <v>8</v>
      </c>
    </row>
    <row r="6447" spans="1:3" x14ac:dyDescent="0.3">
      <c r="A6447">
        <v>78800</v>
      </c>
      <c r="B6447">
        <v>1</v>
      </c>
      <c r="C6447">
        <v>8</v>
      </c>
    </row>
    <row r="6448" spans="1:3" x14ac:dyDescent="0.3">
      <c r="A6448">
        <v>74455</v>
      </c>
      <c r="B6448">
        <v>1</v>
      </c>
      <c r="C6448">
        <v>8</v>
      </c>
    </row>
    <row r="6449" spans="1:3" x14ac:dyDescent="0.3">
      <c r="A6449">
        <v>74201</v>
      </c>
      <c r="B6449">
        <v>1</v>
      </c>
      <c r="C6449">
        <v>8</v>
      </c>
    </row>
    <row r="6450" spans="1:3" x14ac:dyDescent="0.3">
      <c r="A6450">
        <v>72677</v>
      </c>
      <c r="B6450">
        <v>1</v>
      </c>
      <c r="C6450">
        <v>8</v>
      </c>
    </row>
    <row r="6451" spans="1:3" x14ac:dyDescent="0.3">
      <c r="A6451">
        <v>72205</v>
      </c>
      <c r="B6451">
        <v>1</v>
      </c>
      <c r="C6451">
        <v>8</v>
      </c>
    </row>
    <row r="6452" spans="1:3" x14ac:dyDescent="0.3">
      <c r="A6452">
        <v>71380</v>
      </c>
      <c r="B6452">
        <v>1</v>
      </c>
      <c r="C6452">
        <v>8</v>
      </c>
    </row>
    <row r="6453" spans="1:3" x14ac:dyDescent="0.3">
      <c r="A6453">
        <v>71379</v>
      </c>
      <c r="B6453">
        <v>1</v>
      </c>
      <c r="C6453">
        <v>8</v>
      </c>
    </row>
    <row r="6454" spans="1:3" x14ac:dyDescent="0.3">
      <c r="A6454">
        <v>71096</v>
      </c>
      <c r="B6454">
        <v>1</v>
      </c>
      <c r="C6454">
        <v>8</v>
      </c>
    </row>
    <row r="6455" spans="1:3" x14ac:dyDescent="0.3">
      <c r="A6455">
        <v>63427</v>
      </c>
      <c r="B6455">
        <v>1</v>
      </c>
      <c r="C6455">
        <v>8</v>
      </c>
    </row>
    <row r="6456" spans="1:3" x14ac:dyDescent="0.3">
      <c r="A6456">
        <v>62877</v>
      </c>
      <c r="B6456">
        <v>1</v>
      </c>
      <c r="C6456">
        <v>8</v>
      </c>
    </row>
    <row r="6457" spans="1:3" x14ac:dyDescent="0.3">
      <c r="A6457">
        <v>62083</v>
      </c>
      <c r="B6457">
        <v>1</v>
      </c>
      <c r="C6457">
        <v>8</v>
      </c>
    </row>
    <row r="6458" spans="1:3" x14ac:dyDescent="0.3">
      <c r="A6458">
        <v>61812</v>
      </c>
      <c r="B6458">
        <v>1</v>
      </c>
      <c r="C6458">
        <v>8</v>
      </c>
    </row>
    <row r="6459" spans="1:3" x14ac:dyDescent="0.3">
      <c r="A6459">
        <v>60168</v>
      </c>
      <c r="B6459">
        <v>1</v>
      </c>
      <c r="C6459">
        <v>8</v>
      </c>
    </row>
    <row r="6460" spans="1:3" x14ac:dyDescent="0.3">
      <c r="A6460">
        <v>59666</v>
      </c>
      <c r="B6460">
        <v>1</v>
      </c>
      <c r="C6460">
        <v>8</v>
      </c>
    </row>
    <row r="6461" spans="1:3" x14ac:dyDescent="0.3">
      <c r="A6461">
        <v>58854</v>
      </c>
      <c r="B6461">
        <v>1</v>
      </c>
      <c r="C6461">
        <v>8</v>
      </c>
    </row>
    <row r="6462" spans="1:3" x14ac:dyDescent="0.3">
      <c r="A6462">
        <v>54438</v>
      </c>
      <c r="B6462">
        <v>1</v>
      </c>
      <c r="C6462">
        <v>8</v>
      </c>
    </row>
    <row r="6463" spans="1:3" x14ac:dyDescent="0.3">
      <c r="A6463">
        <v>19277</v>
      </c>
      <c r="B6463">
        <v>1</v>
      </c>
      <c r="C6463">
        <v>8</v>
      </c>
    </row>
    <row r="6464" spans="1:3" x14ac:dyDescent="0.3">
      <c r="A6464">
        <v>20826</v>
      </c>
      <c r="B6464">
        <v>1</v>
      </c>
      <c r="C6464">
        <v>8</v>
      </c>
    </row>
    <row r="6465" spans="1:3" x14ac:dyDescent="0.3">
      <c r="A6465">
        <v>50329</v>
      </c>
      <c r="B6465">
        <v>1</v>
      </c>
      <c r="C6465">
        <v>8</v>
      </c>
    </row>
    <row r="6466" spans="1:3" x14ac:dyDescent="0.3">
      <c r="A6466">
        <v>47271</v>
      </c>
      <c r="B6466">
        <v>1</v>
      </c>
      <c r="C6466">
        <v>8</v>
      </c>
    </row>
    <row r="6467" spans="1:3" x14ac:dyDescent="0.3">
      <c r="A6467">
        <v>47237</v>
      </c>
      <c r="B6467">
        <v>1</v>
      </c>
      <c r="C6467">
        <v>8</v>
      </c>
    </row>
    <row r="6468" spans="1:3" x14ac:dyDescent="0.3">
      <c r="A6468">
        <v>46030</v>
      </c>
      <c r="B6468">
        <v>1</v>
      </c>
      <c r="C6468">
        <v>8</v>
      </c>
    </row>
    <row r="6469" spans="1:3" x14ac:dyDescent="0.3">
      <c r="A6469">
        <v>22784</v>
      </c>
      <c r="B6469">
        <v>1</v>
      </c>
      <c r="C6469">
        <v>16</v>
      </c>
    </row>
    <row r="6470" spans="1:3" x14ac:dyDescent="0.3">
      <c r="A6470">
        <v>37399</v>
      </c>
      <c r="B6470">
        <v>1</v>
      </c>
      <c r="C6470">
        <v>8</v>
      </c>
    </row>
    <row r="6471" spans="1:3" x14ac:dyDescent="0.3">
      <c r="A6471">
        <v>35965</v>
      </c>
      <c r="B6471">
        <v>1</v>
      </c>
      <c r="C6471">
        <v>8</v>
      </c>
    </row>
    <row r="6472" spans="1:3" x14ac:dyDescent="0.3">
      <c r="A6472">
        <v>34182</v>
      </c>
      <c r="B6472">
        <v>1</v>
      </c>
      <c r="C6472">
        <v>8</v>
      </c>
    </row>
    <row r="6473" spans="1:3" x14ac:dyDescent="0.3">
      <c r="A6473">
        <v>29792</v>
      </c>
      <c r="B6473">
        <v>1</v>
      </c>
      <c r="C6473">
        <v>8</v>
      </c>
    </row>
    <row r="6474" spans="1:3" x14ac:dyDescent="0.3">
      <c r="A6474">
        <v>29655</v>
      </c>
      <c r="B6474">
        <v>1</v>
      </c>
      <c r="C6474">
        <v>8</v>
      </c>
    </row>
    <row r="6475" spans="1:3" x14ac:dyDescent="0.3">
      <c r="A6475">
        <v>27236</v>
      </c>
      <c r="B6475">
        <v>2</v>
      </c>
      <c r="C6475">
        <v>16</v>
      </c>
    </row>
    <row r="6476" spans="1:3" x14ac:dyDescent="0.3">
      <c r="A6476">
        <v>26342</v>
      </c>
      <c r="B6476">
        <v>1</v>
      </c>
      <c r="C6476">
        <v>16</v>
      </c>
    </row>
    <row r="6477" spans="1:3" x14ac:dyDescent="0.3">
      <c r="A6477">
        <v>26250</v>
      </c>
      <c r="B6477">
        <v>1</v>
      </c>
      <c r="C6477">
        <v>8</v>
      </c>
    </row>
    <row r="6478" spans="1:3" x14ac:dyDescent="0.3">
      <c r="A6478">
        <v>80368</v>
      </c>
      <c r="B6478">
        <v>1</v>
      </c>
      <c r="C6478">
        <v>8</v>
      </c>
    </row>
    <row r="6479" spans="1:3" x14ac:dyDescent="0.3">
      <c r="A6479">
        <v>80265</v>
      </c>
      <c r="B6479">
        <v>1</v>
      </c>
      <c r="C6479">
        <v>8</v>
      </c>
    </row>
    <row r="6480" spans="1:3" x14ac:dyDescent="0.3">
      <c r="A6480">
        <v>79512</v>
      </c>
      <c r="B6480">
        <v>1</v>
      </c>
      <c r="C6480">
        <v>8</v>
      </c>
    </row>
    <row r="6481" spans="1:3" x14ac:dyDescent="0.3">
      <c r="A6481">
        <v>78870</v>
      </c>
      <c r="B6481">
        <v>1</v>
      </c>
      <c r="C6481">
        <v>8</v>
      </c>
    </row>
    <row r="6482" spans="1:3" x14ac:dyDescent="0.3">
      <c r="A6482">
        <v>77960</v>
      </c>
      <c r="B6482">
        <v>1</v>
      </c>
      <c r="C6482">
        <v>8</v>
      </c>
    </row>
    <row r="6483" spans="1:3" x14ac:dyDescent="0.3">
      <c r="A6483">
        <v>76452</v>
      </c>
      <c r="B6483">
        <v>1</v>
      </c>
      <c r="C6483">
        <v>8</v>
      </c>
    </row>
    <row r="6484" spans="1:3" x14ac:dyDescent="0.3">
      <c r="A6484">
        <v>75898</v>
      </c>
      <c r="B6484">
        <v>1</v>
      </c>
      <c r="C6484">
        <v>8</v>
      </c>
    </row>
    <row r="6485" spans="1:3" x14ac:dyDescent="0.3">
      <c r="A6485">
        <v>75386</v>
      </c>
      <c r="B6485">
        <v>1</v>
      </c>
      <c r="C6485">
        <v>8</v>
      </c>
    </row>
    <row r="6486" spans="1:3" x14ac:dyDescent="0.3">
      <c r="A6486">
        <v>74456</v>
      </c>
      <c r="B6486">
        <v>1</v>
      </c>
      <c r="C6486">
        <v>8</v>
      </c>
    </row>
    <row r="6487" spans="1:3" x14ac:dyDescent="0.3">
      <c r="A6487">
        <v>72676</v>
      </c>
      <c r="B6487">
        <v>1</v>
      </c>
      <c r="C6487">
        <v>8</v>
      </c>
    </row>
    <row r="6488" spans="1:3" x14ac:dyDescent="0.3">
      <c r="A6488">
        <v>72250</v>
      </c>
      <c r="B6488">
        <v>1</v>
      </c>
      <c r="C6488">
        <v>8</v>
      </c>
    </row>
    <row r="6489" spans="1:3" x14ac:dyDescent="0.3">
      <c r="A6489">
        <v>72249</v>
      </c>
      <c r="B6489">
        <v>1</v>
      </c>
      <c r="C6489">
        <v>8</v>
      </c>
    </row>
    <row r="6490" spans="1:3" x14ac:dyDescent="0.3">
      <c r="A6490">
        <v>70243</v>
      </c>
      <c r="B6490">
        <v>1</v>
      </c>
      <c r="C6490">
        <v>8</v>
      </c>
    </row>
    <row r="6491" spans="1:3" x14ac:dyDescent="0.3">
      <c r="A6491">
        <v>69915</v>
      </c>
      <c r="B6491">
        <v>1</v>
      </c>
      <c r="C6491">
        <v>8</v>
      </c>
    </row>
    <row r="6492" spans="1:3" x14ac:dyDescent="0.3">
      <c r="A6492">
        <v>15396</v>
      </c>
      <c r="B6492">
        <v>1</v>
      </c>
      <c r="C6492">
        <v>8</v>
      </c>
    </row>
    <row r="6493" spans="1:3" x14ac:dyDescent="0.3">
      <c r="A6493">
        <v>66390</v>
      </c>
      <c r="B6493">
        <v>1</v>
      </c>
      <c r="C6493">
        <v>8</v>
      </c>
    </row>
    <row r="6494" spans="1:3" x14ac:dyDescent="0.3">
      <c r="A6494">
        <v>65128</v>
      </c>
      <c r="B6494">
        <v>1</v>
      </c>
      <c r="C6494">
        <v>16</v>
      </c>
    </row>
    <row r="6495" spans="1:3" x14ac:dyDescent="0.3">
      <c r="A6495">
        <v>65127</v>
      </c>
      <c r="B6495">
        <v>1</v>
      </c>
      <c r="C6495">
        <v>8</v>
      </c>
    </row>
    <row r="6496" spans="1:3" x14ac:dyDescent="0.3">
      <c r="A6496">
        <v>16799</v>
      </c>
      <c r="B6496">
        <v>2</v>
      </c>
      <c r="C6496">
        <v>16</v>
      </c>
    </row>
    <row r="6497" spans="1:3" x14ac:dyDescent="0.3">
      <c r="A6497">
        <v>16799</v>
      </c>
      <c r="B6497">
        <v>2</v>
      </c>
      <c r="C6497">
        <v>16</v>
      </c>
    </row>
    <row r="6498" spans="1:3" x14ac:dyDescent="0.3">
      <c r="A6498">
        <v>64416</v>
      </c>
      <c r="B6498">
        <v>1</v>
      </c>
      <c r="C6498">
        <v>8</v>
      </c>
    </row>
    <row r="6499" spans="1:3" x14ac:dyDescent="0.3">
      <c r="A6499">
        <v>63074</v>
      </c>
      <c r="B6499">
        <v>1</v>
      </c>
      <c r="C6499">
        <v>8</v>
      </c>
    </row>
    <row r="6500" spans="1:3" x14ac:dyDescent="0.3">
      <c r="A6500">
        <v>61811</v>
      </c>
      <c r="B6500">
        <v>1</v>
      </c>
      <c r="C6500">
        <v>8</v>
      </c>
    </row>
    <row r="6501" spans="1:3" x14ac:dyDescent="0.3">
      <c r="A6501">
        <v>61809</v>
      </c>
      <c r="B6501">
        <v>1</v>
      </c>
      <c r="C6501">
        <v>8</v>
      </c>
    </row>
    <row r="6502" spans="1:3" x14ac:dyDescent="0.3">
      <c r="A6502">
        <v>61504</v>
      </c>
      <c r="B6502">
        <v>1</v>
      </c>
      <c r="C6502">
        <v>16</v>
      </c>
    </row>
    <row r="6503" spans="1:3" x14ac:dyDescent="0.3">
      <c r="A6503">
        <v>60548</v>
      </c>
      <c r="B6503">
        <v>1</v>
      </c>
      <c r="C6503">
        <v>8</v>
      </c>
    </row>
    <row r="6504" spans="1:3" x14ac:dyDescent="0.3">
      <c r="A6504">
        <v>60312</v>
      </c>
      <c r="B6504">
        <v>1</v>
      </c>
      <c r="C6504">
        <v>8</v>
      </c>
    </row>
    <row r="6505" spans="1:3" x14ac:dyDescent="0.3">
      <c r="A6505">
        <v>59686</v>
      </c>
      <c r="B6505">
        <v>1</v>
      </c>
      <c r="C6505">
        <v>16</v>
      </c>
    </row>
    <row r="6506" spans="1:3" x14ac:dyDescent="0.3">
      <c r="A6506">
        <v>59685</v>
      </c>
      <c r="B6506">
        <v>1</v>
      </c>
      <c r="C6506">
        <v>8</v>
      </c>
    </row>
    <row r="6507" spans="1:3" x14ac:dyDescent="0.3">
      <c r="A6507">
        <v>59684</v>
      </c>
      <c r="B6507">
        <v>1</v>
      </c>
      <c r="C6507">
        <v>8</v>
      </c>
    </row>
    <row r="6508" spans="1:3" x14ac:dyDescent="0.3">
      <c r="A6508">
        <v>58853</v>
      </c>
      <c r="B6508">
        <v>1</v>
      </c>
      <c r="C6508">
        <v>8</v>
      </c>
    </row>
    <row r="6509" spans="1:3" x14ac:dyDescent="0.3">
      <c r="A6509">
        <v>58499</v>
      </c>
      <c r="B6509">
        <v>1</v>
      </c>
      <c r="C6509">
        <v>8</v>
      </c>
    </row>
    <row r="6510" spans="1:3" x14ac:dyDescent="0.3">
      <c r="A6510">
        <v>18727</v>
      </c>
      <c r="B6510">
        <v>2</v>
      </c>
      <c r="C6510">
        <v>16</v>
      </c>
    </row>
    <row r="6511" spans="1:3" x14ac:dyDescent="0.3">
      <c r="A6511">
        <v>18727</v>
      </c>
      <c r="B6511">
        <v>2</v>
      </c>
      <c r="C6511">
        <v>16</v>
      </c>
    </row>
    <row r="6512" spans="1:3" x14ac:dyDescent="0.3">
      <c r="A6512">
        <v>51886</v>
      </c>
      <c r="B6512">
        <v>1</v>
      </c>
      <c r="C6512">
        <v>8</v>
      </c>
    </row>
    <row r="6513" spans="1:3" x14ac:dyDescent="0.3">
      <c r="A6513">
        <v>50603</v>
      </c>
      <c r="B6513">
        <v>1</v>
      </c>
      <c r="C6513">
        <v>8</v>
      </c>
    </row>
    <row r="6514" spans="1:3" x14ac:dyDescent="0.3">
      <c r="A6514">
        <v>50324</v>
      </c>
      <c r="B6514">
        <v>1</v>
      </c>
      <c r="C6514">
        <v>8</v>
      </c>
    </row>
    <row r="6515" spans="1:3" x14ac:dyDescent="0.3">
      <c r="A6515">
        <v>49555</v>
      </c>
      <c r="B6515">
        <v>1</v>
      </c>
      <c r="C6515">
        <v>8</v>
      </c>
    </row>
    <row r="6516" spans="1:3" x14ac:dyDescent="0.3">
      <c r="A6516">
        <v>49311</v>
      </c>
      <c r="B6516">
        <v>1</v>
      </c>
      <c r="C6516">
        <v>8</v>
      </c>
    </row>
    <row r="6517" spans="1:3" x14ac:dyDescent="0.3">
      <c r="A6517">
        <v>46398</v>
      </c>
      <c r="B6517">
        <v>1</v>
      </c>
      <c r="C6517">
        <v>16</v>
      </c>
    </row>
    <row r="6518" spans="1:3" x14ac:dyDescent="0.3">
      <c r="A6518">
        <v>46031</v>
      </c>
      <c r="B6518">
        <v>1</v>
      </c>
      <c r="C6518">
        <v>8</v>
      </c>
    </row>
    <row r="6519" spans="1:3" x14ac:dyDescent="0.3">
      <c r="A6519">
        <v>42517</v>
      </c>
      <c r="B6519">
        <v>1</v>
      </c>
      <c r="C6519">
        <v>8</v>
      </c>
    </row>
    <row r="6520" spans="1:3" x14ac:dyDescent="0.3">
      <c r="A6520">
        <v>42195</v>
      </c>
      <c r="B6520">
        <v>1</v>
      </c>
      <c r="C6520">
        <v>16</v>
      </c>
    </row>
    <row r="6521" spans="1:3" x14ac:dyDescent="0.3">
      <c r="A6521">
        <v>41496</v>
      </c>
      <c r="B6521">
        <v>1</v>
      </c>
      <c r="C6521">
        <v>16</v>
      </c>
    </row>
    <row r="6522" spans="1:3" x14ac:dyDescent="0.3">
      <c r="A6522">
        <v>35839</v>
      </c>
      <c r="B6522">
        <v>1</v>
      </c>
      <c r="C6522">
        <v>8</v>
      </c>
    </row>
    <row r="6523" spans="1:3" x14ac:dyDescent="0.3">
      <c r="A6523">
        <v>32960</v>
      </c>
      <c r="B6523">
        <v>1</v>
      </c>
      <c r="C6523">
        <v>8</v>
      </c>
    </row>
    <row r="6524" spans="1:3" x14ac:dyDescent="0.3">
      <c r="A6524">
        <v>24343</v>
      </c>
      <c r="B6524">
        <v>2</v>
      </c>
      <c r="C6524">
        <v>8</v>
      </c>
    </row>
    <row r="6525" spans="1:3" x14ac:dyDescent="0.3">
      <c r="A6525">
        <v>24343</v>
      </c>
      <c r="B6525">
        <v>2</v>
      </c>
      <c r="C6525">
        <v>8</v>
      </c>
    </row>
    <row r="6526" spans="1:3" x14ac:dyDescent="0.3">
      <c r="A6526">
        <v>30609</v>
      </c>
      <c r="B6526">
        <v>1</v>
      </c>
      <c r="C6526">
        <v>16</v>
      </c>
    </row>
    <row r="6527" spans="1:3" x14ac:dyDescent="0.3">
      <c r="A6527">
        <v>29791</v>
      </c>
      <c r="B6527">
        <v>1</v>
      </c>
      <c r="C6527">
        <v>8</v>
      </c>
    </row>
    <row r="6528" spans="1:3" x14ac:dyDescent="0.3">
      <c r="A6528">
        <v>28978</v>
      </c>
      <c r="B6528">
        <v>1</v>
      </c>
      <c r="C6528">
        <v>8</v>
      </c>
    </row>
    <row r="6529" spans="1:3" x14ac:dyDescent="0.3">
      <c r="A6529">
        <v>80012</v>
      </c>
      <c r="B6529">
        <v>1</v>
      </c>
      <c r="C6529">
        <v>8</v>
      </c>
    </row>
    <row r="6530" spans="1:3" x14ac:dyDescent="0.3">
      <c r="A6530">
        <v>80011</v>
      </c>
      <c r="B6530">
        <v>1</v>
      </c>
      <c r="C6530">
        <v>8</v>
      </c>
    </row>
    <row r="6531" spans="1:3" x14ac:dyDescent="0.3">
      <c r="A6531">
        <v>77404</v>
      </c>
      <c r="B6531">
        <v>1</v>
      </c>
      <c r="C6531">
        <v>8</v>
      </c>
    </row>
    <row r="6532" spans="1:3" x14ac:dyDescent="0.3">
      <c r="A6532">
        <v>77309</v>
      </c>
      <c r="B6532">
        <v>1</v>
      </c>
      <c r="C6532">
        <v>8</v>
      </c>
    </row>
    <row r="6533" spans="1:3" x14ac:dyDescent="0.3">
      <c r="A6533">
        <v>72907</v>
      </c>
      <c r="B6533">
        <v>1</v>
      </c>
      <c r="C6533">
        <v>8</v>
      </c>
    </row>
    <row r="6534" spans="1:3" x14ac:dyDescent="0.3">
      <c r="A6534">
        <v>16025</v>
      </c>
      <c r="B6534">
        <v>1</v>
      </c>
      <c r="C6534">
        <v>16</v>
      </c>
    </row>
    <row r="6535" spans="1:3" x14ac:dyDescent="0.3">
      <c r="A6535">
        <v>65689</v>
      </c>
      <c r="B6535">
        <v>1</v>
      </c>
      <c r="C6535">
        <v>8</v>
      </c>
    </row>
    <row r="6536" spans="1:3" x14ac:dyDescent="0.3">
      <c r="A6536">
        <v>65623</v>
      </c>
      <c r="B6536">
        <v>1</v>
      </c>
      <c r="C6536">
        <v>8</v>
      </c>
    </row>
    <row r="6537" spans="1:3" x14ac:dyDescent="0.3">
      <c r="A6537">
        <v>62954</v>
      </c>
      <c r="B6537">
        <v>1</v>
      </c>
      <c r="C6537">
        <v>8</v>
      </c>
    </row>
    <row r="6538" spans="1:3" x14ac:dyDescent="0.3">
      <c r="A6538">
        <v>62904</v>
      </c>
      <c r="B6538">
        <v>1</v>
      </c>
      <c r="C6538">
        <v>8</v>
      </c>
    </row>
    <row r="6539" spans="1:3" x14ac:dyDescent="0.3">
      <c r="A6539">
        <v>55083</v>
      </c>
      <c r="B6539">
        <v>1</v>
      </c>
      <c r="C6539">
        <v>8</v>
      </c>
    </row>
    <row r="6540" spans="1:3" x14ac:dyDescent="0.3">
      <c r="A6540">
        <v>42522</v>
      </c>
      <c r="B6540">
        <v>1</v>
      </c>
      <c r="C6540">
        <v>8</v>
      </c>
    </row>
    <row r="6541" spans="1:3" x14ac:dyDescent="0.3">
      <c r="A6541">
        <v>22697</v>
      </c>
      <c r="B6541">
        <v>1</v>
      </c>
      <c r="C6541">
        <v>8</v>
      </c>
    </row>
    <row r="6542" spans="1:3" x14ac:dyDescent="0.3">
      <c r="A6542">
        <v>40648</v>
      </c>
      <c r="B6542">
        <v>1</v>
      </c>
      <c r="C6542">
        <v>8</v>
      </c>
    </row>
    <row r="6543" spans="1:3" x14ac:dyDescent="0.3">
      <c r="A6543">
        <v>79513</v>
      </c>
      <c r="B6543">
        <v>1</v>
      </c>
      <c r="C6543">
        <v>8</v>
      </c>
    </row>
    <row r="6544" spans="1:3" x14ac:dyDescent="0.3">
      <c r="A6544">
        <v>79384</v>
      </c>
      <c r="B6544">
        <v>1</v>
      </c>
      <c r="C6544">
        <v>8</v>
      </c>
    </row>
    <row r="6545" spans="1:3" x14ac:dyDescent="0.3">
      <c r="A6545">
        <v>74378</v>
      </c>
      <c r="B6545">
        <v>1</v>
      </c>
      <c r="C6545">
        <v>8</v>
      </c>
    </row>
    <row r="6546" spans="1:3" x14ac:dyDescent="0.3">
      <c r="A6546">
        <v>71927</v>
      </c>
      <c r="B6546">
        <v>1</v>
      </c>
      <c r="C6546">
        <v>8</v>
      </c>
    </row>
    <row r="6547" spans="1:3" x14ac:dyDescent="0.3">
      <c r="A6547">
        <v>71621</v>
      </c>
      <c r="B6547">
        <v>1</v>
      </c>
      <c r="C6547">
        <v>8</v>
      </c>
    </row>
    <row r="6548" spans="1:3" x14ac:dyDescent="0.3">
      <c r="A6548">
        <v>70657</v>
      </c>
      <c r="B6548">
        <v>1</v>
      </c>
      <c r="C6548">
        <v>8</v>
      </c>
    </row>
    <row r="6549" spans="1:3" x14ac:dyDescent="0.3">
      <c r="A6549">
        <v>62953</v>
      </c>
      <c r="B6549">
        <v>1</v>
      </c>
      <c r="C6549">
        <v>8</v>
      </c>
    </row>
    <row r="6550" spans="1:3" x14ac:dyDescent="0.3">
      <c r="A6550">
        <v>57387</v>
      </c>
      <c r="B6550">
        <v>1</v>
      </c>
      <c r="C6550">
        <v>8</v>
      </c>
    </row>
    <row r="6551" spans="1:3" x14ac:dyDescent="0.3">
      <c r="A6551">
        <v>52421</v>
      </c>
      <c r="B6551">
        <v>1</v>
      </c>
      <c r="C6551">
        <v>8</v>
      </c>
    </row>
    <row r="6552" spans="1:3" x14ac:dyDescent="0.3">
      <c r="A6552">
        <v>46414</v>
      </c>
      <c r="B6552">
        <v>1</v>
      </c>
      <c r="C6552">
        <v>8</v>
      </c>
    </row>
    <row r="6553" spans="1:3" x14ac:dyDescent="0.3">
      <c r="A6553">
        <v>80557</v>
      </c>
      <c r="B6553">
        <v>1</v>
      </c>
      <c r="C6553">
        <v>8</v>
      </c>
    </row>
    <row r="6554" spans="1:3" x14ac:dyDescent="0.3">
      <c r="A6554">
        <v>80142</v>
      </c>
      <c r="B6554">
        <v>2</v>
      </c>
      <c r="C6554">
        <v>8</v>
      </c>
    </row>
    <row r="6555" spans="1:3" x14ac:dyDescent="0.3">
      <c r="A6555">
        <v>80015</v>
      </c>
      <c r="B6555">
        <v>1</v>
      </c>
      <c r="C6555">
        <v>8</v>
      </c>
    </row>
    <row r="6556" spans="1:3" x14ac:dyDescent="0.3">
      <c r="A6556">
        <v>79866</v>
      </c>
      <c r="B6556">
        <v>1</v>
      </c>
      <c r="C6556">
        <v>8</v>
      </c>
    </row>
    <row r="6557" spans="1:3" x14ac:dyDescent="0.3">
      <c r="A6557">
        <v>79865</v>
      </c>
      <c r="B6557">
        <v>1</v>
      </c>
      <c r="C6557">
        <v>8</v>
      </c>
    </row>
    <row r="6558" spans="1:3" x14ac:dyDescent="0.3">
      <c r="A6558">
        <v>79864</v>
      </c>
      <c r="B6558">
        <v>1</v>
      </c>
      <c r="C6558">
        <v>8</v>
      </c>
    </row>
    <row r="6559" spans="1:3" x14ac:dyDescent="0.3">
      <c r="A6559">
        <v>79386</v>
      </c>
      <c r="B6559">
        <v>1</v>
      </c>
      <c r="C6559">
        <v>8</v>
      </c>
    </row>
    <row r="6560" spans="1:3" x14ac:dyDescent="0.3">
      <c r="A6560">
        <v>78426</v>
      </c>
      <c r="B6560">
        <v>1</v>
      </c>
      <c r="C6560">
        <v>8</v>
      </c>
    </row>
    <row r="6561" spans="1:3" x14ac:dyDescent="0.3">
      <c r="A6561">
        <v>78005</v>
      </c>
      <c r="B6561">
        <v>1</v>
      </c>
      <c r="C6561">
        <v>8</v>
      </c>
    </row>
    <row r="6562" spans="1:3" x14ac:dyDescent="0.3">
      <c r="A6562">
        <v>77627</v>
      </c>
      <c r="B6562">
        <v>1</v>
      </c>
      <c r="C6562">
        <v>8</v>
      </c>
    </row>
    <row r="6563" spans="1:3" x14ac:dyDescent="0.3">
      <c r="A6563">
        <v>77234</v>
      </c>
      <c r="B6563">
        <v>1</v>
      </c>
      <c r="C6563">
        <v>8</v>
      </c>
    </row>
    <row r="6564" spans="1:3" x14ac:dyDescent="0.3">
      <c r="A6564">
        <v>77199</v>
      </c>
      <c r="B6564">
        <v>1</v>
      </c>
      <c r="C6564">
        <v>8</v>
      </c>
    </row>
    <row r="6565" spans="1:3" x14ac:dyDescent="0.3">
      <c r="A6565">
        <v>77077</v>
      </c>
      <c r="B6565">
        <v>1</v>
      </c>
      <c r="C6565">
        <v>8</v>
      </c>
    </row>
    <row r="6566" spans="1:3" x14ac:dyDescent="0.3">
      <c r="A6566">
        <v>76893</v>
      </c>
      <c r="B6566">
        <v>1</v>
      </c>
      <c r="C6566">
        <v>8</v>
      </c>
    </row>
    <row r="6567" spans="1:3" x14ac:dyDescent="0.3">
      <c r="A6567">
        <v>76453</v>
      </c>
      <c r="B6567">
        <v>1</v>
      </c>
      <c r="C6567">
        <v>8</v>
      </c>
    </row>
    <row r="6568" spans="1:3" x14ac:dyDescent="0.3">
      <c r="A6568">
        <v>76268</v>
      </c>
      <c r="B6568">
        <v>2</v>
      </c>
      <c r="C6568">
        <v>8</v>
      </c>
    </row>
    <row r="6569" spans="1:3" x14ac:dyDescent="0.3">
      <c r="A6569">
        <v>68352</v>
      </c>
      <c r="B6569">
        <v>1</v>
      </c>
      <c r="C6569">
        <v>8</v>
      </c>
    </row>
    <row r="6570" spans="1:3" x14ac:dyDescent="0.3">
      <c r="A6570">
        <v>66279</v>
      </c>
      <c r="B6570">
        <v>1</v>
      </c>
      <c r="C6570">
        <v>8</v>
      </c>
    </row>
    <row r="6571" spans="1:3" x14ac:dyDescent="0.3">
      <c r="A6571">
        <v>60811</v>
      </c>
      <c r="B6571">
        <v>1</v>
      </c>
      <c r="C6571">
        <v>8</v>
      </c>
    </row>
    <row r="6572" spans="1:3" x14ac:dyDescent="0.3">
      <c r="A6572">
        <v>60463</v>
      </c>
      <c r="B6572">
        <v>1</v>
      </c>
      <c r="C6572">
        <v>8</v>
      </c>
    </row>
    <row r="6573" spans="1:3" x14ac:dyDescent="0.3">
      <c r="A6573">
        <v>60066</v>
      </c>
      <c r="B6573">
        <v>2</v>
      </c>
      <c r="C6573">
        <v>16</v>
      </c>
    </row>
    <row r="6574" spans="1:3" x14ac:dyDescent="0.3">
      <c r="A6574">
        <v>50716</v>
      </c>
      <c r="B6574">
        <v>1</v>
      </c>
      <c r="C6574">
        <v>8</v>
      </c>
    </row>
    <row r="6575" spans="1:3" x14ac:dyDescent="0.3">
      <c r="A6575">
        <v>46647</v>
      </c>
      <c r="B6575">
        <v>2</v>
      </c>
      <c r="C6575">
        <v>16</v>
      </c>
    </row>
    <row r="6576" spans="1:3" x14ac:dyDescent="0.3">
      <c r="A6576">
        <v>42122</v>
      </c>
      <c r="B6576">
        <v>1</v>
      </c>
      <c r="C6576">
        <v>8</v>
      </c>
    </row>
    <row r="6577" spans="1:3" x14ac:dyDescent="0.3">
      <c r="A6577">
        <v>41547</v>
      </c>
      <c r="B6577">
        <v>2</v>
      </c>
      <c r="C6577">
        <v>8</v>
      </c>
    </row>
    <row r="6578" spans="1:3" x14ac:dyDescent="0.3">
      <c r="A6578">
        <v>37490</v>
      </c>
      <c r="B6578">
        <v>1</v>
      </c>
      <c r="C6578">
        <v>8</v>
      </c>
    </row>
    <row r="6579" spans="1:3" x14ac:dyDescent="0.3">
      <c r="A6579">
        <v>33829</v>
      </c>
      <c r="B6579">
        <v>1</v>
      </c>
      <c r="C6579">
        <v>8</v>
      </c>
    </row>
    <row r="6580" spans="1:3" x14ac:dyDescent="0.3">
      <c r="A6580">
        <v>27244</v>
      </c>
      <c r="B6580">
        <v>1</v>
      </c>
      <c r="C6580">
        <v>8</v>
      </c>
    </row>
    <row r="6581" spans="1:3" x14ac:dyDescent="0.3">
      <c r="A6581">
        <v>79385</v>
      </c>
      <c r="B6581">
        <v>1</v>
      </c>
      <c r="C6581">
        <v>8</v>
      </c>
    </row>
    <row r="6582" spans="1:3" x14ac:dyDescent="0.3">
      <c r="A6582">
        <v>78081</v>
      </c>
      <c r="B6582">
        <v>1</v>
      </c>
      <c r="C6582">
        <v>8</v>
      </c>
    </row>
    <row r="6583" spans="1:3" x14ac:dyDescent="0.3">
      <c r="A6583">
        <v>77961</v>
      </c>
      <c r="B6583">
        <v>1</v>
      </c>
      <c r="C6583">
        <v>8</v>
      </c>
    </row>
    <row r="6584" spans="1:3" x14ac:dyDescent="0.3">
      <c r="A6584">
        <v>77817</v>
      </c>
      <c r="B6584">
        <v>1</v>
      </c>
      <c r="C6584">
        <v>8</v>
      </c>
    </row>
    <row r="6585" spans="1:3" x14ac:dyDescent="0.3">
      <c r="A6585">
        <v>77356</v>
      </c>
      <c r="B6585">
        <v>1</v>
      </c>
      <c r="C6585">
        <v>8</v>
      </c>
    </row>
    <row r="6586" spans="1:3" x14ac:dyDescent="0.3">
      <c r="A6586">
        <v>77355</v>
      </c>
      <c r="B6586">
        <v>1</v>
      </c>
      <c r="C6586">
        <v>8</v>
      </c>
    </row>
    <row r="6587" spans="1:3" x14ac:dyDescent="0.3">
      <c r="A6587">
        <v>77354</v>
      </c>
      <c r="B6587">
        <v>1</v>
      </c>
      <c r="C6587">
        <v>8</v>
      </c>
    </row>
    <row r="6588" spans="1:3" x14ac:dyDescent="0.3">
      <c r="A6588">
        <v>77235</v>
      </c>
      <c r="B6588">
        <v>1</v>
      </c>
      <c r="C6588">
        <v>16</v>
      </c>
    </row>
    <row r="6589" spans="1:3" x14ac:dyDescent="0.3">
      <c r="A6589">
        <v>77198</v>
      </c>
      <c r="B6589">
        <v>1</v>
      </c>
      <c r="C6589">
        <v>8</v>
      </c>
    </row>
    <row r="6590" spans="1:3" x14ac:dyDescent="0.3">
      <c r="A6590">
        <v>76771</v>
      </c>
      <c r="B6590">
        <v>1</v>
      </c>
      <c r="C6590">
        <v>16</v>
      </c>
    </row>
    <row r="6591" spans="1:3" x14ac:dyDescent="0.3">
      <c r="A6591">
        <v>76638</v>
      </c>
      <c r="B6591">
        <v>1</v>
      </c>
      <c r="C6591">
        <v>8</v>
      </c>
    </row>
    <row r="6592" spans="1:3" x14ac:dyDescent="0.3">
      <c r="A6592">
        <v>76503</v>
      </c>
      <c r="B6592">
        <v>1</v>
      </c>
      <c r="C6592">
        <v>8</v>
      </c>
    </row>
    <row r="6593" spans="1:3" x14ac:dyDescent="0.3">
      <c r="A6593">
        <v>76454</v>
      </c>
      <c r="B6593">
        <v>1</v>
      </c>
      <c r="C6593">
        <v>16</v>
      </c>
    </row>
    <row r="6594" spans="1:3" x14ac:dyDescent="0.3">
      <c r="A6594">
        <v>76374</v>
      </c>
      <c r="B6594">
        <v>1</v>
      </c>
      <c r="C6594">
        <v>16</v>
      </c>
    </row>
    <row r="6595" spans="1:3" x14ac:dyDescent="0.3">
      <c r="A6595">
        <v>76373</v>
      </c>
      <c r="B6595">
        <v>1</v>
      </c>
      <c r="C6595">
        <v>16</v>
      </c>
    </row>
    <row r="6596" spans="1:3" x14ac:dyDescent="0.3">
      <c r="A6596">
        <v>76310</v>
      </c>
      <c r="B6596">
        <v>1</v>
      </c>
      <c r="C6596">
        <v>8</v>
      </c>
    </row>
    <row r="6597" spans="1:3" x14ac:dyDescent="0.3">
      <c r="A6597">
        <v>74740</v>
      </c>
      <c r="B6597">
        <v>1</v>
      </c>
      <c r="C6597">
        <v>8</v>
      </c>
    </row>
    <row r="6598" spans="1:3" x14ac:dyDescent="0.3">
      <c r="A6598">
        <v>72842</v>
      </c>
      <c r="B6598">
        <v>1</v>
      </c>
      <c r="C6598">
        <v>8</v>
      </c>
    </row>
    <row r="6599" spans="1:3" x14ac:dyDescent="0.3">
      <c r="A6599">
        <v>72841</v>
      </c>
      <c r="B6599">
        <v>1</v>
      </c>
      <c r="C6599">
        <v>8</v>
      </c>
    </row>
    <row r="6600" spans="1:3" x14ac:dyDescent="0.3">
      <c r="A6600">
        <v>72839</v>
      </c>
      <c r="B6600">
        <v>1</v>
      </c>
      <c r="C6600">
        <v>8</v>
      </c>
    </row>
    <row r="6601" spans="1:3" x14ac:dyDescent="0.3">
      <c r="A6601">
        <v>72838</v>
      </c>
      <c r="B6601">
        <v>1</v>
      </c>
      <c r="C6601">
        <v>8</v>
      </c>
    </row>
    <row r="6602" spans="1:3" x14ac:dyDescent="0.3">
      <c r="A6602">
        <v>71816</v>
      </c>
      <c r="B6602">
        <v>1</v>
      </c>
      <c r="C6602">
        <v>8</v>
      </c>
    </row>
    <row r="6603" spans="1:3" x14ac:dyDescent="0.3">
      <c r="A6603">
        <v>70621</v>
      </c>
      <c r="B6603">
        <v>1</v>
      </c>
      <c r="C6603">
        <v>8</v>
      </c>
    </row>
    <row r="6604" spans="1:3" x14ac:dyDescent="0.3">
      <c r="A6604">
        <v>70553</v>
      </c>
      <c r="B6604">
        <v>1</v>
      </c>
      <c r="C6604">
        <v>16</v>
      </c>
    </row>
    <row r="6605" spans="1:3" x14ac:dyDescent="0.3">
      <c r="A6605">
        <v>70552</v>
      </c>
      <c r="B6605">
        <v>1</v>
      </c>
      <c r="C6605">
        <v>16</v>
      </c>
    </row>
    <row r="6606" spans="1:3" x14ac:dyDescent="0.3">
      <c r="A6606">
        <v>70550</v>
      </c>
      <c r="B6606">
        <v>1</v>
      </c>
      <c r="C6606">
        <v>8</v>
      </c>
    </row>
    <row r="6607" spans="1:3" x14ac:dyDescent="0.3">
      <c r="A6607">
        <v>67573</v>
      </c>
      <c r="B6607">
        <v>1</v>
      </c>
      <c r="C6607">
        <v>8</v>
      </c>
    </row>
    <row r="6608" spans="1:3" x14ac:dyDescent="0.3">
      <c r="A6608">
        <v>65542</v>
      </c>
      <c r="B6608">
        <v>1</v>
      </c>
      <c r="C6608">
        <v>8</v>
      </c>
    </row>
    <row r="6609" spans="1:3" x14ac:dyDescent="0.3">
      <c r="A6609">
        <v>64419</v>
      </c>
      <c r="B6609">
        <v>1</v>
      </c>
      <c r="C6609">
        <v>8</v>
      </c>
    </row>
    <row r="6610" spans="1:3" x14ac:dyDescent="0.3">
      <c r="A6610">
        <v>63265</v>
      </c>
      <c r="B6610">
        <v>1</v>
      </c>
      <c r="C6610">
        <v>8</v>
      </c>
    </row>
    <row r="6611" spans="1:3" x14ac:dyDescent="0.3">
      <c r="A6611">
        <v>61820</v>
      </c>
      <c r="B6611">
        <v>1</v>
      </c>
      <c r="C6611">
        <v>8</v>
      </c>
    </row>
    <row r="6612" spans="1:3" x14ac:dyDescent="0.3">
      <c r="A6612">
        <v>61819</v>
      </c>
      <c r="B6612">
        <v>1</v>
      </c>
      <c r="C6612">
        <v>8</v>
      </c>
    </row>
    <row r="6613" spans="1:3" x14ac:dyDescent="0.3">
      <c r="A6613">
        <v>61186</v>
      </c>
      <c r="B6613">
        <v>1</v>
      </c>
      <c r="C6613">
        <v>8</v>
      </c>
    </row>
    <row r="6614" spans="1:3" x14ac:dyDescent="0.3">
      <c r="A6614">
        <v>60810</v>
      </c>
      <c r="B6614">
        <v>1</v>
      </c>
      <c r="C6614">
        <v>8</v>
      </c>
    </row>
    <row r="6615" spans="1:3" x14ac:dyDescent="0.3">
      <c r="A6615">
        <v>58862</v>
      </c>
      <c r="B6615">
        <v>1</v>
      </c>
      <c r="C6615">
        <v>16</v>
      </c>
    </row>
    <row r="6616" spans="1:3" x14ac:dyDescent="0.3">
      <c r="A6616">
        <v>56836</v>
      </c>
      <c r="B6616">
        <v>2</v>
      </c>
      <c r="C6616">
        <v>16</v>
      </c>
    </row>
    <row r="6617" spans="1:3" x14ac:dyDescent="0.3">
      <c r="A6617">
        <v>56836</v>
      </c>
      <c r="B6617">
        <v>2</v>
      </c>
      <c r="C6617">
        <v>16</v>
      </c>
    </row>
    <row r="6618" spans="1:3" x14ac:dyDescent="0.3">
      <c r="A6618">
        <v>55325</v>
      </c>
      <c r="B6618">
        <v>1</v>
      </c>
      <c r="C6618">
        <v>8</v>
      </c>
    </row>
    <row r="6619" spans="1:3" x14ac:dyDescent="0.3">
      <c r="A6619">
        <v>53166</v>
      </c>
      <c r="B6619">
        <v>1</v>
      </c>
      <c r="C6619">
        <v>8</v>
      </c>
    </row>
    <row r="6620" spans="1:3" x14ac:dyDescent="0.3">
      <c r="A6620">
        <v>52970</v>
      </c>
      <c r="B6620">
        <v>1</v>
      </c>
      <c r="C6620">
        <v>8</v>
      </c>
    </row>
    <row r="6621" spans="1:3" x14ac:dyDescent="0.3">
      <c r="A6621">
        <v>51590</v>
      </c>
      <c r="B6621">
        <v>1</v>
      </c>
      <c r="C6621">
        <v>8</v>
      </c>
    </row>
    <row r="6622" spans="1:3" x14ac:dyDescent="0.3">
      <c r="A6622">
        <v>50349</v>
      </c>
      <c r="B6622">
        <v>1</v>
      </c>
      <c r="C6622">
        <v>16</v>
      </c>
    </row>
    <row r="6623" spans="1:3" x14ac:dyDescent="0.3">
      <c r="A6623">
        <v>33978</v>
      </c>
      <c r="B6623">
        <v>1</v>
      </c>
      <c r="C6623">
        <v>8</v>
      </c>
    </row>
    <row r="6624" spans="1:3" x14ac:dyDescent="0.3">
      <c r="A6624">
        <v>80674</v>
      </c>
      <c r="B6624">
        <v>2</v>
      </c>
      <c r="C6624">
        <v>8</v>
      </c>
    </row>
    <row r="6625" spans="1:3" x14ac:dyDescent="0.3">
      <c r="A6625">
        <v>80674</v>
      </c>
      <c r="B6625">
        <v>2</v>
      </c>
      <c r="C6625">
        <v>8</v>
      </c>
    </row>
    <row r="6626" spans="1:3" x14ac:dyDescent="0.3">
      <c r="A6626">
        <v>80673</v>
      </c>
      <c r="B6626">
        <v>1</v>
      </c>
      <c r="C6626">
        <v>8</v>
      </c>
    </row>
    <row r="6627" spans="1:3" x14ac:dyDescent="0.3">
      <c r="A6627">
        <v>79516</v>
      </c>
      <c r="B6627">
        <v>1</v>
      </c>
      <c r="C6627">
        <v>8</v>
      </c>
    </row>
    <row r="6628" spans="1:3" x14ac:dyDescent="0.3">
      <c r="A6628">
        <v>79102</v>
      </c>
      <c r="B6628">
        <v>1</v>
      </c>
      <c r="C6628">
        <v>8</v>
      </c>
    </row>
    <row r="6629" spans="1:3" x14ac:dyDescent="0.3">
      <c r="A6629">
        <v>78876</v>
      </c>
      <c r="B6629">
        <v>2</v>
      </c>
      <c r="C6629">
        <v>16</v>
      </c>
    </row>
    <row r="6630" spans="1:3" x14ac:dyDescent="0.3">
      <c r="A6630">
        <v>78537</v>
      </c>
      <c r="B6630">
        <v>1</v>
      </c>
      <c r="C6630">
        <v>8</v>
      </c>
    </row>
    <row r="6631" spans="1:3" x14ac:dyDescent="0.3">
      <c r="A6631">
        <v>77546</v>
      </c>
      <c r="B6631">
        <v>1</v>
      </c>
      <c r="C6631">
        <v>8</v>
      </c>
    </row>
    <row r="6632" spans="1:3" x14ac:dyDescent="0.3">
      <c r="A6632">
        <v>77242</v>
      </c>
      <c r="B6632">
        <v>1</v>
      </c>
      <c r="C6632">
        <v>8</v>
      </c>
    </row>
    <row r="6633" spans="1:3" x14ac:dyDescent="0.3">
      <c r="A6633">
        <v>77241</v>
      </c>
      <c r="B6633">
        <v>1</v>
      </c>
      <c r="C6633">
        <v>8</v>
      </c>
    </row>
    <row r="6634" spans="1:3" x14ac:dyDescent="0.3">
      <c r="A6634">
        <v>77240</v>
      </c>
      <c r="B6634">
        <v>1</v>
      </c>
      <c r="C6634">
        <v>8</v>
      </c>
    </row>
    <row r="6635" spans="1:3" x14ac:dyDescent="0.3">
      <c r="A6635">
        <v>74339</v>
      </c>
      <c r="B6635">
        <v>1</v>
      </c>
      <c r="C6635">
        <v>8</v>
      </c>
    </row>
    <row r="6636" spans="1:3" x14ac:dyDescent="0.3">
      <c r="A6636">
        <v>72493</v>
      </c>
      <c r="B6636">
        <v>1</v>
      </c>
      <c r="C6636">
        <v>8</v>
      </c>
    </row>
    <row r="6637" spans="1:3" x14ac:dyDescent="0.3">
      <c r="A6637">
        <v>71223</v>
      </c>
      <c r="B6637">
        <v>1</v>
      </c>
      <c r="C6637">
        <v>8</v>
      </c>
    </row>
    <row r="6638" spans="1:3" x14ac:dyDescent="0.3">
      <c r="A6638">
        <v>68386</v>
      </c>
      <c r="B6638">
        <v>1</v>
      </c>
      <c r="C6638">
        <v>8</v>
      </c>
    </row>
    <row r="6639" spans="1:3" x14ac:dyDescent="0.3">
      <c r="A6639">
        <v>68385</v>
      </c>
      <c r="B6639">
        <v>1</v>
      </c>
      <c r="C6639">
        <v>8</v>
      </c>
    </row>
    <row r="6640" spans="1:3" x14ac:dyDescent="0.3">
      <c r="A6640">
        <v>67926</v>
      </c>
      <c r="B6640">
        <v>1</v>
      </c>
      <c r="C6640">
        <v>8</v>
      </c>
    </row>
    <row r="6641" spans="1:3" x14ac:dyDescent="0.3">
      <c r="A6641">
        <v>67612</v>
      </c>
      <c r="B6641">
        <v>1</v>
      </c>
      <c r="C6641">
        <v>8</v>
      </c>
    </row>
    <row r="6642" spans="1:3" x14ac:dyDescent="0.3">
      <c r="A6642">
        <v>66520</v>
      </c>
      <c r="B6642">
        <v>1</v>
      </c>
      <c r="C6642">
        <v>8</v>
      </c>
    </row>
    <row r="6643" spans="1:3" x14ac:dyDescent="0.3">
      <c r="A6643">
        <v>65758</v>
      </c>
      <c r="B6643">
        <v>1</v>
      </c>
      <c r="C6643">
        <v>16</v>
      </c>
    </row>
    <row r="6644" spans="1:3" x14ac:dyDescent="0.3">
      <c r="A6644">
        <v>64596</v>
      </c>
      <c r="B6644">
        <v>2</v>
      </c>
      <c r="C6644">
        <v>16</v>
      </c>
    </row>
    <row r="6645" spans="1:3" x14ac:dyDescent="0.3">
      <c r="A6645">
        <v>64171</v>
      </c>
      <c r="B6645">
        <v>1</v>
      </c>
      <c r="C6645">
        <v>8</v>
      </c>
    </row>
    <row r="6646" spans="1:3" x14ac:dyDescent="0.3">
      <c r="A6646">
        <v>62340</v>
      </c>
      <c r="B6646">
        <v>1</v>
      </c>
      <c r="C6646">
        <v>8</v>
      </c>
    </row>
    <row r="6647" spans="1:3" x14ac:dyDescent="0.3">
      <c r="A6647">
        <v>61455</v>
      </c>
      <c r="B6647">
        <v>1</v>
      </c>
      <c r="C6647">
        <v>8</v>
      </c>
    </row>
    <row r="6648" spans="1:3" x14ac:dyDescent="0.3">
      <c r="A6648">
        <v>57283</v>
      </c>
      <c r="B6648">
        <v>1</v>
      </c>
      <c r="C6648">
        <v>8</v>
      </c>
    </row>
    <row r="6649" spans="1:3" x14ac:dyDescent="0.3">
      <c r="A6649">
        <v>57281</v>
      </c>
      <c r="B6649">
        <v>1</v>
      </c>
      <c r="C6649">
        <v>8</v>
      </c>
    </row>
    <row r="6650" spans="1:3" x14ac:dyDescent="0.3">
      <c r="A6650">
        <v>54093</v>
      </c>
      <c r="B6650">
        <v>1</v>
      </c>
      <c r="C6650">
        <v>8</v>
      </c>
    </row>
    <row r="6651" spans="1:3" x14ac:dyDescent="0.3">
      <c r="A6651">
        <v>53530</v>
      </c>
      <c r="B6651">
        <v>1</v>
      </c>
      <c r="C6651">
        <v>8</v>
      </c>
    </row>
    <row r="6652" spans="1:3" x14ac:dyDescent="0.3">
      <c r="A6652">
        <v>53492</v>
      </c>
      <c r="B6652">
        <v>1</v>
      </c>
      <c r="C6652">
        <v>8</v>
      </c>
    </row>
    <row r="6653" spans="1:3" x14ac:dyDescent="0.3">
      <c r="A6653">
        <v>53452</v>
      </c>
      <c r="B6653">
        <v>1</v>
      </c>
      <c r="C6653">
        <v>8</v>
      </c>
    </row>
    <row r="6654" spans="1:3" x14ac:dyDescent="0.3">
      <c r="A6654">
        <v>51437</v>
      </c>
      <c r="B6654">
        <v>1</v>
      </c>
      <c r="C6654">
        <v>8</v>
      </c>
    </row>
    <row r="6655" spans="1:3" x14ac:dyDescent="0.3">
      <c r="A6655">
        <v>47140</v>
      </c>
      <c r="B6655">
        <v>1</v>
      </c>
      <c r="C6655">
        <v>8</v>
      </c>
    </row>
    <row r="6656" spans="1:3" x14ac:dyDescent="0.3">
      <c r="A6656">
        <v>46025</v>
      </c>
      <c r="B6656">
        <v>1</v>
      </c>
      <c r="C6656">
        <v>8</v>
      </c>
    </row>
    <row r="6657" spans="1:3" x14ac:dyDescent="0.3">
      <c r="A6657">
        <v>45904</v>
      </c>
      <c r="B6657">
        <v>1</v>
      </c>
      <c r="C6657">
        <v>8</v>
      </c>
    </row>
    <row r="6658" spans="1:3" x14ac:dyDescent="0.3">
      <c r="A6658">
        <v>45605</v>
      </c>
      <c r="B6658">
        <v>1</v>
      </c>
      <c r="C6658">
        <v>8</v>
      </c>
    </row>
    <row r="6659" spans="1:3" x14ac:dyDescent="0.3">
      <c r="A6659">
        <v>41587</v>
      </c>
      <c r="B6659">
        <v>1</v>
      </c>
      <c r="C6659">
        <v>8</v>
      </c>
    </row>
    <row r="6660" spans="1:3" x14ac:dyDescent="0.3">
      <c r="A6660">
        <v>30672</v>
      </c>
      <c r="B6660">
        <v>1</v>
      </c>
      <c r="C6660">
        <v>8</v>
      </c>
    </row>
    <row r="6661" spans="1:3" x14ac:dyDescent="0.3">
      <c r="A6661">
        <v>26911</v>
      </c>
      <c r="B6661">
        <v>1</v>
      </c>
      <c r="C6661">
        <v>8</v>
      </c>
    </row>
    <row r="6662" spans="1:3" x14ac:dyDescent="0.3">
      <c r="A6662">
        <v>24836</v>
      </c>
      <c r="B6662">
        <v>1</v>
      </c>
      <c r="C6662">
        <v>8</v>
      </c>
    </row>
    <row r="6663" spans="1:3" x14ac:dyDescent="0.3">
      <c r="A6663">
        <v>79103</v>
      </c>
      <c r="B6663">
        <v>1</v>
      </c>
      <c r="C6663">
        <v>8</v>
      </c>
    </row>
    <row r="6664" spans="1:3" x14ac:dyDescent="0.3">
      <c r="A6664">
        <v>78627</v>
      </c>
      <c r="B6664">
        <v>1</v>
      </c>
      <c r="C6664">
        <v>8</v>
      </c>
    </row>
    <row r="6665" spans="1:3" x14ac:dyDescent="0.3">
      <c r="A6665">
        <v>78536</v>
      </c>
      <c r="B6665">
        <v>1</v>
      </c>
      <c r="C6665">
        <v>8</v>
      </c>
    </row>
    <row r="6666" spans="1:3" x14ac:dyDescent="0.3">
      <c r="A6666">
        <v>78085</v>
      </c>
      <c r="B6666">
        <v>1</v>
      </c>
      <c r="C6666">
        <v>8</v>
      </c>
    </row>
    <row r="6667" spans="1:3" x14ac:dyDescent="0.3">
      <c r="A6667">
        <v>77678</v>
      </c>
      <c r="B6667">
        <v>1</v>
      </c>
      <c r="C6667">
        <v>8</v>
      </c>
    </row>
    <row r="6668" spans="1:3" x14ac:dyDescent="0.3">
      <c r="A6668">
        <v>77315</v>
      </c>
      <c r="B6668">
        <v>1</v>
      </c>
      <c r="C6668">
        <v>8</v>
      </c>
    </row>
    <row r="6669" spans="1:3" x14ac:dyDescent="0.3">
      <c r="A6669">
        <v>77314</v>
      </c>
      <c r="B6669">
        <v>1</v>
      </c>
      <c r="C6669">
        <v>8</v>
      </c>
    </row>
    <row r="6670" spans="1:3" x14ac:dyDescent="0.3">
      <c r="A6670">
        <v>77313</v>
      </c>
      <c r="B6670">
        <v>1</v>
      </c>
      <c r="C6670">
        <v>8</v>
      </c>
    </row>
    <row r="6671" spans="1:3" x14ac:dyDescent="0.3">
      <c r="A6671">
        <v>77311</v>
      </c>
      <c r="B6671">
        <v>1</v>
      </c>
      <c r="C6671">
        <v>8</v>
      </c>
    </row>
    <row r="6672" spans="1:3" x14ac:dyDescent="0.3">
      <c r="A6672">
        <v>76013</v>
      </c>
      <c r="B6672">
        <v>1</v>
      </c>
      <c r="C6672">
        <v>8</v>
      </c>
    </row>
    <row r="6673" spans="1:3" x14ac:dyDescent="0.3">
      <c r="A6673">
        <v>74379</v>
      </c>
      <c r="B6673">
        <v>1</v>
      </c>
      <c r="C6673">
        <v>8</v>
      </c>
    </row>
    <row r="6674" spans="1:3" x14ac:dyDescent="0.3">
      <c r="A6674">
        <v>73455</v>
      </c>
      <c r="B6674">
        <v>1</v>
      </c>
      <c r="C6674">
        <v>8</v>
      </c>
    </row>
    <row r="6675" spans="1:3" x14ac:dyDescent="0.3">
      <c r="A6675">
        <v>72911</v>
      </c>
      <c r="B6675">
        <v>1</v>
      </c>
      <c r="C6675">
        <v>8</v>
      </c>
    </row>
    <row r="6676" spans="1:3" x14ac:dyDescent="0.3">
      <c r="A6676">
        <v>72910</v>
      </c>
      <c r="B6676">
        <v>1</v>
      </c>
      <c r="C6676">
        <v>8</v>
      </c>
    </row>
    <row r="6677" spans="1:3" x14ac:dyDescent="0.3">
      <c r="A6677">
        <v>72909</v>
      </c>
      <c r="B6677">
        <v>1</v>
      </c>
      <c r="C6677">
        <v>8</v>
      </c>
    </row>
    <row r="6678" spans="1:3" x14ac:dyDescent="0.3">
      <c r="A6678">
        <v>72908</v>
      </c>
      <c r="B6678">
        <v>1</v>
      </c>
      <c r="C6678">
        <v>8</v>
      </c>
    </row>
    <row r="6679" spans="1:3" x14ac:dyDescent="0.3">
      <c r="A6679">
        <v>72619</v>
      </c>
      <c r="B6679">
        <v>1</v>
      </c>
      <c r="C6679">
        <v>8</v>
      </c>
    </row>
    <row r="6680" spans="1:3" x14ac:dyDescent="0.3">
      <c r="A6680">
        <v>72494</v>
      </c>
      <c r="B6680">
        <v>1</v>
      </c>
      <c r="C6680">
        <v>8</v>
      </c>
    </row>
    <row r="6681" spans="1:3" x14ac:dyDescent="0.3">
      <c r="A6681">
        <v>72492</v>
      </c>
      <c r="B6681">
        <v>1</v>
      </c>
      <c r="C6681">
        <v>8</v>
      </c>
    </row>
    <row r="6682" spans="1:3" x14ac:dyDescent="0.3">
      <c r="A6682">
        <v>71136</v>
      </c>
      <c r="B6682">
        <v>1</v>
      </c>
      <c r="C6682">
        <v>8</v>
      </c>
    </row>
    <row r="6683" spans="1:3" x14ac:dyDescent="0.3">
      <c r="A6683">
        <v>71135</v>
      </c>
      <c r="B6683">
        <v>1</v>
      </c>
      <c r="C6683">
        <v>8</v>
      </c>
    </row>
    <row r="6684" spans="1:3" x14ac:dyDescent="0.3">
      <c r="A6684">
        <v>67825</v>
      </c>
      <c r="B6684">
        <v>1</v>
      </c>
      <c r="C6684">
        <v>8</v>
      </c>
    </row>
    <row r="6685" spans="1:3" x14ac:dyDescent="0.3">
      <c r="A6685">
        <v>67138</v>
      </c>
      <c r="B6685">
        <v>1</v>
      </c>
      <c r="C6685">
        <v>8</v>
      </c>
    </row>
    <row r="6686" spans="1:3" x14ac:dyDescent="0.3">
      <c r="A6686">
        <v>65169</v>
      </c>
      <c r="B6686">
        <v>1</v>
      </c>
      <c r="C6686">
        <v>16</v>
      </c>
    </row>
    <row r="6687" spans="1:3" x14ac:dyDescent="0.3">
      <c r="A6687">
        <v>64291</v>
      </c>
      <c r="B6687">
        <v>1</v>
      </c>
      <c r="C6687">
        <v>8</v>
      </c>
    </row>
    <row r="6688" spans="1:3" x14ac:dyDescent="0.3">
      <c r="A6688">
        <v>62341</v>
      </c>
      <c r="B6688">
        <v>1</v>
      </c>
      <c r="C6688">
        <v>16</v>
      </c>
    </row>
    <row r="6689" spans="1:3" x14ac:dyDescent="0.3">
      <c r="A6689">
        <v>60590</v>
      </c>
      <c r="B6689">
        <v>1</v>
      </c>
      <c r="C6689">
        <v>8</v>
      </c>
    </row>
    <row r="6690" spans="1:3" x14ac:dyDescent="0.3">
      <c r="A6690">
        <v>59856</v>
      </c>
      <c r="B6690">
        <v>1</v>
      </c>
      <c r="C6690">
        <v>8</v>
      </c>
    </row>
    <row r="6691" spans="1:3" x14ac:dyDescent="0.3">
      <c r="A6691">
        <v>59380</v>
      </c>
      <c r="B6691">
        <v>1</v>
      </c>
      <c r="C6691">
        <v>8</v>
      </c>
    </row>
    <row r="6692" spans="1:3" x14ac:dyDescent="0.3">
      <c r="A6692">
        <v>18448</v>
      </c>
      <c r="B6692">
        <v>1</v>
      </c>
      <c r="C6692">
        <v>8</v>
      </c>
    </row>
    <row r="6693" spans="1:3" x14ac:dyDescent="0.3">
      <c r="A6693">
        <v>58424</v>
      </c>
      <c r="B6693">
        <v>1</v>
      </c>
      <c r="C6693">
        <v>8</v>
      </c>
    </row>
    <row r="6694" spans="1:3" x14ac:dyDescent="0.3">
      <c r="A6694">
        <v>58423</v>
      </c>
      <c r="B6694">
        <v>1</v>
      </c>
      <c r="C6694">
        <v>8</v>
      </c>
    </row>
    <row r="6695" spans="1:3" x14ac:dyDescent="0.3">
      <c r="A6695">
        <v>58346</v>
      </c>
      <c r="B6695">
        <v>1</v>
      </c>
      <c r="C6695">
        <v>16</v>
      </c>
    </row>
    <row r="6696" spans="1:3" x14ac:dyDescent="0.3">
      <c r="A6696">
        <v>58345</v>
      </c>
      <c r="B6696">
        <v>1</v>
      </c>
      <c r="C6696">
        <v>16</v>
      </c>
    </row>
    <row r="6697" spans="1:3" x14ac:dyDescent="0.3">
      <c r="A6697">
        <v>57282</v>
      </c>
      <c r="B6697">
        <v>1</v>
      </c>
      <c r="C6697">
        <v>8</v>
      </c>
    </row>
    <row r="6698" spans="1:3" x14ac:dyDescent="0.3">
      <c r="A6698">
        <v>56423</v>
      </c>
      <c r="B6698">
        <v>1</v>
      </c>
      <c r="C6698">
        <v>8</v>
      </c>
    </row>
    <row r="6699" spans="1:3" x14ac:dyDescent="0.3">
      <c r="A6699">
        <v>51726</v>
      </c>
      <c r="B6699">
        <v>1</v>
      </c>
      <c r="C6699">
        <v>8</v>
      </c>
    </row>
    <row r="6700" spans="1:3" x14ac:dyDescent="0.3">
      <c r="A6700">
        <v>51436</v>
      </c>
      <c r="B6700">
        <v>1</v>
      </c>
      <c r="C6700">
        <v>8</v>
      </c>
    </row>
    <row r="6701" spans="1:3" x14ac:dyDescent="0.3">
      <c r="A6701">
        <v>50888</v>
      </c>
      <c r="B6701">
        <v>1</v>
      </c>
      <c r="C6701">
        <v>8</v>
      </c>
    </row>
    <row r="6702" spans="1:3" x14ac:dyDescent="0.3">
      <c r="A6702">
        <v>46663</v>
      </c>
      <c r="B6702">
        <v>1</v>
      </c>
      <c r="C6702">
        <v>8</v>
      </c>
    </row>
    <row r="6703" spans="1:3" x14ac:dyDescent="0.3">
      <c r="A6703">
        <v>46239</v>
      </c>
      <c r="B6703">
        <v>1</v>
      </c>
      <c r="C6703">
        <v>16</v>
      </c>
    </row>
    <row r="6704" spans="1:3" x14ac:dyDescent="0.3">
      <c r="A6704">
        <v>41825</v>
      </c>
      <c r="B6704">
        <v>1</v>
      </c>
      <c r="C6704">
        <v>8</v>
      </c>
    </row>
    <row r="6705" spans="1:3" x14ac:dyDescent="0.3">
      <c r="A6705">
        <v>41293</v>
      </c>
      <c r="B6705">
        <v>1</v>
      </c>
      <c r="C6705">
        <v>8</v>
      </c>
    </row>
    <row r="6706" spans="1:3" x14ac:dyDescent="0.3">
      <c r="A6706">
        <v>40085</v>
      </c>
      <c r="B6706">
        <v>1</v>
      </c>
      <c r="C6706">
        <v>16</v>
      </c>
    </row>
    <row r="6707" spans="1:3" x14ac:dyDescent="0.3">
      <c r="A6707">
        <v>23562</v>
      </c>
      <c r="B6707">
        <v>1</v>
      </c>
      <c r="C6707">
        <v>8</v>
      </c>
    </row>
    <row r="6708" spans="1:3" x14ac:dyDescent="0.3">
      <c r="A6708">
        <v>80453</v>
      </c>
      <c r="B6708">
        <v>1</v>
      </c>
      <c r="C6708">
        <v>8</v>
      </c>
    </row>
    <row r="6709" spans="1:3" x14ac:dyDescent="0.3">
      <c r="A6709">
        <v>80381</v>
      </c>
      <c r="B6709">
        <v>1</v>
      </c>
      <c r="C6709">
        <v>8</v>
      </c>
    </row>
    <row r="6710" spans="1:3" x14ac:dyDescent="0.3">
      <c r="A6710">
        <v>80380</v>
      </c>
      <c r="B6710">
        <v>1</v>
      </c>
      <c r="C6710">
        <v>8</v>
      </c>
    </row>
    <row r="6711" spans="1:3" x14ac:dyDescent="0.3">
      <c r="A6711">
        <v>80283</v>
      </c>
      <c r="B6711">
        <v>1</v>
      </c>
      <c r="C6711">
        <v>8</v>
      </c>
    </row>
    <row r="6712" spans="1:3" x14ac:dyDescent="0.3">
      <c r="A6712">
        <v>80162</v>
      </c>
      <c r="B6712">
        <v>1</v>
      </c>
      <c r="C6712">
        <v>8</v>
      </c>
    </row>
    <row r="6713" spans="1:3" x14ac:dyDescent="0.3">
      <c r="A6713">
        <v>80031</v>
      </c>
      <c r="B6713">
        <v>1</v>
      </c>
      <c r="C6713">
        <v>8</v>
      </c>
    </row>
    <row r="6714" spans="1:3" x14ac:dyDescent="0.3">
      <c r="A6714">
        <v>10249</v>
      </c>
      <c r="B6714">
        <v>1</v>
      </c>
      <c r="C6714">
        <v>16</v>
      </c>
    </row>
    <row r="6715" spans="1:3" x14ac:dyDescent="0.3">
      <c r="A6715">
        <v>10256</v>
      </c>
      <c r="B6715">
        <v>1</v>
      </c>
      <c r="C6715">
        <v>8</v>
      </c>
    </row>
    <row r="6716" spans="1:3" x14ac:dyDescent="0.3">
      <c r="A6716">
        <v>79191</v>
      </c>
      <c r="B6716">
        <v>1</v>
      </c>
      <c r="C6716">
        <v>8</v>
      </c>
    </row>
    <row r="6717" spans="1:3" x14ac:dyDescent="0.3">
      <c r="A6717">
        <v>78253</v>
      </c>
      <c r="B6717">
        <v>1</v>
      </c>
      <c r="C6717">
        <v>8</v>
      </c>
    </row>
    <row r="6718" spans="1:3" x14ac:dyDescent="0.3">
      <c r="A6718">
        <v>77139</v>
      </c>
      <c r="B6718">
        <v>1</v>
      </c>
      <c r="C6718">
        <v>8</v>
      </c>
    </row>
    <row r="6719" spans="1:3" x14ac:dyDescent="0.3">
      <c r="A6719">
        <v>13261</v>
      </c>
      <c r="B6719">
        <v>1</v>
      </c>
      <c r="C6719">
        <v>8</v>
      </c>
    </row>
    <row r="6720" spans="1:3" x14ac:dyDescent="0.3">
      <c r="A6720">
        <v>73808</v>
      </c>
      <c r="B6720">
        <v>1</v>
      </c>
      <c r="C6720">
        <v>8</v>
      </c>
    </row>
    <row r="6721" spans="1:3" x14ac:dyDescent="0.3">
      <c r="A6721">
        <v>15094</v>
      </c>
      <c r="B6721">
        <v>3</v>
      </c>
      <c r="C6721">
        <v>16</v>
      </c>
    </row>
    <row r="6722" spans="1:3" x14ac:dyDescent="0.3">
      <c r="A6722">
        <v>69021</v>
      </c>
      <c r="B6722">
        <v>1</v>
      </c>
      <c r="C6722">
        <v>8</v>
      </c>
    </row>
    <row r="6723" spans="1:3" x14ac:dyDescent="0.3">
      <c r="A6723">
        <v>15643</v>
      </c>
      <c r="B6723">
        <v>1</v>
      </c>
      <c r="C6723">
        <v>16</v>
      </c>
    </row>
    <row r="6724" spans="1:3" x14ac:dyDescent="0.3">
      <c r="A6724">
        <v>66515</v>
      </c>
      <c r="B6724">
        <v>1</v>
      </c>
      <c r="C6724">
        <v>8</v>
      </c>
    </row>
    <row r="6725" spans="1:3" x14ac:dyDescent="0.3">
      <c r="A6725">
        <v>63755</v>
      </c>
      <c r="B6725">
        <v>1</v>
      </c>
      <c r="C6725">
        <v>8</v>
      </c>
    </row>
    <row r="6726" spans="1:3" x14ac:dyDescent="0.3">
      <c r="A6726">
        <v>61817</v>
      </c>
      <c r="B6726">
        <v>1</v>
      </c>
      <c r="C6726">
        <v>8</v>
      </c>
    </row>
    <row r="6727" spans="1:3" x14ac:dyDescent="0.3">
      <c r="A6727">
        <v>56186</v>
      </c>
      <c r="B6727">
        <v>1</v>
      </c>
      <c r="C6727">
        <v>8</v>
      </c>
    </row>
    <row r="6728" spans="1:3" x14ac:dyDescent="0.3">
      <c r="A6728">
        <v>18955</v>
      </c>
      <c r="B6728">
        <v>1</v>
      </c>
      <c r="C6728">
        <v>8</v>
      </c>
    </row>
    <row r="6729" spans="1:3" x14ac:dyDescent="0.3">
      <c r="A6729">
        <v>19694</v>
      </c>
      <c r="B6729">
        <v>1</v>
      </c>
      <c r="C6729">
        <v>8</v>
      </c>
    </row>
    <row r="6730" spans="1:3" x14ac:dyDescent="0.3">
      <c r="A6730">
        <v>50020</v>
      </c>
      <c r="B6730">
        <v>1</v>
      </c>
      <c r="C6730">
        <v>8</v>
      </c>
    </row>
    <row r="6731" spans="1:3" x14ac:dyDescent="0.3">
      <c r="A6731">
        <v>46227</v>
      </c>
      <c r="B6731">
        <v>1</v>
      </c>
      <c r="C6731">
        <v>16</v>
      </c>
    </row>
    <row r="6732" spans="1:3" x14ac:dyDescent="0.3">
      <c r="A6732">
        <v>21713</v>
      </c>
      <c r="B6732">
        <v>1</v>
      </c>
      <c r="C6732">
        <v>8</v>
      </c>
    </row>
    <row r="6733" spans="1:3" x14ac:dyDescent="0.3">
      <c r="A6733">
        <v>45983</v>
      </c>
      <c r="B6733">
        <v>1</v>
      </c>
      <c r="C6733">
        <v>8</v>
      </c>
    </row>
    <row r="6734" spans="1:3" x14ac:dyDescent="0.3">
      <c r="A6734">
        <v>22160</v>
      </c>
      <c r="B6734">
        <v>1</v>
      </c>
      <c r="C6734">
        <v>8</v>
      </c>
    </row>
    <row r="6735" spans="1:3" x14ac:dyDescent="0.3">
      <c r="A6735">
        <v>45002</v>
      </c>
      <c r="B6735">
        <v>1</v>
      </c>
      <c r="C6735">
        <v>8</v>
      </c>
    </row>
    <row r="6736" spans="1:3" x14ac:dyDescent="0.3">
      <c r="A6736">
        <v>43542</v>
      </c>
      <c r="B6736">
        <v>1</v>
      </c>
      <c r="C6736">
        <v>8</v>
      </c>
    </row>
    <row r="6737" spans="1:3" x14ac:dyDescent="0.3">
      <c r="A6737">
        <v>42415</v>
      </c>
      <c r="B6737">
        <v>1</v>
      </c>
      <c r="C6737">
        <v>8</v>
      </c>
    </row>
    <row r="6738" spans="1:3" x14ac:dyDescent="0.3">
      <c r="A6738">
        <v>41646</v>
      </c>
      <c r="B6738">
        <v>1</v>
      </c>
      <c r="C6738">
        <v>8</v>
      </c>
    </row>
    <row r="6739" spans="1:3" x14ac:dyDescent="0.3">
      <c r="A6739">
        <v>39899</v>
      </c>
      <c r="B6739">
        <v>1</v>
      </c>
      <c r="C6739">
        <v>8</v>
      </c>
    </row>
    <row r="6740" spans="1:3" x14ac:dyDescent="0.3">
      <c r="A6740">
        <v>38138</v>
      </c>
      <c r="B6740">
        <v>1</v>
      </c>
      <c r="C6740">
        <v>8</v>
      </c>
    </row>
    <row r="6741" spans="1:3" x14ac:dyDescent="0.3">
      <c r="A6741">
        <v>36362</v>
      </c>
      <c r="B6741">
        <v>1</v>
      </c>
      <c r="C6741">
        <v>8</v>
      </c>
    </row>
    <row r="6742" spans="1:3" x14ac:dyDescent="0.3">
      <c r="A6742">
        <v>32078</v>
      </c>
      <c r="B6742">
        <v>1</v>
      </c>
      <c r="C6742">
        <v>8</v>
      </c>
    </row>
    <row r="6743" spans="1:3" x14ac:dyDescent="0.3">
      <c r="A6743">
        <v>31691</v>
      </c>
      <c r="B6743">
        <v>1</v>
      </c>
      <c r="C6743">
        <v>8</v>
      </c>
    </row>
    <row r="6744" spans="1:3" x14ac:dyDescent="0.3">
      <c r="A6744">
        <v>31690</v>
      </c>
      <c r="B6744">
        <v>1</v>
      </c>
      <c r="C6744">
        <v>8</v>
      </c>
    </row>
    <row r="6745" spans="1:3" x14ac:dyDescent="0.3">
      <c r="A6745">
        <v>24349</v>
      </c>
      <c r="B6745">
        <v>1</v>
      </c>
      <c r="C6745">
        <v>8</v>
      </c>
    </row>
    <row r="6746" spans="1:3" x14ac:dyDescent="0.3">
      <c r="A6746">
        <v>29399</v>
      </c>
      <c r="B6746">
        <v>1</v>
      </c>
      <c r="C6746">
        <v>8</v>
      </c>
    </row>
    <row r="6747" spans="1:3" x14ac:dyDescent="0.3">
      <c r="A6747">
        <v>28384</v>
      </c>
      <c r="B6747">
        <v>1</v>
      </c>
      <c r="C6747">
        <v>8</v>
      </c>
    </row>
    <row r="6748" spans="1:3" x14ac:dyDescent="0.3">
      <c r="A6748">
        <v>26809</v>
      </c>
      <c r="B6748">
        <v>1</v>
      </c>
      <c r="C6748">
        <v>8</v>
      </c>
    </row>
    <row r="6749" spans="1:3" x14ac:dyDescent="0.3">
      <c r="A6749">
        <v>26348</v>
      </c>
      <c r="B6749">
        <v>3</v>
      </c>
      <c r="C6749">
        <v>8</v>
      </c>
    </row>
    <row r="6750" spans="1:3" x14ac:dyDescent="0.3">
      <c r="A6750">
        <v>24964</v>
      </c>
      <c r="B6750">
        <v>1</v>
      </c>
      <c r="C6750">
        <v>8</v>
      </c>
    </row>
    <row r="6751" spans="1:3" x14ac:dyDescent="0.3">
      <c r="A6751">
        <v>25757</v>
      </c>
      <c r="B6751">
        <v>1</v>
      </c>
      <c r="C6751">
        <v>16</v>
      </c>
    </row>
    <row r="6752" spans="1:3" x14ac:dyDescent="0.3">
      <c r="A6752">
        <v>80454</v>
      </c>
      <c r="B6752">
        <v>1</v>
      </c>
      <c r="C6752">
        <v>8</v>
      </c>
    </row>
    <row r="6753" spans="1:3" x14ac:dyDescent="0.3">
      <c r="A6753">
        <v>80164</v>
      </c>
      <c r="B6753">
        <v>1</v>
      </c>
      <c r="C6753">
        <v>8</v>
      </c>
    </row>
    <row r="6754" spans="1:3" x14ac:dyDescent="0.3">
      <c r="A6754">
        <v>80163</v>
      </c>
      <c r="B6754">
        <v>1</v>
      </c>
      <c r="C6754">
        <v>8</v>
      </c>
    </row>
    <row r="6755" spans="1:3" x14ac:dyDescent="0.3">
      <c r="A6755">
        <v>79393</v>
      </c>
      <c r="B6755">
        <v>1</v>
      </c>
      <c r="C6755">
        <v>8</v>
      </c>
    </row>
    <row r="6756" spans="1:3" x14ac:dyDescent="0.3">
      <c r="A6756">
        <v>79311</v>
      </c>
      <c r="B6756">
        <v>1</v>
      </c>
      <c r="C6756">
        <v>8</v>
      </c>
    </row>
    <row r="6757" spans="1:3" x14ac:dyDescent="0.3">
      <c r="A6757">
        <v>79310</v>
      </c>
      <c r="B6757">
        <v>1</v>
      </c>
      <c r="C6757">
        <v>16</v>
      </c>
    </row>
    <row r="6758" spans="1:3" x14ac:dyDescent="0.3">
      <c r="A6758">
        <v>79105</v>
      </c>
      <c r="B6758">
        <v>1</v>
      </c>
      <c r="C6758">
        <v>8</v>
      </c>
    </row>
    <row r="6759" spans="1:3" x14ac:dyDescent="0.3">
      <c r="A6759">
        <v>78540</v>
      </c>
      <c r="B6759">
        <v>1</v>
      </c>
      <c r="C6759">
        <v>8</v>
      </c>
    </row>
    <row r="6760" spans="1:3" x14ac:dyDescent="0.3">
      <c r="A6760">
        <v>78539</v>
      </c>
      <c r="B6760">
        <v>1</v>
      </c>
      <c r="C6760">
        <v>8</v>
      </c>
    </row>
    <row r="6761" spans="1:3" x14ac:dyDescent="0.3">
      <c r="A6761">
        <v>78254</v>
      </c>
      <c r="B6761">
        <v>1</v>
      </c>
      <c r="C6761">
        <v>8</v>
      </c>
    </row>
    <row r="6762" spans="1:3" x14ac:dyDescent="0.3">
      <c r="A6762">
        <v>77901</v>
      </c>
      <c r="B6762">
        <v>1</v>
      </c>
      <c r="C6762">
        <v>8</v>
      </c>
    </row>
    <row r="6763" spans="1:3" x14ac:dyDescent="0.3">
      <c r="A6763">
        <v>77548</v>
      </c>
      <c r="B6763">
        <v>1</v>
      </c>
      <c r="C6763">
        <v>8</v>
      </c>
    </row>
    <row r="6764" spans="1:3" x14ac:dyDescent="0.3">
      <c r="A6764">
        <v>77547</v>
      </c>
      <c r="B6764">
        <v>1</v>
      </c>
      <c r="C6764">
        <v>16</v>
      </c>
    </row>
    <row r="6765" spans="1:3" x14ac:dyDescent="0.3">
      <c r="A6765">
        <v>77462</v>
      </c>
      <c r="B6765">
        <v>1</v>
      </c>
      <c r="C6765">
        <v>8</v>
      </c>
    </row>
    <row r="6766" spans="1:3" x14ac:dyDescent="0.3">
      <c r="A6766">
        <v>77359</v>
      </c>
      <c r="B6766">
        <v>1</v>
      </c>
      <c r="C6766">
        <v>8</v>
      </c>
    </row>
    <row r="6767" spans="1:3" x14ac:dyDescent="0.3">
      <c r="A6767">
        <v>77202</v>
      </c>
      <c r="B6767">
        <v>1</v>
      </c>
      <c r="C6767">
        <v>8</v>
      </c>
    </row>
    <row r="6768" spans="1:3" x14ac:dyDescent="0.3">
      <c r="A6768">
        <v>11130</v>
      </c>
      <c r="B6768">
        <v>1</v>
      </c>
      <c r="C6768">
        <v>8</v>
      </c>
    </row>
    <row r="6769" spans="1:3" x14ac:dyDescent="0.3">
      <c r="A6769">
        <v>76599</v>
      </c>
      <c r="B6769">
        <v>1</v>
      </c>
      <c r="C6769">
        <v>8</v>
      </c>
    </row>
    <row r="6770" spans="1:3" x14ac:dyDescent="0.3">
      <c r="A6770">
        <v>76505</v>
      </c>
      <c r="B6770">
        <v>1</v>
      </c>
      <c r="C6770">
        <v>8</v>
      </c>
    </row>
    <row r="6771" spans="1:3" x14ac:dyDescent="0.3">
      <c r="A6771">
        <v>76463</v>
      </c>
      <c r="B6771">
        <v>1</v>
      </c>
      <c r="C6771">
        <v>8</v>
      </c>
    </row>
    <row r="6772" spans="1:3" x14ac:dyDescent="0.3">
      <c r="A6772">
        <v>76461</v>
      </c>
      <c r="B6772">
        <v>1</v>
      </c>
      <c r="C6772">
        <v>8</v>
      </c>
    </row>
    <row r="6773" spans="1:3" x14ac:dyDescent="0.3">
      <c r="A6773">
        <v>76096</v>
      </c>
      <c r="B6773">
        <v>1</v>
      </c>
      <c r="C6773">
        <v>8</v>
      </c>
    </row>
    <row r="6774" spans="1:3" x14ac:dyDescent="0.3">
      <c r="A6774">
        <v>76015</v>
      </c>
      <c r="B6774">
        <v>1</v>
      </c>
      <c r="C6774">
        <v>16</v>
      </c>
    </row>
    <row r="6775" spans="1:3" x14ac:dyDescent="0.3">
      <c r="A6775">
        <v>75783</v>
      </c>
      <c r="B6775">
        <v>1</v>
      </c>
      <c r="C6775">
        <v>8</v>
      </c>
    </row>
    <row r="6776" spans="1:3" x14ac:dyDescent="0.3">
      <c r="A6776">
        <v>75659</v>
      </c>
      <c r="B6776">
        <v>1</v>
      </c>
      <c r="C6776">
        <v>8</v>
      </c>
    </row>
    <row r="6777" spans="1:3" x14ac:dyDescent="0.3">
      <c r="A6777">
        <v>74908</v>
      </c>
      <c r="B6777">
        <v>1</v>
      </c>
      <c r="C6777">
        <v>8</v>
      </c>
    </row>
    <row r="6778" spans="1:3" x14ac:dyDescent="0.3">
      <c r="A6778">
        <v>74849</v>
      </c>
      <c r="B6778">
        <v>1</v>
      </c>
      <c r="C6778">
        <v>8</v>
      </c>
    </row>
    <row r="6779" spans="1:3" x14ac:dyDescent="0.3">
      <c r="A6779">
        <v>74848</v>
      </c>
      <c r="B6779">
        <v>1</v>
      </c>
      <c r="C6779">
        <v>8</v>
      </c>
    </row>
    <row r="6780" spans="1:3" x14ac:dyDescent="0.3">
      <c r="A6780">
        <v>74732</v>
      </c>
      <c r="B6780">
        <v>1</v>
      </c>
      <c r="C6780">
        <v>8</v>
      </c>
    </row>
    <row r="6781" spans="1:3" x14ac:dyDescent="0.3">
      <c r="A6781">
        <v>12642</v>
      </c>
      <c r="B6781">
        <v>1</v>
      </c>
      <c r="C6781">
        <v>8</v>
      </c>
    </row>
    <row r="6782" spans="1:3" x14ac:dyDescent="0.3">
      <c r="A6782">
        <v>13260</v>
      </c>
      <c r="B6782">
        <v>2</v>
      </c>
      <c r="C6782">
        <v>16</v>
      </c>
    </row>
    <row r="6783" spans="1:3" x14ac:dyDescent="0.3">
      <c r="A6783">
        <v>13260</v>
      </c>
      <c r="B6783">
        <v>2</v>
      </c>
      <c r="C6783">
        <v>16</v>
      </c>
    </row>
    <row r="6784" spans="1:3" x14ac:dyDescent="0.3">
      <c r="A6784">
        <v>73809</v>
      </c>
      <c r="B6784">
        <v>1</v>
      </c>
      <c r="C6784">
        <v>16</v>
      </c>
    </row>
    <row r="6785" spans="1:3" x14ac:dyDescent="0.3">
      <c r="A6785">
        <v>73602</v>
      </c>
      <c r="B6785">
        <v>1</v>
      </c>
      <c r="C6785">
        <v>8</v>
      </c>
    </row>
    <row r="6786" spans="1:3" x14ac:dyDescent="0.3">
      <c r="A6786">
        <v>73600</v>
      </c>
      <c r="B6786">
        <v>1</v>
      </c>
      <c r="C6786">
        <v>8</v>
      </c>
    </row>
    <row r="6787" spans="1:3" x14ac:dyDescent="0.3">
      <c r="A6787">
        <v>72256</v>
      </c>
      <c r="B6787">
        <v>1</v>
      </c>
      <c r="C6787">
        <v>8</v>
      </c>
    </row>
    <row r="6788" spans="1:3" x14ac:dyDescent="0.3">
      <c r="A6788">
        <v>71882</v>
      </c>
      <c r="B6788">
        <v>1</v>
      </c>
      <c r="C6788">
        <v>8</v>
      </c>
    </row>
    <row r="6789" spans="1:3" x14ac:dyDescent="0.3">
      <c r="A6789">
        <v>71881</v>
      </c>
      <c r="B6789">
        <v>1</v>
      </c>
      <c r="C6789">
        <v>8</v>
      </c>
    </row>
    <row r="6790" spans="1:3" x14ac:dyDescent="0.3">
      <c r="A6790">
        <v>71003</v>
      </c>
      <c r="B6790">
        <v>1</v>
      </c>
      <c r="C6790">
        <v>8</v>
      </c>
    </row>
    <row r="6791" spans="1:3" x14ac:dyDescent="0.3">
      <c r="A6791">
        <v>15201</v>
      </c>
      <c r="B6791">
        <v>2</v>
      </c>
      <c r="C6791">
        <v>8</v>
      </c>
    </row>
    <row r="6792" spans="1:3" x14ac:dyDescent="0.3">
      <c r="A6792">
        <v>69375</v>
      </c>
      <c r="B6792">
        <v>1</v>
      </c>
      <c r="C6792">
        <v>8</v>
      </c>
    </row>
    <row r="6793" spans="1:3" x14ac:dyDescent="0.3">
      <c r="A6793">
        <v>69374</v>
      </c>
      <c r="B6793">
        <v>1</v>
      </c>
      <c r="C6793">
        <v>8</v>
      </c>
    </row>
    <row r="6794" spans="1:3" x14ac:dyDescent="0.3">
      <c r="A6794">
        <v>69022</v>
      </c>
      <c r="B6794">
        <v>1</v>
      </c>
      <c r="C6794">
        <v>8</v>
      </c>
    </row>
    <row r="6795" spans="1:3" x14ac:dyDescent="0.3">
      <c r="A6795">
        <v>69020</v>
      </c>
      <c r="B6795">
        <v>1</v>
      </c>
      <c r="C6795">
        <v>8</v>
      </c>
    </row>
    <row r="6796" spans="1:3" x14ac:dyDescent="0.3">
      <c r="A6796">
        <v>68885</v>
      </c>
      <c r="B6796">
        <v>1</v>
      </c>
      <c r="C6796">
        <v>8</v>
      </c>
    </row>
    <row r="6797" spans="1:3" x14ac:dyDescent="0.3">
      <c r="A6797">
        <v>68884</v>
      </c>
      <c r="B6797">
        <v>1</v>
      </c>
      <c r="C6797">
        <v>8</v>
      </c>
    </row>
    <row r="6798" spans="1:3" x14ac:dyDescent="0.3">
      <c r="A6798">
        <v>68804</v>
      </c>
      <c r="B6798">
        <v>1</v>
      </c>
      <c r="C6798">
        <v>8</v>
      </c>
    </row>
    <row r="6799" spans="1:3" x14ac:dyDescent="0.3">
      <c r="A6799">
        <v>68349</v>
      </c>
      <c r="B6799">
        <v>1</v>
      </c>
      <c r="C6799">
        <v>8</v>
      </c>
    </row>
    <row r="6800" spans="1:3" x14ac:dyDescent="0.3">
      <c r="A6800">
        <v>67736</v>
      </c>
      <c r="B6800">
        <v>1</v>
      </c>
      <c r="C6800">
        <v>8</v>
      </c>
    </row>
    <row r="6801" spans="1:3" x14ac:dyDescent="0.3">
      <c r="A6801">
        <v>66558</v>
      </c>
      <c r="B6801">
        <v>1</v>
      </c>
      <c r="C6801">
        <v>8</v>
      </c>
    </row>
    <row r="6802" spans="1:3" x14ac:dyDescent="0.3">
      <c r="A6802" s="26">
        <v>64755</v>
      </c>
      <c r="B6802" s="26">
        <v>1</v>
      </c>
      <c r="C6802" s="26">
        <v>16</v>
      </c>
    </row>
    <row r="6803" spans="1:3" x14ac:dyDescent="0.3">
      <c r="A6803">
        <v>16835</v>
      </c>
      <c r="B6803">
        <v>1</v>
      </c>
      <c r="C6803">
        <v>8</v>
      </c>
    </row>
    <row r="6804" spans="1:3" x14ac:dyDescent="0.3">
      <c r="A6804">
        <v>16836</v>
      </c>
      <c r="B6804">
        <v>1</v>
      </c>
      <c r="C6804">
        <v>8</v>
      </c>
    </row>
    <row r="6805" spans="1:3" x14ac:dyDescent="0.3">
      <c r="A6805">
        <v>16838</v>
      </c>
      <c r="B6805">
        <v>2</v>
      </c>
      <c r="C6805">
        <v>8</v>
      </c>
    </row>
    <row r="6806" spans="1:3" x14ac:dyDescent="0.3">
      <c r="A6806">
        <v>16970</v>
      </c>
      <c r="B6806">
        <v>1</v>
      </c>
      <c r="C6806">
        <v>8</v>
      </c>
    </row>
    <row r="6807" spans="1:3" x14ac:dyDescent="0.3">
      <c r="A6807">
        <v>17027</v>
      </c>
      <c r="B6807">
        <v>2</v>
      </c>
      <c r="C6807">
        <v>16</v>
      </c>
    </row>
    <row r="6808" spans="1:3" x14ac:dyDescent="0.3">
      <c r="A6808">
        <v>17027</v>
      </c>
      <c r="B6808">
        <v>2</v>
      </c>
      <c r="C6808">
        <v>16</v>
      </c>
    </row>
    <row r="6809" spans="1:3" x14ac:dyDescent="0.3">
      <c r="A6809">
        <v>17117</v>
      </c>
      <c r="B6809">
        <v>1</v>
      </c>
      <c r="C6809">
        <v>8</v>
      </c>
    </row>
    <row r="6810" spans="1:3" x14ac:dyDescent="0.3">
      <c r="A6810">
        <v>63078</v>
      </c>
      <c r="B6810">
        <v>1</v>
      </c>
      <c r="C6810">
        <v>8</v>
      </c>
    </row>
    <row r="6811" spans="1:3" x14ac:dyDescent="0.3">
      <c r="A6811">
        <v>61417</v>
      </c>
      <c r="B6811">
        <v>1</v>
      </c>
      <c r="C6811">
        <v>8</v>
      </c>
    </row>
    <row r="6812" spans="1:3" x14ac:dyDescent="0.3">
      <c r="A6812">
        <v>17922</v>
      </c>
      <c r="B6812">
        <v>1</v>
      </c>
      <c r="C6812">
        <v>8</v>
      </c>
    </row>
    <row r="6813" spans="1:3" x14ac:dyDescent="0.3">
      <c r="A6813">
        <v>59121</v>
      </c>
      <c r="B6813">
        <v>1</v>
      </c>
      <c r="C6813">
        <v>8</v>
      </c>
    </row>
    <row r="6814" spans="1:3" x14ac:dyDescent="0.3">
      <c r="A6814">
        <v>57784</v>
      </c>
      <c r="B6814">
        <v>1</v>
      </c>
      <c r="C6814">
        <v>8</v>
      </c>
    </row>
    <row r="6815" spans="1:3" x14ac:dyDescent="0.3">
      <c r="A6815">
        <v>57783</v>
      </c>
      <c r="B6815">
        <v>1</v>
      </c>
      <c r="C6815">
        <v>8</v>
      </c>
    </row>
    <row r="6816" spans="1:3" x14ac:dyDescent="0.3">
      <c r="A6816">
        <v>57430</v>
      </c>
      <c r="B6816">
        <v>1</v>
      </c>
      <c r="C6816">
        <v>16</v>
      </c>
    </row>
    <row r="6817" spans="1:3" x14ac:dyDescent="0.3">
      <c r="A6817">
        <v>57216</v>
      </c>
      <c r="B6817">
        <v>1</v>
      </c>
      <c r="C6817">
        <v>16</v>
      </c>
    </row>
    <row r="6818" spans="1:3" x14ac:dyDescent="0.3">
      <c r="A6818">
        <v>55715</v>
      </c>
      <c r="B6818">
        <v>1</v>
      </c>
      <c r="C6818">
        <v>8</v>
      </c>
    </row>
    <row r="6819" spans="1:3" x14ac:dyDescent="0.3">
      <c r="A6819">
        <v>55442</v>
      </c>
      <c r="B6819">
        <v>1</v>
      </c>
      <c r="C6819">
        <v>8</v>
      </c>
    </row>
    <row r="6820" spans="1:3" x14ac:dyDescent="0.3">
      <c r="A6820">
        <v>55155</v>
      </c>
      <c r="B6820">
        <v>1</v>
      </c>
      <c r="C6820">
        <v>8</v>
      </c>
    </row>
    <row r="6821" spans="1:3" x14ac:dyDescent="0.3">
      <c r="A6821">
        <v>19208</v>
      </c>
      <c r="B6821">
        <v>1</v>
      </c>
      <c r="C6821">
        <v>8</v>
      </c>
    </row>
    <row r="6822" spans="1:3" x14ac:dyDescent="0.3">
      <c r="A6822">
        <v>19619</v>
      </c>
      <c r="B6822">
        <v>2</v>
      </c>
      <c r="C6822">
        <v>8</v>
      </c>
    </row>
    <row r="6823" spans="1:3" x14ac:dyDescent="0.3">
      <c r="A6823">
        <v>19622</v>
      </c>
      <c r="B6823">
        <v>2</v>
      </c>
      <c r="C6823">
        <v>8</v>
      </c>
    </row>
    <row r="6824" spans="1:3" x14ac:dyDescent="0.3">
      <c r="A6824">
        <v>19625</v>
      </c>
      <c r="B6824">
        <v>2</v>
      </c>
      <c r="C6824">
        <v>8</v>
      </c>
    </row>
    <row r="6825" spans="1:3" x14ac:dyDescent="0.3">
      <c r="A6825">
        <v>52886</v>
      </c>
      <c r="B6825">
        <v>1</v>
      </c>
      <c r="C6825">
        <v>8</v>
      </c>
    </row>
    <row r="6826" spans="1:3" x14ac:dyDescent="0.3">
      <c r="A6826">
        <v>51164</v>
      </c>
      <c r="B6826">
        <v>1</v>
      </c>
      <c r="C6826">
        <v>16</v>
      </c>
    </row>
    <row r="6827" spans="1:3" x14ac:dyDescent="0.3">
      <c r="A6827">
        <v>51033</v>
      </c>
      <c r="B6827">
        <v>1</v>
      </c>
      <c r="C6827">
        <v>8</v>
      </c>
    </row>
    <row r="6828" spans="1:3" x14ac:dyDescent="0.3">
      <c r="A6828">
        <v>51031</v>
      </c>
      <c r="B6828">
        <v>1</v>
      </c>
      <c r="C6828">
        <v>16</v>
      </c>
    </row>
    <row r="6829" spans="1:3" x14ac:dyDescent="0.3">
      <c r="A6829">
        <v>51029</v>
      </c>
      <c r="B6829">
        <v>1</v>
      </c>
      <c r="C6829">
        <v>16</v>
      </c>
    </row>
    <row r="6830" spans="1:3" x14ac:dyDescent="0.3">
      <c r="A6830">
        <v>50348</v>
      </c>
      <c r="B6830">
        <v>1</v>
      </c>
      <c r="C6830">
        <v>8</v>
      </c>
    </row>
    <row r="6831" spans="1:3" x14ac:dyDescent="0.3">
      <c r="A6831">
        <v>20866</v>
      </c>
      <c r="B6831">
        <v>1</v>
      </c>
      <c r="C6831">
        <v>8</v>
      </c>
    </row>
    <row r="6832" spans="1:3" x14ac:dyDescent="0.3">
      <c r="A6832">
        <v>20867</v>
      </c>
      <c r="B6832">
        <v>1</v>
      </c>
      <c r="C6832">
        <v>8</v>
      </c>
    </row>
    <row r="6833" spans="1:3" x14ac:dyDescent="0.3">
      <c r="A6833">
        <v>50022</v>
      </c>
      <c r="B6833">
        <v>1</v>
      </c>
      <c r="C6833">
        <v>8</v>
      </c>
    </row>
    <row r="6834" spans="1:3" x14ac:dyDescent="0.3">
      <c r="A6834">
        <v>50016</v>
      </c>
      <c r="B6834">
        <v>1</v>
      </c>
      <c r="C6834">
        <v>16</v>
      </c>
    </row>
    <row r="6835" spans="1:3" x14ac:dyDescent="0.3">
      <c r="A6835">
        <v>49749</v>
      </c>
      <c r="B6835">
        <v>1</v>
      </c>
      <c r="C6835">
        <v>8</v>
      </c>
    </row>
    <row r="6836" spans="1:3" x14ac:dyDescent="0.3">
      <c r="A6836">
        <v>49198</v>
      </c>
      <c r="B6836">
        <v>1</v>
      </c>
      <c r="C6836">
        <v>8</v>
      </c>
    </row>
    <row r="6837" spans="1:3" x14ac:dyDescent="0.3">
      <c r="A6837">
        <v>21139</v>
      </c>
      <c r="B6837">
        <v>1</v>
      </c>
      <c r="C6837">
        <v>8</v>
      </c>
    </row>
    <row r="6838" spans="1:3" x14ac:dyDescent="0.3">
      <c r="A6838">
        <v>48360</v>
      </c>
      <c r="B6838">
        <v>1</v>
      </c>
      <c r="C6838">
        <v>8</v>
      </c>
    </row>
    <row r="6839" spans="1:3" x14ac:dyDescent="0.3">
      <c r="A6839">
        <v>46403</v>
      </c>
      <c r="B6839">
        <v>1</v>
      </c>
      <c r="C6839">
        <v>8</v>
      </c>
    </row>
    <row r="6840" spans="1:3" x14ac:dyDescent="0.3">
      <c r="A6840">
        <v>46202</v>
      </c>
      <c r="B6840">
        <v>1</v>
      </c>
      <c r="C6840">
        <v>8</v>
      </c>
    </row>
    <row r="6841" spans="1:3" x14ac:dyDescent="0.3">
      <c r="A6841">
        <v>46130</v>
      </c>
      <c r="B6841">
        <v>1</v>
      </c>
      <c r="C6841">
        <v>16</v>
      </c>
    </row>
    <row r="6842" spans="1:3" x14ac:dyDescent="0.3">
      <c r="A6842">
        <v>46129</v>
      </c>
      <c r="B6842">
        <v>1</v>
      </c>
      <c r="C6842">
        <v>8</v>
      </c>
    </row>
    <row r="6843" spans="1:3" x14ac:dyDescent="0.3">
      <c r="A6843">
        <v>45899</v>
      </c>
      <c r="B6843">
        <v>1</v>
      </c>
      <c r="C6843">
        <v>8</v>
      </c>
    </row>
    <row r="6844" spans="1:3" x14ac:dyDescent="0.3">
      <c r="A6844">
        <v>45898</v>
      </c>
      <c r="B6844">
        <v>1</v>
      </c>
      <c r="C6844">
        <v>8</v>
      </c>
    </row>
    <row r="6845" spans="1:3" x14ac:dyDescent="0.3">
      <c r="A6845">
        <v>45897</v>
      </c>
      <c r="B6845">
        <v>1</v>
      </c>
      <c r="C6845">
        <v>8</v>
      </c>
    </row>
    <row r="6846" spans="1:3" x14ac:dyDescent="0.3">
      <c r="A6846">
        <v>45652</v>
      </c>
      <c r="B6846">
        <v>1</v>
      </c>
      <c r="C6846">
        <v>16</v>
      </c>
    </row>
    <row r="6847" spans="1:3" x14ac:dyDescent="0.3">
      <c r="A6847">
        <v>45650</v>
      </c>
      <c r="B6847">
        <v>2</v>
      </c>
      <c r="C6847">
        <v>16</v>
      </c>
    </row>
    <row r="6848" spans="1:3" x14ac:dyDescent="0.3">
      <c r="A6848">
        <v>22302</v>
      </c>
      <c r="B6848">
        <v>1</v>
      </c>
      <c r="C6848">
        <v>16</v>
      </c>
    </row>
    <row r="6849" spans="1:3" x14ac:dyDescent="0.3">
      <c r="A6849">
        <v>22558</v>
      </c>
      <c r="B6849">
        <v>1</v>
      </c>
      <c r="C6849">
        <v>8</v>
      </c>
    </row>
    <row r="6850" spans="1:3" x14ac:dyDescent="0.3">
      <c r="A6850">
        <v>43032</v>
      </c>
      <c r="B6850">
        <v>1</v>
      </c>
      <c r="C6850">
        <v>8</v>
      </c>
    </row>
    <row r="6851" spans="1:3" x14ac:dyDescent="0.3">
      <c r="A6851">
        <v>42268</v>
      </c>
      <c r="B6851">
        <v>1</v>
      </c>
      <c r="C6851">
        <v>16</v>
      </c>
    </row>
    <row r="6852" spans="1:3" x14ac:dyDescent="0.3">
      <c r="A6852">
        <v>22893</v>
      </c>
      <c r="B6852">
        <v>1</v>
      </c>
      <c r="C6852">
        <v>8</v>
      </c>
    </row>
    <row r="6853" spans="1:3" x14ac:dyDescent="0.3">
      <c r="A6853">
        <v>40071</v>
      </c>
      <c r="B6853">
        <v>1</v>
      </c>
      <c r="C6853">
        <v>8</v>
      </c>
    </row>
    <row r="6854" spans="1:3" x14ac:dyDescent="0.3">
      <c r="A6854">
        <v>23381</v>
      </c>
      <c r="B6854">
        <v>1</v>
      </c>
      <c r="C6854">
        <v>16</v>
      </c>
    </row>
    <row r="6855" spans="1:3" x14ac:dyDescent="0.3">
      <c r="A6855">
        <v>37146</v>
      </c>
      <c r="B6855">
        <v>3</v>
      </c>
      <c r="C6855">
        <v>16</v>
      </c>
    </row>
    <row r="6856" spans="1:3" x14ac:dyDescent="0.3">
      <c r="A6856">
        <v>37146</v>
      </c>
      <c r="B6856">
        <v>3</v>
      </c>
      <c r="C6856">
        <v>16</v>
      </c>
    </row>
    <row r="6857" spans="1:3" x14ac:dyDescent="0.3">
      <c r="A6857">
        <v>37146</v>
      </c>
      <c r="B6857">
        <v>3</v>
      </c>
      <c r="C6857">
        <v>16</v>
      </c>
    </row>
    <row r="6858" spans="1:3" x14ac:dyDescent="0.3">
      <c r="A6858">
        <v>36667</v>
      </c>
      <c r="B6858">
        <v>1</v>
      </c>
      <c r="C6858">
        <v>8</v>
      </c>
    </row>
    <row r="6859" spans="1:3" x14ac:dyDescent="0.3">
      <c r="A6859">
        <v>23637</v>
      </c>
      <c r="B6859">
        <v>2</v>
      </c>
      <c r="C6859">
        <v>8</v>
      </c>
    </row>
    <row r="6860" spans="1:3" x14ac:dyDescent="0.3">
      <c r="A6860">
        <v>36361</v>
      </c>
      <c r="B6860">
        <v>1</v>
      </c>
      <c r="C6860">
        <v>8</v>
      </c>
    </row>
    <row r="6861" spans="1:3" x14ac:dyDescent="0.3">
      <c r="A6861">
        <v>34575</v>
      </c>
      <c r="B6861">
        <v>1</v>
      </c>
      <c r="C6861">
        <v>16</v>
      </c>
    </row>
    <row r="6862" spans="1:3" x14ac:dyDescent="0.3">
      <c r="A6862">
        <v>31359</v>
      </c>
      <c r="B6862">
        <v>1</v>
      </c>
      <c r="C6862">
        <v>8</v>
      </c>
    </row>
    <row r="6863" spans="1:3" x14ac:dyDescent="0.3">
      <c r="A6863">
        <v>30898</v>
      </c>
      <c r="B6863">
        <v>2</v>
      </c>
      <c r="C6863">
        <v>8</v>
      </c>
    </row>
    <row r="6864" spans="1:3" x14ac:dyDescent="0.3">
      <c r="A6864">
        <v>30896</v>
      </c>
      <c r="B6864">
        <v>1</v>
      </c>
      <c r="C6864">
        <v>16</v>
      </c>
    </row>
    <row r="6865" spans="1:3" x14ac:dyDescent="0.3">
      <c r="A6865">
        <v>29402</v>
      </c>
      <c r="B6865">
        <v>1</v>
      </c>
      <c r="C6865">
        <v>8</v>
      </c>
    </row>
    <row r="6866" spans="1:3" x14ac:dyDescent="0.3">
      <c r="A6866">
        <v>28121</v>
      </c>
      <c r="B6866">
        <v>1</v>
      </c>
      <c r="C6866">
        <v>8</v>
      </c>
    </row>
    <row r="6867" spans="1:3" x14ac:dyDescent="0.3">
      <c r="A6867">
        <v>24756</v>
      </c>
      <c r="B6867">
        <v>1</v>
      </c>
      <c r="C6867">
        <v>8</v>
      </c>
    </row>
    <row r="6868" spans="1:3" x14ac:dyDescent="0.3">
      <c r="A6868">
        <v>26570</v>
      </c>
      <c r="B6868">
        <v>2</v>
      </c>
      <c r="C6868">
        <v>16</v>
      </c>
    </row>
    <row r="6869" spans="1:3" x14ac:dyDescent="0.3">
      <c r="A6869">
        <v>26570</v>
      </c>
      <c r="B6869">
        <v>2</v>
      </c>
      <c r="C6869">
        <v>16</v>
      </c>
    </row>
    <row r="6870" spans="1:3" x14ac:dyDescent="0.3">
      <c r="A6870">
        <v>26347</v>
      </c>
      <c r="B6870">
        <v>2</v>
      </c>
      <c r="C6870">
        <v>16</v>
      </c>
    </row>
    <row r="6871" spans="1:3" x14ac:dyDescent="0.3">
      <c r="A6871">
        <v>26346</v>
      </c>
      <c r="B6871">
        <v>2</v>
      </c>
      <c r="C6871">
        <v>8</v>
      </c>
    </row>
    <row r="6872" spans="1:3" x14ac:dyDescent="0.3">
      <c r="A6872">
        <v>26345</v>
      </c>
      <c r="B6872">
        <v>1</v>
      </c>
      <c r="C6872">
        <v>8</v>
      </c>
    </row>
    <row r="6873" spans="1:3" x14ac:dyDescent="0.3">
      <c r="A6873">
        <v>25942</v>
      </c>
      <c r="B6873">
        <v>1</v>
      </c>
      <c r="C6873">
        <v>8</v>
      </c>
    </row>
    <row r="6874" spans="1:3" x14ac:dyDescent="0.3">
      <c r="A6874">
        <v>24963</v>
      </c>
      <c r="B6874">
        <v>1</v>
      </c>
      <c r="C6874">
        <v>8</v>
      </c>
    </row>
    <row r="6875" spans="1:3" x14ac:dyDescent="0.3">
      <c r="A6875">
        <v>80533</v>
      </c>
      <c r="B6875">
        <v>1</v>
      </c>
      <c r="C6875">
        <v>8</v>
      </c>
    </row>
    <row r="6876" spans="1:3" x14ac:dyDescent="0.3">
      <c r="A6876">
        <v>80383</v>
      </c>
      <c r="B6876">
        <v>1</v>
      </c>
      <c r="C6876">
        <v>8</v>
      </c>
    </row>
    <row r="6877" spans="1:3" x14ac:dyDescent="0.3">
      <c r="A6877">
        <v>79780</v>
      </c>
      <c r="B6877">
        <v>2</v>
      </c>
      <c r="C6877">
        <v>8</v>
      </c>
    </row>
    <row r="6878" spans="1:3" x14ac:dyDescent="0.3">
      <c r="A6878">
        <v>78960</v>
      </c>
      <c r="B6878">
        <v>1</v>
      </c>
      <c r="C6878">
        <v>8</v>
      </c>
    </row>
    <row r="6879" spans="1:3" x14ac:dyDescent="0.3">
      <c r="A6879">
        <v>78880</v>
      </c>
      <c r="B6879">
        <v>1</v>
      </c>
      <c r="C6879">
        <v>8</v>
      </c>
    </row>
    <row r="6880" spans="1:3" x14ac:dyDescent="0.3">
      <c r="A6880">
        <v>78878</v>
      </c>
      <c r="B6880">
        <v>2</v>
      </c>
      <c r="C6880">
        <v>8</v>
      </c>
    </row>
    <row r="6881" spans="1:3" x14ac:dyDescent="0.3">
      <c r="A6881">
        <v>78091</v>
      </c>
      <c r="B6881">
        <v>2</v>
      </c>
      <c r="C6881">
        <v>8</v>
      </c>
    </row>
    <row r="6882" spans="1:3" x14ac:dyDescent="0.3">
      <c r="A6882">
        <v>78089</v>
      </c>
      <c r="B6882">
        <v>1</v>
      </c>
      <c r="C6882">
        <v>8</v>
      </c>
    </row>
    <row r="6883" spans="1:3" x14ac:dyDescent="0.3">
      <c r="A6883">
        <v>77932</v>
      </c>
      <c r="B6883">
        <v>1</v>
      </c>
      <c r="C6883">
        <v>8</v>
      </c>
    </row>
    <row r="6884" spans="1:3" x14ac:dyDescent="0.3">
      <c r="A6884">
        <v>77931</v>
      </c>
      <c r="B6884">
        <v>1</v>
      </c>
      <c r="C6884">
        <v>8</v>
      </c>
    </row>
    <row r="6885" spans="1:3" x14ac:dyDescent="0.3">
      <c r="A6885">
        <v>77904</v>
      </c>
      <c r="B6885">
        <v>1</v>
      </c>
      <c r="C6885">
        <v>8</v>
      </c>
    </row>
    <row r="6886" spans="1:3" x14ac:dyDescent="0.3">
      <c r="A6886">
        <v>77903</v>
      </c>
      <c r="B6886">
        <v>2</v>
      </c>
      <c r="C6886">
        <v>8</v>
      </c>
    </row>
    <row r="6887" spans="1:3" x14ac:dyDescent="0.3">
      <c r="A6887">
        <v>77902</v>
      </c>
      <c r="B6887">
        <v>1</v>
      </c>
      <c r="C6887">
        <v>8</v>
      </c>
    </row>
    <row r="6888" spans="1:3" x14ac:dyDescent="0.3">
      <c r="A6888">
        <v>77682</v>
      </c>
      <c r="B6888">
        <v>1</v>
      </c>
      <c r="C6888">
        <v>8</v>
      </c>
    </row>
    <row r="6889" spans="1:3" x14ac:dyDescent="0.3">
      <c r="A6889">
        <v>77615</v>
      </c>
      <c r="B6889">
        <v>2</v>
      </c>
      <c r="C6889">
        <v>8</v>
      </c>
    </row>
    <row r="6890" spans="1:3" x14ac:dyDescent="0.3">
      <c r="A6890">
        <v>77465</v>
      </c>
      <c r="B6890">
        <v>1</v>
      </c>
      <c r="C6890">
        <v>8</v>
      </c>
    </row>
    <row r="6891" spans="1:3" x14ac:dyDescent="0.3">
      <c r="A6891">
        <v>77464</v>
      </c>
      <c r="B6891">
        <v>1</v>
      </c>
      <c r="C6891">
        <v>8</v>
      </c>
    </row>
    <row r="6892" spans="1:3" x14ac:dyDescent="0.3">
      <c r="A6892">
        <v>77316</v>
      </c>
      <c r="B6892">
        <v>1</v>
      </c>
      <c r="C6892">
        <v>8</v>
      </c>
    </row>
    <row r="6893" spans="1:3" x14ac:dyDescent="0.3">
      <c r="A6893">
        <v>77172</v>
      </c>
      <c r="B6893">
        <v>1</v>
      </c>
      <c r="C6893">
        <v>8</v>
      </c>
    </row>
    <row r="6894" spans="1:3" x14ac:dyDescent="0.3">
      <c r="A6894">
        <v>76603</v>
      </c>
      <c r="B6894">
        <v>1</v>
      </c>
      <c r="C6894">
        <v>16</v>
      </c>
    </row>
    <row r="6895" spans="1:3" x14ac:dyDescent="0.3">
      <c r="A6895">
        <v>76317</v>
      </c>
      <c r="B6895">
        <v>1</v>
      </c>
      <c r="C6895">
        <v>16</v>
      </c>
    </row>
    <row r="6896" spans="1:3" x14ac:dyDescent="0.3">
      <c r="A6896">
        <v>76316</v>
      </c>
      <c r="B6896">
        <v>1</v>
      </c>
      <c r="C6896">
        <v>8</v>
      </c>
    </row>
    <row r="6897" spans="1:3" x14ac:dyDescent="0.3">
      <c r="A6897">
        <v>76143</v>
      </c>
      <c r="B6897">
        <v>2</v>
      </c>
      <c r="C6897">
        <v>8</v>
      </c>
    </row>
    <row r="6898" spans="1:3" x14ac:dyDescent="0.3">
      <c r="A6898">
        <v>75645</v>
      </c>
      <c r="B6898">
        <v>1</v>
      </c>
      <c r="C6898">
        <v>16</v>
      </c>
    </row>
    <row r="6899" spans="1:3" x14ac:dyDescent="0.3">
      <c r="A6899">
        <v>75462</v>
      </c>
      <c r="B6899">
        <v>1</v>
      </c>
      <c r="C6899">
        <v>8</v>
      </c>
    </row>
    <row r="6900" spans="1:3" x14ac:dyDescent="0.3">
      <c r="A6900">
        <v>75461</v>
      </c>
      <c r="B6900">
        <v>1</v>
      </c>
      <c r="C6900">
        <v>8</v>
      </c>
    </row>
    <row r="6901" spans="1:3" x14ac:dyDescent="0.3">
      <c r="A6901">
        <v>74955</v>
      </c>
      <c r="B6901">
        <v>1</v>
      </c>
      <c r="C6901">
        <v>8</v>
      </c>
    </row>
    <row r="6902" spans="1:3" x14ac:dyDescent="0.3">
      <c r="A6902">
        <v>74939</v>
      </c>
      <c r="B6902">
        <v>1</v>
      </c>
      <c r="C6902">
        <v>8</v>
      </c>
    </row>
    <row r="6903" spans="1:3" x14ac:dyDescent="0.3">
      <c r="A6903">
        <v>74578</v>
      </c>
      <c r="B6903">
        <v>1</v>
      </c>
      <c r="C6903">
        <v>8</v>
      </c>
    </row>
    <row r="6904" spans="1:3" x14ac:dyDescent="0.3">
      <c r="A6904">
        <v>74365</v>
      </c>
      <c r="B6904">
        <v>1</v>
      </c>
      <c r="C6904">
        <v>8</v>
      </c>
    </row>
    <row r="6905" spans="1:3" x14ac:dyDescent="0.3">
      <c r="A6905">
        <v>73043</v>
      </c>
      <c r="B6905">
        <v>1</v>
      </c>
      <c r="C6905">
        <v>16</v>
      </c>
    </row>
    <row r="6906" spans="1:3" x14ac:dyDescent="0.3">
      <c r="A6906">
        <v>72852</v>
      </c>
      <c r="B6906">
        <v>1</v>
      </c>
      <c r="C6906">
        <v>8</v>
      </c>
    </row>
    <row r="6907" spans="1:3" x14ac:dyDescent="0.3">
      <c r="A6907">
        <v>72851</v>
      </c>
      <c r="B6907">
        <v>2</v>
      </c>
      <c r="C6907">
        <v>8</v>
      </c>
    </row>
    <row r="6908" spans="1:3" x14ac:dyDescent="0.3">
      <c r="A6908">
        <v>71009</v>
      </c>
      <c r="B6908">
        <v>1</v>
      </c>
      <c r="C6908">
        <v>8</v>
      </c>
    </row>
    <row r="6909" spans="1:3" x14ac:dyDescent="0.3">
      <c r="A6909">
        <v>14728</v>
      </c>
      <c r="B6909">
        <v>2</v>
      </c>
      <c r="C6909">
        <v>8</v>
      </c>
    </row>
    <row r="6910" spans="1:3" x14ac:dyDescent="0.3">
      <c r="A6910">
        <v>70481</v>
      </c>
      <c r="B6910">
        <v>1</v>
      </c>
      <c r="C6910">
        <v>16</v>
      </c>
    </row>
    <row r="6911" spans="1:3" x14ac:dyDescent="0.3">
      <c r="A6911">
        <v>70162</v>
      </c>
      <c r="B6911">
        <v>1</v>
      </c>
      <c r="C6911">
        <v>8</v>
      </c>
    </row>
    <row r="6912" spans="1:3" x14ac:dyDescent="0.3">
      <c r="A6912">
        <v>70161</v>
      </c>
      <c r="B6912">
        <v>1</v>
      </c>
      <c r="C6912">
        <v>16</v>
      </c>
    </row>
    <row r="6913" spans="1:3" x14ac:dyDescent="0.3">
      <c r="A6913">
        <v>69993</v>
      </c>
      <c r="B6913">
        <v>1</v>
      </c>
      <c r="C6913">
        <v>8</v>
      </c>
    </row>
    <row r="6914" spans="1:3" x14ac:dyDescent="0.3">
      <c r="A6914">
        <v>69790</v>
      </c>
      <c r="B6914">
        <v>1</v>
      </c>
      <c r="C6914">
        <v>8</v>
      </c>
    </row>
    <row r="6915" spans="1:3" x14ac:dyDescent="0.3">
      <c r="A6915">
        <v>69037</v>
      </c>
      <c r="B6915">
        <v>1</v>
      </c>
      <c r="C6915">
        <v>8</v>
      </c>
    </row>
    <row r="6916" spans="1:3" x14ac:dyDescent="0.3">
      <c r="A6916">
        <v>69036</v>
      </c>
      <c r="B6916">
        <v>1</v>
      </c>
      <c r="C6916">
        <v>8</v>
      </c>
    </row>
    <row r="6917" spans="1:3" x14ac:dyDescent="0.3">
      <c r="A6917">
        <v>68962</v>
      </c>
      <c r="B6917">
        <v>1</v>
      </c>
      <c r="C6917">
        <v>8</v>
      </c>
    </row>
    <row r="6918" spans="1:3" x14ac:dyDescent="0.3">
      <c r="A6918">
        <v>68357</v>
      </c>
      <c r="B6918">
        <v>2</v>
      </c>
      <c r="C6918">
        <v>16</v>
      </c>
    </row>
    <row r="6919" spans="1:3" x14ac:dyDescent="0.3">
      <c r="A6919">
        <v>67801</v>
      </c>
      <c r="B6919">
        <v>1</v>
      </c>
      <c r="C6919">
        <v>8</v>
      </c>
    </row>
    <row r="6920" spans="1:3" x14ac:dyDescent="0.3">
      <c r="A6920">
        <v>67739</v>
      </c>
      <c r="B6920">
        <v>1</v>
      </c>
      <c r="C6920">
        <v>16</v>
      </c>
    </row>
    <row r="6921" spans="1:3" x14ac:dyDescent="0.3">
      <c r="A6921">
        <v>65749</v>
      </c>
      <c r="B6921">
        <v>1</v>
      </c>
      <c r="C6921">
        <v>8</v>
      </c>
    </row>
    <row r="6922" spans="1:3" x14ac:dyDescent="0.3">
      <c r="A6922">
        <v>65284</v>
      </c>
      <c r="B6922">
        <v>2</v>
      </c>
      <c r="C6922">
        <v>16</v>
      </c>
    </row>
    <row r="6923" spans="1:3" x14ac:dyDescent="0.3">
      <c r="A6923">
        <v>65136</v>
      </c>
      <c r="B6923">
        <v>2</v>
      </c>
      <c r="C6923">
        <v>16</v>
      </c>
    </row>
    <row r="6924" spans="1:3" x14ac:dyDescent="0.3">
      <c r="A6924">
        <v>65135</v>
      </c>
      <c r="B6924">
        <v>2</v>
      </c>
      <c r="C6924">
        <v>8</v>
      </c>
    </row>
    <row r="6925" spans="1:3" x14ac:dyDescent="0.3">
      <c r="A6925">
        <v>16753</v>
      </c>
      <c r="B6925">
        <v>1</v>
      </c>
      <c r="C6925">
        <v>8</v>
      </c>
    </row>
    <row r="6926" spans="1:3" x14ac:dyDescent="0.3">
      <c r="A6926">
        <v>64537</v>
      </c>
      <c r="B6926">
        <v>1</v>
      </c>
      <c r="C6926">
        <v>8</v>
      </c>
    </row>
    <row r="6927" spans="1:3" x14ac:dyDescent="0.3">
      <c r="A6927">
        <v>64426</v>
      </c>
      <c r="B6927">
        <v>1</v>
      </c>
      <c r="C6927">
        <v>8</v>
      </c>
    </row>
    <row r="6928" spans="1:3" x14ac:dyDescent="0.3">
      <c r="A6928">
        <v>64425</v>
      </c>
      <c r="B6928">
        <v>1</v>
      </c>
      <c r="C6928">
        <v>8</v>
      </c>
    </row>
    <row r="6929" spans="1:3" x14ac:dyDescent="0.3">
      <c r="A6929">
        <v>64270</v>
      </c>
      <c r="B6929">
        <v>1</v>
      </c>
      <c r="C6929">
        <v>8</v>
      </c>
    </row>
    <row r="6930" spans="1:3" x14ac:dyDescent="0.3">
      <c r="A6930">
        <v>62525</v>
      </c>
      <c r="B6930">
        <v>1</v>
      </c>
      <c r="C6930">
        <v>8</v>
      </c>
    </row>
    <row r="6931" spans="1:3" x14ac:dyDescent="0.3">
      <c r="A6931">
        <v>62262</v>
      </c>
      <c r="B6931">
        <v>1</v>
      </c>
      <c r="C6931">
        <v>8</v>
      </c>
    </row>
    <row r="6932" spans="1:3" x14ac:dyDescent="0.3">
      <c r="A6932">
        <v>61363</v>
      </c>
      <c r="B6932">
        <v>1</v>
      </c>
      <c r="C6932">
        <v>8</v>
      </c>
    </row>
    <row r="6933" spans="1:3" x14ac:dyDescent="0.3">
      <c r="A6933">
        <v>60324</v>
      </c>
      <c r="B6933">
        <v>1</v>
      </c>
      <c r="C6933">
        <v>8</v>
      </c>
    </row>
    <row r="6934" spans="1:3" x14ac:dyDescent="0.3">
      <c r="A6934">
        <v>59635</v>
      </c>
      <c r="B6934">
        <v>2</v>
      </c>
      <c r="C6934">
        <v>8</v>
      </c>
    </row>
    <row r="6935" spans="1:3" x14ac:dyDescent="0.3">
      <c r="A6935">
        <v>55860</v>
      </c>
      <c r="B6935">
        <v>1</v>
      </c>
      <c r="C6935">
        <v>8</v>
      </c>
    </row>
    <row r="6936" spans="1:3" x14ac:dyDescent="0.3">
      <c r="A6936">
        <v>55179</v>
      </c>
      <c r="B6936">
        <v>1</v>
      </c>
      <c r="C6936">
        <v>8</v>
      </c>
    </row>
    <row r="6937" spans="1:3" x14ac:dyDescent="0.3">
      <c r="A6937">
        <v>54245</v>
      </c>
      <c r="B6937">
        <v>1</v>
      </c>
      <c r="C6937">
        <v>16</v>
      </c>
    </row>
    <row r="6938" spans="1:3" x14ac:dyDescent="0.3">
      <c r="A6938">
        <v>53639</v>
      </c>
      <c r="B6938">
        <v>2</v>
      </c>
      <c r="C6938">
        <v>16</v>
      </c>
    </row>
    <row r="6939" spans="1:3" x14ac:dyDescent="0.3">
      <c r="A6939">
        <v>53129</v>
      </c>
      <c r="B6939">
        <v>1</v>
      </c>
      <c r="C6939">
        <v>8</v>
      </c>
    </row>
    <row r="6940" spans="1:3" x14ac:dyDescent="0.3">
      <c r="A6940">
        <v>51592</v>
      </c>
      <c r="B6940">
        <v>1</v>
      </c>
      <c r="C6940">
        <v>16</v>
      </c>
    </row>
    <row r="6941" spans="1:3" x14ac:dyDescent="0.3">
      <c r="A6941">
        <v>50767</v>
      </c>
      <c r="B6941">
        <v>1</v>
      </c>
      <c r="C6941">
        <v>8</v>
      </c>
    </row>
    <row r="6942" spans="1:3" x14ac:dyDescent="0.3">
      <c r="A6942">
        <v>50176</v>
      </c>
      <c r="B6942">
        <v>1</v>
      </c>
      <c r="C6942">
        <v>8</v>
      </c>
    </row>
    <row r="6943" spans="1:3" x14ac:dyDescent="0.3">
      <c r="A6943">
        <v>49766</v>
      </c>
      <c r="B6943">
        <v>1</v>
      </c>
      <c r="C6943">
        <v>8</v>
      </c>
    </row>
    <row r="6944" spans="1:3" x14ac:dyDescent="0.3">
      <c r="A6944">
        <v>49320</v>
      </c>
      <c r="B6944">
        <v>1</v>
      </c>
      <c r="C6944">
        <v>8</v>
      </c>
    </row>
    <row r="6945" spans="1:3" x14ac:dyDescent="0.3">
      <c r="A6945">
        <v>48514</v>
      </c>
      <c r="B6945">
        <v>1</v>
      </c>
      <c r="C6945">
        <v>8</v>
      </c>
    </row>
    <row r="6946" spans="1:3" x14ac:dyDescent="0.3">
      <c r="A6946">
        <v>47746</v>
      </c>
      <c r="B6946">
        <v>1</v>
      </c>
      <c r="C6946">
        <v>8</v>
      </c>
    </row>
    <row r="6947" spans="1:3" x14ac:dyDescent="0.3">
      <c r="A6947">
        <v>43550</v>
      </c>
      <c r="B6947">
        <v>1</v>
      </c>
      <c r="C6947">
        <v>8</v>
      </c>
    </row>
    <row r="6948" spans="1:3" x14ac:dyDescent="0.3">
      <c r="A6948">
        <v>41655</v>
      </c>
      <c r="B6948">
        <v>1</v>
      </c>
      <c r="C6948">
        <v>8</v>
      </c>
    </row>
    <row r="6949" spans="1:3" x14ac:dyDescent="0.3">
      <c r="A6949">
        <v>40410</v>
      </c>
      <c r="B6949">
        <v>2</v>
      </c>
      <c r="C6949">
        <v>8</v>
      </c>
    </row>
    <row r="6950" spans="1:3" x14ac:dyDescent="0.3">
      <c r="A6950">
        <v>39660</v>
      </c>
      <c r="B6950">
        <v>1</v>
      </c>
      <c r="C6950">
        <v>8</v>
      </c>
    </row>
    <row r="6951" spans="1:3" x14ac:dyDescent="0.3">
      <c r="A6951">
        <v>38495</v>
      </c>
      <c r="B6951">
        <v>1</v>
      </c>
      <c r="C6951">
        <v>8</v>
      </c>
    </row>
    <row r="6952" spans="1:3" x14ac:dyDescent="0.3">
      <c r="A6952">
        <v>38144</v>
      </c>
      <c r="B6952">
        <v>1</v>
      </c>
      <c r="C6952">
        <v>8</v>
      </c>
    </row>
    <row r="6953" spans="1:3" x14ac:dyDescent="0.3">
      <c r="A6953">
        <v>36078</v>
      </c>
      <c r="B6953">
        <v>1</v>
      </c>
      <c r="C6953">
        <v>8</v>
      </c>
    </row>
    <row r="6954" spans="1:3" x14ac:dyDescent="0.3">
      <c r="A6954">
        <v>34726</v>
      </c>
      <c r="B6954">
        <v>1</v>
      </c>
      <c r="C6954">
        <v>8</v>
      </c>
    </row>
    <row r="6955" spans="1:3" x14ac:dyDescent="0.3">
      <c r="A6955">
        <v>32971</v>
      </c>
      <c r="B6955">
        <v>1</v>
      </c>
      <c r="C6955">
        <v>8</v>
      </c>
    </row>
    <row r="6956" spans="1:3" x14ac:dyDescent="0.3">
      <c r="A6956">
        <v>27616</v>
      </c>
      <c r="B6956">
        <v>1</v>
      </c>
      <c r="C6956">
        <v>8</v>
      </c>
    </row>
    <row r="6957" spans="1:3" x14ac:dyDescent="0.3">
      <c r="A6957">
        <v>27352</v>
      </c>
      <c r="B6957">
        <v>1</v>
      </c>
      <c r="C6957">
        <v>8</v>
      </c>
    </row>
    <row r="6958" spans="1:3" x14ac:dyDescent="0.3">
      <c r="A6958">
        <v>80562</v>
      </c>
      <c r="B6958">
        <v>1</v>
      </c>
      <c r="C6958">
        <v>8</v>
      </c>
    </row>
    <row r="6959" spans="1:3" x14ac:dyDescent="0.3">
      <c r="A6959">
        <v>80167</v>
      </c>
      <c r="B6959">
        <v>1</v>
      </c>
      <c r="C6959">
        <v>8</v>
      </c>
    </row>
    <row r="6960" spans="1:3" x14ac:dyDescent="0.3">
      <c r="A6960">
        <v>79518</v>
      </c>
      <c r="B6960">
        <v>1</v>
      </c>
      <c r="C6960">
        <v>8</v>
      </c>
    </row>
    <row r="6961" spans="1:3" x14ac:dyDescent="0.3">
      <c r="A6961">
        <v>79396</v>
      </c>
      <c r="B6961">
        <v>1</v>
      </c>
      <c r="C6961">
        <v>8</v>
      </c>
    </row>
    <row r="6962" spans="1:3" x14ac:dyDescent="0.3">
      <c r="A6962">
        <v>79217</v>
      </c>
      <c r="B6962">
        <v>1</v>
      </c>
      <c r="C6962">
        <v>8</v>
      </c>
    </row>
    <row r="6963" spans="1:3" x14ac:dyDescent="0.3">
      <c r="A6963">
        <v>79193</v>
      </c>
      <c r="B6963">
        <v>1</v>
      </c>
      <c r="C6963">
        <v>8</v>
      </c>
    </row>
    <row r="6964" spans="1:3" x14ac:dyDescent="0.3">
      <c r="A6964">
        <v>79109</v>
      </c>
      <c r="B6964">
        <v>1</v>
      </c>
      <c r="C6964">
        <v>8</v>
      </c>
    </row>
    <row r="6965" spans="1:3" x14ac:dyDescent="0.3">
      <c r="A6965">
        <v>79108</v>
      </c>
      <c r="B6965">
        <v>1</v>
      </c>
      <c r="C6965">
        <v>8</v>
      </c>
    </row>
    <row r="6966" spans="1:3" x14ac:dyDescent="0.3">
      <c r="A6966">
        <v>78881</v>
      </c>
      <c r="B6966">
        <v>1</v>
      </c>
      <c r="C6966">
        <v>8</v>
      </c>
    </row>
    <row r="6967" spans="1:3" x14ac:dyDescent="0.3">
      <c r="A6967">
        <v>78879</v>
      </c>
      <c r="B6967">
        <v>1</v>
      </c>
      <c r="C6967">
        <v>8</v>
      </c>
    </row>
    <row r="6968" spans="1:3" x14ac:dyDescent="0.3">
      <c r="A6968">
        <v>78543</v>
      </c>
      <c r="B6968">
        <v>1</v>
      </c>
      <c r="C6968">
        <v>8</v>
      </c>
    </row>
    <row r="6969" spans="1:3" x14ac:dyDescent="0.3">
      <c r="A6969">
        <v>78542</v>
      </c>
      <c r="B6969">
        <v>1</v>
      </c>
      <c r="C6969">
        <v>8</v>
      </c>
    </row>
    <row r="6970" spans="1:3" x14ac:dyDescent="0.3">
      <c r="A6970">
        <v>78431</v>
      </c>
      <c r="B6970">
        <v>1</v>
      </c>
      <c r="C6970">
        <v>8</v>
      </c>
    </row>
    <row r="6971" spans="1:3" x14ac:dyDescent="0.3">
      <c r="A6971">
        <v>78430</v>
      </c>
      <c r="B6971">
        <v>1</v>
      </c>
      <c r="C6971">
        <v>8</v>
      </c>
    </row>
    <row r="6972" spans="1:3" x14ac:dyDescent="0.3">
      <c r="A6972">
        <v>78384</v>
      </c>
      <c r="B6972">
        <v>1</v>
      </c>
      <c r="C6972">
        <v>8</v>
      </c>
    </row>
    <row r="6973" spans="1:3" x14ac:dyDescent="0.3">
      <c r="A6973">
        <v>78320</v>
      </c>
      <c r="B6973">
        <v>1</v>
      </c>
      <c r="C6973">
        <v>8</v>
      </c>
    </row>
    <row r="6974" spans="1:3" x14ac:dyDescent="0.3">
      <c r="A6974">
        <v>78300</v>
      </c>
      <c r="B6974">
        <v>1</v>
      </c>
      <c r="C6974">
        <v>8</v>
      </c>
    </row>
    <row r="6975" spans="1:3" x14ac:dyDescent="0.3">
      <c r="A6975">
        <v>78088</v>
      </c>
      <c r="B6975">
        <v>1</v>
      </c>
      <c r="C6975">
        <v>8</v>
      </c>
    </row>
    <row r="6976" spans="1:3" x14ac:dyDescent="0.3">
      <c r="A6976">
        <v>77609</v>
      </c>
      <c r="B6976">
        <v>1</v>
      </c>
      <c r="C6976">
        <v>8</v>
      </c>
    </row>
    <row r="6977" spans="1:3" x14ac:dyDescent="0.3">
      <c r="A6977">
        <v>77410</v>
      </c>
      <c r="B6977">
        <v>1</v>
      </c>
      <c r="C6977">
        <v>8</v>
      </c>
    </row>
    <row r="6978" spans="1:3" x14ac:dyDescent="0.3">
      <c r="A6978">
        <v>77360</v>
      </c>
      <c r="B6978">
        <v>1</v>
      </c>
      <c r="C6978">
        <v>8</v>
      </c>
    </row>
    <row r="6979" spans="1:3" x14ac:dyDescent="0.3">
      <c r="A6979">
        <v>77173</v>
      </c>
      <c r="B6979">
        <v>1</v>
      </c>
      <c r="C6979">
        <v>16</v>
      </c>
    </row>
    <row r="6980" spans="1:3" x14ac:dyDescent="0.3">
      <c r="A6980">
        <v>77171</v>
      </c>
      <c r="B6980">
        <v>1</v>
      </c>
      <c r="C6980">
        <v>8</v>
      </c>
    </row>
    <row r="6981" spans="1:3" x14ac:dyDescent="0.3">
      <c r="A6981">
        <v>77170</v>
      </c>
      <c r="B6981">
        <v>1</v>
      </c>
      <c r="C6981">
        <v>8</v>
      </c>
    </row>
    <row r="6982" spans="1:3" x14ac:dyDescent="0.3">
      <c r="A6982">
        <v>76964</v>
      </c>
      <c r="B6982">
        <v>1</v>
      </c>
      <c r="C6982">
        <v>8</v>
      </c>
    </row>
    <row r="6983" spans="1:3" x14ac:dyDescent="0.3">
      <c r="A6983">
        <v>11492</v>
      </c>
      <c r="B6983">
        <v>1</v>
      </c>
      <c r="C6983">
        <v>8</v>
      </c>
    </row>
    <row r="6984" spans="1:3" x14ac:dyDescent="0.3">
      <c r="A6984">
        <v>76318</v>
      </c>
      <c r="B6984">
        <v>1</v>
      </c>
      <c r="C6984">
        <v>8</v>
      </c>
    </row>
    <row r="6985" spans="1:3" x14ac:dyDescent="0.3">
      <c r="A6985">
        <v>76016</v>
      </c>
      <c r="B6985">
        <v>1</v>
      </c>
      <c r="C6985">
        <v>8</v>
      </c>
    </row>
    <row r="6986" spans="1:3" x14ac:dyDescent="0.3">
      <c r="A6986">
        <v>75854</v>
      </c>
      <c r="B6986">
        <v>1</v>
      </c>
      <c r="C6986">
        <v>8</v>
      </c>
    </row>
    <row r="6987" spans="1:3" x14ac:dyDescent="0.3">
      <c r="A6987">
        <v>75753</v>
      </c>
      <c r="B6987">
        <v>1</v>
      </c>
      <c r="C6987">
        <v>8</v>
      </c>
    </row>
    <row r="6988" spans="1:3" x14ac:dyDescent="0.3">
      <c r="A6988">
        <v>75394</v>
      </c>
      <c r="B6988">
        <v>1</v>
      </c>
      <c r="C6988">
        <v>8</v>
      </c>
    </row>
    <row r="6989" spans="1:3" x14ac:dyDescent="0.3">
      <c r="A6989">
        <v>75250</v>
      </c>
      <c r="B6989">
        <v>1</v>
      </c>
      <c r="C6989">
        <v>8</v>
      </c>
    </row>
    <row r="6990" spans="1:3" x14ac:dyDescent="0.3">
      <c r="A6990">
        <v>75065</v>
      </c>
      <c r="B6990">
        <v>1</v>
      </c>
      <c r="C6990">
        <v>8</v>
      </c>
    </row>
    <row r="6991" spans="1:3" x14ac:dyDescent="0.3">
      <c r="A6991">
        <v>74940</v>
      </c>
      <c r="B6991">
        <v>1</v>
      </c>
      <c r="C6991">
        <v>8</v>
      </c>
    </row>
    <row r="6992" spans="1:3" x14ac:dyDescent="0.3">
      <c r="A6992">
        <v>74745</v>
      </c>
      <c r="B6992">
        <v>1</v>
      </c>
      <c r="C6992">
        <v>8</v>
      </c>
    </row>
    <row r="6993" spans="1:3" x14ac:dyDescent="0.3">
      <c r="A6993">
        <v>74527</v>
      </c>
      <c r="B6993">
        <v>1</v>
      </c>
      <c r="C6993">
        <v>16</v>
      </c>
    </row>
    <row r="6994" spans="1:3" x14ac:dyDescent="0.3">
      <c r="A6994">
        <v>74526</v>
      </c>
      <c r="B6994">
        <v>1</v>
      </c>
      <c r="C6994">
        <v>8</v>
      </c>
    </row>
    <row r="6995" spans="1:3" x14ac:dyDescent="0.3">
      <c r="A6995">
        <v>74466</v>
      </c>
      <c r="B6995">
        <v>1</v>
      </c>
      <c r="C6995">
        <v>8</v>
      </c>
    </row>
    <row r="6996" spans="1:3" x14ac:dyDescent="0.3">
      <c r="A6996">
        <v>74465</v>
      </c>
      <c r="B6996">
        <v>1</v>
      </c>
      <c r="C6996">
        <v>8</v>
      </c>
    </row>
    <row r="6997" spans="1:3" x14ac:dyDescent="0.3">
      <c r="A6997">
        <v>74154</v>
      </c>
      <c r="B6997">
        <v>1</v>
      </c>
      <c r="C6997">
        <v>16</v>
      </c>
    </row>
    <row r="6998" spans="1:3" x14ac:dyDescent="0.3">
      <c r="A6998">
        <v>74153</v>
      </c>
      <c r="B6998">
        <v>1</v>
      </c>
      <c r="C6998">
        <v>8</v>
      </c>
    </row>
    <row r="6999" spans="1:3" x14ac:dyDescent="0.3">
      <c r="A6999">
        <v>74152</v>
      </c>
      <c r="B6999">
        <v>1</v>
      </c>
      <c r="C6999">
        <v>8</v>
      </c>
    </row>
    <row r="7000" spans="1:3" x14ac:dyDescent="0.3">
      <c r="A7000">
        <v>73206</v>
      </c>
      <c r="B7000">
        <v>1</v>
      </c>
      <c r="C7000">
        <v>8</v>
      </c>
    </row>
    <row r="7001" spans="1:3" x14ac:dyDescent="0.3">
      <c r="A7001">
        <v>72854</v>
      </c>
      <c r="B7001">
        <v>1</v>
      </c>
      <c r="C7001">
        <v>8</v>
      </c>
    </row>
    <row r="7002" spans="1:3" x14ac:dyDescent="0.3">
      <c r="A7002">
        <v>72850</v>
      </c>
      <c r="B7002">
        <v>1</v>
      </c>
      <c r="C7002">
        <v>8</v>
      </c>
    </row>
    <row r="7003" spans="1:3" x14ac:dyDescent="0.3">
      <c r="A7003">
        <v>72576</v>
      </c>
      <c r="B7003">
        <v>1</v>
      </c>
      <c r="C7003">
        <v>8</v>
      </c>
    </row>
    <row r="7004" spans="1:3" x14ac:dyDescent="0.3">
      <c r="A7004">
        <v>72144</v>
      </c>
      <c r="B7004">
        <v>1</v>
      </c>
      <c r="C7004">
        <v>8</v>
      </c>
    </row>
    <row r="7005" spans="1:3" x14ac:dyDescent="0.3">
      <c r="A7005">
        <v>72143</v>
      </c>
      <c r="B7005">
        <v>1</v>
      </c>
      <c r="C7005">
        <v>8</v>
      </c>
    </row>
    <row r="7006" spans="1:3" x14ac:dyDescent="0.3">
      <c r="A7006">
        <v>72142</v>
      </c>
      <c r="B7006">
        <v>1</v>
      </c>
      <c r="C7006">
        <v>8</v>
      </c>
    </row>
    <row r="7007" spans="1:3" x14ac:dyDescent="0.3">
      <c r="A7007">
        <v>71888</v>
      </c>
      <c r="B7007">
        <v>1</v>
      </c>
      <c r="C7007">
        <v>8</v>
      </c>
    </row>
    <row r="7008" spans="1:3" x14ac:dyDescent="0.3">
      <c r="A7008">
        <v>71473</v>
      </c>
      <c r="B7008">
        <v>1</v>
      </c>
      <c r="C7008">
        <v>8</v>
      </c>
    </row>
    <row r="7009" spans="1:3" x14ac:dyDescent="0.3">
      <c r="A7009">
        <v>71420</v>
      </c>
      <c r="B7009">
        <v>1</v>
      </c>
      <c r="C7009">
        <v>8</v>
      </c>
    </row>
    <row r="7010" spans="1:3" x14ac:dyDescent="0.3">
      <c r="A7010">
        <v>14750</v>
      </c>
      <c r="B7010">
        <v>1</v>
      </c>
      <c r="C7010">
        <v>16</v>
      </c>
    </row>
    <row r="7011" spans="1:3" x14ac:dyDescent="0.3">
      <c r="A7011">
        <v>70627</v>
      </c>
      <c r="B7011">
        <v>1</v>
      </c>
      <c r="C7011">
        <v>16</v>
      </c>
    </row>
    <row r="7012" spans="1:3" x14ac:dyDescent="0.3">
      <c r="A7012">
        <v>70480</v>
      </c>
      <c r="B7012">
        <v>1</v>
      </c>
      <c r="C7012">
        <v>8</v>
      </c>
    </row>
    <row r="7013" spans="1:3" x14ac:dyDescent="0.3">
      <c r="A7013">
        <v>70246</v>
      </c>
      <c r="B7013">
        <v>1</v>
      </c>
      <c r="C7013">
        <v>8</v>
      </c>
    </row>
    <row r="7014" spans="1:3" x14ac:dyDescent="0.3">
      <c r="A7014">
        <v>70053</v>
      </c>
      <c r="B7014">
        <v>1</v>
      </c>
      <c r="C7014">
        <v>8</v>
      </c>
    </row>
    <row r="7015" spans="1:3" x14ac:dyDescent="0.3">
      <c r="A7015">
        <v>69566</v>
      </c>
      <c r="B7015">
        <v>1</v>
      </c>
      <c r="C7015">
        <v>8</v>
      </c>
    </row>
    <row r="7016" spans="1:3" x14ac:dyDescent="0.3">
      <c r="A7016">
        <v>69311</v>
      </c>
      <c r="B7016">
        <v>1</v>
      </c>
      <c r="C7016">
        <v>8</v>
      </c>
    </row>
    <row r="7017" spans="1:3" x14ac:dyDescent="0.3">
      <c r="A7017">
        <v>68358</v>
      </c>
      <c r="B7017">
        <v>1</v>
      </c>
      <c r="C7017">
        <v>8</v>
      </c>
    </row>
    <row r="7018" spans="1:3" x14ac:dyDescent="0.3">
      <c r="A7018">
        <v>67033</v>
      </c>
      <c r="B7018">
        <v>1</v>
      </c>
      <c r="C7018">
        <v>8</v>
      </c>
    </row>
    <row r="7019" spans="1:3" x14ac:dyDescent="0.3">
      <c r="A7019">
        <v>67031</v>
      </c>
      <c r="B7019">
        <v>1</v>
      </c>
      <c r="C7019">
        <v>8</v>
      </c>
    </row>
    <row r="7020" spans="1:3" x14ac:dyDescent="0.3">
      <c r="A7020">
        <v>66564</v>
      </c>
      <c r="B7020">
        <v>1</v>
      </c>
      <c r="C7020">
        <v>8</v>
      </c>
    </row>
    <row r="7021" spans="1:3" x14ac:dyDescent="0.3">
      <c r="A7021">
        <v>66563</v>
      </c>
      <c r="B7021">
        <v>1</v>
      </c>
      <c r="C7021">
        <v>8</v>
      </c>
    </row>
    <row r="7022" spans="1:3" x14ac:dyDescent="0.3">
      <c r="A7022">
        <v>66407</v>
      </c>
      <c r="B7022">
        <v>1</v>
      </c>
      <c r="C7022">
        <v>8</v>
      </c>
    </row>
    <row r="7023" spans="1:3" x14ac:dyDescent="0.3">
      <c r="A7023">
        <v>66406</v>
      </c>
      <c r="B7023">
        <v>1</v>
      </c>
      <c r="C7023">
        <v>8</v>
      </c>
    </row>
    <row r="7024" spans="1:3" x14ac:dyDescent="0.3">
      <c r="A7024">
        <v>66232</v>
      </c>
      <c r="B7024">
        <v>1</v>
      </c>
      <c r="C7024">
        <v>8</v>
      </c>
    </row>
    <row r="7025" spans="1:3" x14ac:dyDescent="0.3">
      <c r="A7025">
        <v>65750</v>
      </c>
      <c r="B7025">
        <v>1</v>
      </c>
      <c r="C7025">
        <v>8</v>
      </c>
    </row>
    <row r="7026" spans="1:3" x14ac:dyDescent="0.3">
      <c r="A7026">
        <v>65544</v>
      </c>
      <c r="B7026">
        <v>2</v>
      </c>
      <c r="C7026">
        <v>16</v>
      </c>
    </row>
    <row r="7027" spans="1:3" x14ac:dyDescent="0.3">
      <c r="A7027">
        <v>65544</v>
      </c>
      <c r="B7027">
        <v>2</v>
      </c>
      <c r="C7027">
        <v>16</v>
      </c>
    </row>
    <row r="7028" spans="1:3" x14ac:dyDescent="0.3">
      <c r="A7028">
        <v>65511</v>
      </c>
      <c r="B7028">
        <v>1</v>
      </c>
      <c r="C7028">
        <v>8</v>
      </c>
    </row>
    <row r="7029" spans="1:3" x14ac:dyDescent="0.3">
      <c r="A7029">
        <v>64424</v>
      </c>
      <c r="B7029">
        <v>1</v>
      </c>
      <c r="C7029">
        <v>16</v>
      </c>
    </row>
    <row r="7030" spans="1:3" x14ac:dyDescent="0.3">
      <c r="A7030">
        <v>64422</v>
      </c>
      <c r="B7030">
        <v>2</v>
      </c>
      <c r="C7030">
        <v>16</v>
      </c>
    </row>
    <row r="7031" spans="1:3" x14ac:dyDescent="0.3">
      <c r="A7031">
        <v>64422</v>
      </c>
      <c r="B7031">
        <v>2</v>
      </c>
      <c r="C7031">
        <v>16</v>
      </c>
    </row>
    <row r="7032" spans="1:3" x14ac:dyDescent="0.3">
      <c r="A7032">
        <v>63984</v>
      </c>
      <c r="B7032">
        <v>1</v>
      </c>
      <c r="C7032">
        <v>16</v>
      </c>
    </row>
    <row r="7033" spans="1:3" x14ac:dyDescent="0.3">
      <c r="A7033">
        <v>63441</v>
      </c>
      <c r="B7033">
        <v>1</v>
      </c>
      <c r="C7033">
        <v>8</v>
      </c>
    </row>
    <row r="7034" spans="1:3" x14ac:dyDescent="0.3">
      <c r="A7034">
        <v>63440</v>
      </c>
      <c r="B7034">
        <v>1</v>
      </c>
      <c r="C7034">
        <v>8</v>
      </c>
    </row>
    <row r="7035" spans="1:3" x14ac:dyDescent="0.3">
      <c r="A7035">
        <v>63438</v>
      </c>
      <c r="B7035">
        <v>1</v>
      </c>
      <c r="C7035">
        <v>8</v>
      </c>
    </row>
    <row r="7036" spans="1:3" x14ac:dyDescent="0.3">
      <c r="A7036">
        <v>63133</v>
      </c>
      <c r="B7036">
        <v>1</v>
      </c>
      <c r="C7036">
        <v>8</v>
      </c>
    </row>
    <row r="7037" spans="1:3" x14ac:dyDescent="0.3">
      <c r="A7037">
        <v>62687</v>
      </c>
      <c r="B7037">
        <v>1</v>
      </c>
      <c r="C7037">
        <v>16</v>
      </c>
    </row>
    <row r="7038" spans="1:3" x14ac:dyDescent="0.3">
      <c r="A7038">
        <v>62600</v>
      </c>
      <c r="B7038">
        <v>1</v>
      </c>
      <c r="C7038">
        <v>8</v>
      </c>
    </row>
    <row r="7039" spans="1:3" x14ac:dyDescent="0.3">
      <c r="A7039">
        <v>62599</v>
      </c>
      <c r="B7039">
        <v>1</v>
      </c>
      <c r="C7039">
        <v>16</v>
      </c>
    </row>
    <row r="7040" spans="1:3" x14ac:dyDescent="0.3">
      <c r="A7040">
        <v>62160</v>
      </c>
      <c r="B7040">
        <v>1</v>
      </c>
      <c r="C7040">
        <v>8</v>
      </c>
    </row>
    <row r="7041" spans="1:3" x14ac:dyDescent="0.3">
      <c r="A7041">
        <v>61827</v>
      </c>
      <c r="B7041">
        <v>1</v>
      </c>
      <c r="C7041">
        <v>16</v>
      </c>
    </row>
    <row r="7042" spans="1:3" x14ac:dyDescent="0.3">
      <c r="A7042">
        <v>61509</v>
      </c>
      <c r="B7042">
        <v>1</v>
      </c>
      <c r="C7042">
        <v>8</v>
      </c>
    </row>
    <row r="7043" spans="1:3" x14ac:dyDescent="0.3">
      <c r="A7043">
        <v>61128</v>
      </c>
      <c r="B7043">
        <v>1</v>
      </c>
      <c r="C7043">
        <v>16</v>
      </c>
    </row>
    <row r="7044" spans="1:3" x14ac:dyDescent="0.3">
      <c r="A7044">
        <v>60822</v>
      </c>
      <c r="B7044">
        <v>1</v>
      </c>
      <c r="C7044">
        <v>16</v>
      </c>
    </row>
    <row r="7045" spans="1:3" x14ac:dyDescent="0.3">
      <c r="A7045">
        <v>60721</v>
      </c>
      <c r="B7045">
        <v>1</v>
      </c>
      <c r="C7045">
        <v>16</v>
      </c>
    </row>
    <row r="7046" spans="1:3" x14ac:dyDescent="0.3">
      <c r="A7046">
        <v>60075</v>
      </c>
      <c r="B7046">
        <v>1</v>
      </c>
      <c r="C7046">
        <v>8</v>
      </c>
    </row>
    <row r="7047" spans="1:3" x14ac:dyDescent="0.3">
      <c r="A7047">
        <v>60074</v>
      </c>
      <c r="B7047">
        <v>1</v>
      </c>
      <c r="C7047">
        <v>8</v>
      </c>
    </row>
    <row r="7048" spans="1:3" x14ac:dyDescent="0.3">
      <c r="A7048">
        <v>59839</v>
      </c>
      <c r="B7048">
        <v>1</v>
      </c>
      <c r="C7048">
        <v>16</v>
      </c>
    </row>
    <row r="7049" spans="1:3" x14ac:dyDescent="0.3">
      <c r="A7049">
        <v>59363</v>
      </c>
      <c r="B7049">
        <v>1</v>
      </c>
      <c r="C7049">
        <v>8</v>
      </c>
    </row>
    <row r="7050" spans="1:3" x14ac:dyDescent="0.3">
      <c r="A7050">
        <v>58875</v>
      </c>
      <c r="B7050">
        <v>1</v>
      </c>
      <c r="C7050">
        <v>8</v>
      </c>
    </row>
    <row r="7051" spans="1:3" x14ac:dyDescent="0.3">
      <c r="A7051">
        <v>58874</v>
      </c>
      <c r="B7051">
        <v>1</v>
      </c>
      <c r="C7051">
        <v>8</v>
      </c>
    </row>
    <row r="7052" spans="1:3" x14ac:dyDescent="0.3">
      <c r="A7052">
        <v>57788</v>
      </c>
      <c r="B7052">
        <v>1</v>
      </c>
      <c r="C7052">
        <v>8</v>
      </c>
    </row>
    <row r="7053" spans="1:3" x14ac:dyDescent="0.3">
      <c r="A7053">
        <v>57438</v>
      </c>
      <c r="B7053">
        <v>1</v>
      </c>
      <c r="C7053">
        <v>8</v>
      </c>
    </row>
    <row r="7054" spans="1:3" x14ac:dyDescent="0.3">
      <c r="A7054">
        <v>56400</v>
      </c>
      <c r="B7054">
        <v>1</v>
      </c>
      <c r="C7054">
        <v>8</v>
      </c>
    </row>
    <row r="7055" spans="1:3" x14ac:dyDescent="0.3">
      <c r="A7055">
        <v>55722</v>
      </c>
      <c r="B7055">
        <v>1</v>
      </c>
      <c r="C7055">
        <v>8</v>
      </c>
    </row>
    <row r="7056" spans="1:3" x14ac:dyDescent="0.3">
      <c r="A7056">
        <v>53970</v>
      </c>
      <c r="B7056">
        <v>1</v>
      </c>
      <c r="C7056">
        <v>16</v>
      </c>
    </row>
    <row r="7057" spans="1:3" x14ac:dyDescent="0.3">
      <c r="A7057">
        <v>53968</v>
      </c>
      <c r="B7057">
        <v>2</v>
      </c>
      <c r="C7057">
        <v>16</v>
      </c>
    </row>
    <row r="7058" spans="1:3" x14ac:dyDescent="0.3">
      <c r="A7058">
        <v>53968</v>
      </c>
      <c r="B7058">
        <v>2</v>
      </c>
      <c r="C7058">
        <v>16</v>
      </c>
    </row>
    <row r="7059" spans="1:3" x14ac:dyDescent="0.3">
      <c r="A7059">
        <v>53421</v>
      </c>
      <c r="B7059">
        <v>1</v>
      </c>
      <c r="C7059">
        <v>8</v>
      </c>
    </row>
    <row r="7060" spans="1:3" x14ac:dyDescent="0.3">
      <c r="A7060">
        <v>53175</v>
      </c>
      <c r="B7060">
        <v>1</v>
      </c>
      <c r="C7060">
        <v>8</v>
      </c>
    </row>
    <row r="7061" spans="1:3" x14ac:dyDescent="0.3">
      <c r="A7061">
        <v>51594</v>
      </c>
      <c r="B7061">
        <v>1</v>
      </c>
      <c r="C7061">
        <v>8</v>
      </c>
    </row>
    <row r="7062" spans="1:3" x14ac:dyDescent="0.3">
      <c r="A7062">
        <v>50769</v>
      </c>
      <c r="B7062">
        <v>1</v>
      </c>
      <c r="C7062">
        <v>16</v>
      </c>
    </row>
    <row r="7063" spans="1:3" x14ac:dyDescent="0.3">
      <c r="A7063">
        <v>50768</v>
      </c>
      <c r="B7063">
        <v>1</v>
      </c>
      <c r="C7063">
        <v>16</v>
      </c>
    </row>
    <row r="7064" spans="1:3" x14ac:dyDescent="0.3">
      <c r="A7064">
        <v>50025</v>
      </c>
      <c r="B7064">
        <v>1</v>
      </c>
      <c r="C7064">
        <v>8</v>
      </c>
    </row>
    <row r="7065" spans="1:3" x14ac:dyDescent="0.3">
      <c r="A7065">
        <v>49770</v>
      </c>
      <c r="B7065">
        <v>1</v>
      </c>
      <c r="C7065">
        <v>8</v>
      </c>
    </row>
    <row r="7066" spans="1:3" x14ac:dyDescent="0.3">
      <c r="A7066">
        <v>49202</v>
      </c>
      <c r="B7066">
        <v>1</v>
      </c>
      <c r="C7066">
        <v>8</v>
      </c>
    </row>
    <row r="7067" spans="1:3" x14ac:dyDescent="0.3">
      <c r="A7067">
        <v>41652</v>
      </c>
      <c r="B7067">
        <v>1</v>
      </c>
      <c r="C7067">
        <v>8</v>
      </c>
    </row>
    <row r="7068" spans="1:3" x14ac:dyDescent="0.3">
      <c r="A7068">
        <v>41552</v>
      </c>
      <c r="B7068">
        <v>1</v>
      </c>
      <c r="C7068">
        <v>16</v>
      </c>
    </row>
    <row r="7069" spans="1:3" x14ac:dyDescent="0.3">
      <c r="A7069">
        <v>41551</v>
      </c>
      <c r="B7069">
        <v>1</v>
      </c>
      <c r="C7069">
        <v>16</v>
      </c>
    </row>
    <row r="7070" spans="1:3" x14ac:dyDescent="0.3">
      <c r="A7070">
        <v>41111</v>
      </c>
      <c r="B7070">
        <v>1</v>
      </c>
      <c r="C7070">
        <v>8</v>
      </c>
    </row>
    <row r="7071" spans="1:3" x14ac:dyDescent="0.3">
      <c r="A7071">
        <v>40354</v>
      </c>
      <c r="B7071">
        <v>1</v>
      </c>
      <c r="C7071">
        <v>8</v>
      </c>
    </row>
    <row r="7072" spans="1:3" x14ac:dyDescent="0.3">
      <c r="A7072">
        <v>40351</v>
      </c>
      <c r="B7072">
        <v>1</v>
      </c>
      <c r="C7072">
        <v>8</v>
      </c>
    </row>
    <row r="7073" spans="1:3" x14ac:dyDescent="0.3">
      <c r="A7073">
        <v>36670</v>
      </c>
      <c r="B7073">
        <v>1</v>
      </c>
      <c r="C7073">
        <v>16</v>
      </c>
    </row>
    <row r="7074" spans="1:3" x14ac:dyDescent="0.3">
      <c r="A7074">
        <v>32599</v>
      </c>
      <c r="B7074">
        <v>1</v>
      </c>
      <c r="C7074">
        <v>8</v>
      </c>
    </row>
    <row r="7075" spans="1:3" x14ac:dyDescent="0.3">
      <c r="A7075">
        <v>32084</v>
      </c>
      <c r="B7075">
        <v>1</v>
      </c>
      <c r="C7075">
        <v>8</v>
      </c>
    </row>
    <row r="7076" spans="1:3" x14ac:dyDescent="0.3">
      <c r="A7076">
        <v>31561</v>
      </c>
      <c r="B7076">
        <v>1</v>
      </c>
      <c r="C7076">
        <v>8</v>
      </c>
    </row>
    <row r="7077" spans="1:3" x14ac:dyDescent="0.3">
      <c r="A7077">
        <v>29253</v>
      </c>
      <c r="B7077">
        <v>1</v>
      </c>
      <c r="C7077">
        <v>8</v>
      </c>
    </row>
    <row r="7078" spans="1:3" x14ac:dyDescent="0.3">
      <c r="A7078">
        <v>27351</v>
      </c>
      <c r="B7078">
        <v>1</v>
      </c>
      <c r="C7078">
        <v>8</v>
      </c>
    </row>
    <row r="7079" spans="1:3" x14ac:dyDescent="0.3">
      <c r="A7079">
        <v>25024</v>
      </c>
      <c r="B7079">
        <v>1</v>
      </c>
      <c r="C7079">
        <v>8</v>
      </c>
    </row>
    <row r="7080" spans="1:3" x14ac:dyDescent="0.3">
      <c r="A7080">
        <v>12274</v>
      </c>
      <c r="B7080">
        <v>3</v>
      </c>
      <c r="C7080">
        <v>16</v>
      </c>
    </row>
    <row r="7081" spans="1:3" x14ac:dyDescent="0.3">
      <c r="A7081">
        <v>75078</v>
      </c>
      <c r="B7081">
        <v>1</v>
      </c>
      <c r="C7081">
        <v>8</v>
      </c>
    </row>
    <row r="7082" spans="1:3" x14ac:dyDescent="0.3">
      <c r="A7082">
        <v>55154</v>
      </c>
      <c r="B7082">
        <v>1</v>
      </c>
      <c r="C7082">
        <v>16</v>
      </c>
    </row>
    <row r="7083" spans="1:3" x14ac:dyDescent="0.3">
      <c r="A7083">
        <v>47389</v>
      </c>
      <c r="B7083">
        <v>1</v>
      </c>
      <c r="C7083">
        <v>8</v>
      </c>
    </row>
    <row r="7084" spans="1:3" x14ac:dyDescent="0.3">
      <c r="A7084">
        <v>29954</v>
      </c>
      <c r="B7084">
        <v>1</v>
      </c>
      <c r="C7084">
        <v>8</v>
      </c>
    </row>
    <row r="7085" spans="1:3" x14ac:dyDescent="0.3">
      <c r="A7085">
        <v>76464</v>
      </c>
      <c r="B7085">
        <v>1</v>
      </c>
      <c r="C7085">
        <v>8</v>
      </c>
    </row>
    <row r="7086" spans="1:3" x14ac:dyDescent="0.3">
      <c r="A7086">
        <v>73274</v>
      </c>
      <c r="B7086">
        <v>1</v>
      </c>
      <c r="C7086">
        <v>8</v>
      </c>
    </row>
    <row r="7087" spans="1:3" x14ac:dyDescent="0.3">
      <c r="A7087">
        <v>65232</v>
      </c>
      <c r="B7087">
        <v>1</v>
      </c>
      <c r="C7087">
        <v>8</v>
      </c>
    </row>
    <row r="7088" spans="1:3" x14ac:dyDescent="0.3">
      <c r="A7088">
        <v>54255</v>
      </c>
      <c r="B7088">
        <v>1</v>
      </c>
      <c r="C7088">
        <v>16</v>
      </c>
    </row>
    <row r="7089" spans="1:3" x14ac:dyDescent="0.3">
      <c r="A7089">
        <v>53190</v>
      </c>
      <c r="B7089">
        <v>1</v>
      </c>
      <c r="C7089">
        <v>8</v>
      </c>
    </row>
    <row r="7090" spans="1:3" x14ac:dyDescent="0.3">
      <c r="A7090">
        <v>51945</v>
      </c>
      <c r="B7090">
        <v>1</v>
      </c>
      <c r="C7090">
        <v>16</v>
      </c>
    </row>
    <row r="7091" spans="1:3" x14ac:dyDescent="0.3">
      <c r="A7091">
        <v>20534</v>
      </c>
      <c r="B7091">
        <v>1</v>
      </c>
      <c r="C7091">
        <v>8</v>
      </c>
    </row>
    <row r="7092" spans="1:3" x14ac:dyDescent="0.3">
      <c r="A7092">
        <v>30368</v>
      </c>
      <c r="B7092">
        <v>1</v>
      </c>
      <c r="C7092">
        <v>8</v>
      </c>
    </row>
    <row r="7093" spans="1:3" x14ac:dyDescent="0.3">
      <c r="A7093">
        <v>29018</v>
      </c>
      <c r="B7093">
        <v>1</v>
      </c>
      <c r="C7093">
        <v>8</v>
      </c>
    </row>
    <row r="7094" spans="1:3" x14ac:dyDescent="0.3">
      <c r="A7094">
        <v>28285</v>
      </c>
      <c r="B7094">
        <v>1</v>
      </c>
      <c r="C7094">
        <v>8</v>
      </c>
    </row>
    <row r="7095" spans="1:3" x14ac:dyDescent="0.3">
      <c r="A7095">
        <v>80388</v>
      </c>
      <c r="B7095">
        <v>1</v>
      </c>
      <c r="C7095">
        <v>8</v>
      </c>
    </row>
    <row r="7096" spans="1:3" x14ac:dyDescent="0.3">
      <c r="A7096">
        <v>80290</v>
      </c>
      <c r="B7096">
        <v>1</v>
      </c>
      <c r="C7096">
        <v>8</v>
      </c>
    </row>
    <row r="7097" spans="1:3" x14ac:dyDescent="0.3">
      <c r="A7097">
        <v>80045</v>
      </c>
      <c r="B7097">
        <v>1</v>
      </c>
      <c r="C7097">
        <v>8</v>
      </c>
    </row>
    <row r="7098" spans="1:3" x14ac:dyDescent="0.3">
      <c r="A7098">
        <v>80042</v>
      </c>
      <c r="B7098">
        <v>1</v>
      </c>
      <c r="C7098">
        <v>8</v>
      </c>
    </row>
    <row r="7099" spans="1:3" x14ac:dyDescent="0.3">
      <c r="A7099">
        <v>80041</v>
      </c>
      <c r="B7099">
        <v>1</v>
      </c>
      <c r="C7099">
        <v>8</v>
      </c>
    </row>
    <row r="7100" spans="1:3" x14ac:dyDescent="0.3">
      <c r="A7100">
        <v>79947</v>
      </c>
      <c r="B7100">
        <v>1</v>
      </c>
      <c r="C7100">
        <v>8</v>
      </c>
    </row>
    <row r="7101" spans="1:3" x14ac:dyDescent="0.3">
      <c r="A7101">
        <v>79401</v>
      </c>
      <c r="B7101">
        <v>1</v>
      </c>
      <c r="C7101">
        <v>8</v>
      </c>
    </row>
    <row r="7102" spans="1:3" x14ac:dyDescent="0.3">
      <c r="A7102">
        <v>79195</v>
      </c>
      <c r="B7102">
        <v>1</v>
      </c>
      <c r="C7102">
        <v>8</v>
      </c>
    </row>
    <row r="7103" spans="1:3" x14ac:dyDescent="0.3">
      <c r="A7103">
        <v>76968</v>
      </c>
      <c r="B7103">
        <v>1</v>
      </c>
      <c r="C7103">
        <v>8</v>
      </c>
    </row>
    <row r="7104" spans="1:3" x14ac:dyDescent="0.3">
      <c r="A7104">
        <v>76608</v>
      </c>
      <c r="B7104">
        <v>1</v>
      </c>
      <c r="C7104">
        <v>8</v>
      </c>
    </row>
    <row r="7105" spans="1:3" x14ac:dyDescent="0.3">
      <c r="A7105">
        <v>76466</v>
      </c>
      <c r="B7105">
        <v>1</v>
      </c>
      <c r="C7105">
        <v>8</v>
      </c>
    </row>
    <row r="7106" spans="1:3" x14ac:dyDescent="0.3">
      <c r="A7106">
        <v>75601</v>
      </c>
      <c r="B7106">
        <v>2</v>
      </c>
      <c r="C7106">
        <v>16</v>
      </c>
    </row>
    <row r="7107" spans="1:3" x14ac:dyDescent="0.3">
      <c r="A7107">
        <v>75477</v>
      </c>
      <c r="B7107">
        <v>1</v>
      </c>
      <c r="C7107">
        <v>8</v>
      </c>
    </row>
    <row r="7108" spans="1:3" x14ac:dyDescent="0.3">
      <c r="A7108">
        <v>13357</v>
      </c>
      <c r="B7108">
        <v>2</v>
      </c>
      <c r="C7108">
        <v>8</v>
      </c>
    </row>
    <row r="7109" spans="1:3" x14ac:dyDescent="0.3">
      <c r="A7109">
        <v>13491</v>
      </c>
      <c r="B7109">
        <v>1</v>
      </c>
      <c r="C7109">
        <v>8</v>
      </c>
    </row>
    <row r="7110" spans="1:3" x14ac:dyDescent="0.3">
      <c r="A7110">
        <v>69337</v>
      </c>
      <c r="B7110">
        <v>1</v>
      </c>
      <c r="C7110">
        <v>8</v>
      </c>
    </row>
    <row r="7111" spans="1:3" x14ac:dyDescent="0.3">
      <c r="A7111">
        <v>68892</v>
      </c>
      <c r="B7111">
        <v>1</v>
      </c>
      <c r="C7111">
        <v>8</v>
      </c>
    </row>
    <row r="7112" spans="1:3" x14ac:dyDescent="0.3">
      <c r="A7112">
        <v>66581</v>
      </c>
      <c r="B7112">
        <v>1</v>
      </c>
      <c r="C7112">
        <v>8</v>
      </c>
    </row>
    <row r="7113" spans="1:3" x14ac:dyDescent="0.3">
      <c r="A7113">
        <v>16412</v>
      </c>
      <c r="B7113">
        <v>1</v>
      </c>
      <c r="C7113">
        <v>16</v>
      </c>
    </row>
    <row r="7114" spans="1:3" x14ac:dyDescent="0.3">
      <c r="A7114">
        <v>16755</v>
      </c>
      <c r="B7114">
        <v>1</v>
      </c>
      <c r="C7114">
        <v>8</v>
      </c>
    </row>
    <row r="7115" spans="1:3" x14ac:dyDescent="0.3">
      <c r="A7115">
        <v>62760</v>
      </c>
      <c r="B7115">
        <v>1</v>
      </c>
      <c r="C7115">
        <v>8</v>
      </c>
    </row>
    <row r="7116" spans="1:3" x14ac:dyDescent="0.3">
      <c r="A7116">
        <v>60991</v>
      </c>
      <c r="B7116">
        <v>1</v>
      </c>
      <c r="C7116">
        <v>16</v>
      </c>
    </row>
    <row r="7117" spans="1:3" x14ac:dyDescent="0.3">
      <c r="A7117">
        <v>16253</v>
      </c>
      <c r="B7117">
        <v>2</v>
      </c>
      <c r="C7117">
        <v>16</v>
      </c>
    </row>
    <row r="7118" spans="1:3" x14ac:dyDescent="0.3">
      <c r="A7118">
        <v>18715</v>
      </c>
      <c r="B7118">
        <v>1</v>
      </c>
      <c r="C7118">
        <v>8</v>
      </c>
    </row>
    <row r="7119" spans="1:3" x14ac:dyDescent="0.3">
      <c r="A7119">
        <v>55674</v>
      </c>
      <c r="B7119">
        <v>1</v>
      </c>
      <c r="C7119">
        <v>16</v>
      </c>
    </row>
    <row r="7120" spans="1:3" x14ac:dyDescent="0.3">
      <c r="A7120">
        <v>54694</v>
      </c>
      <c r="B7120">
        <v>1</v>
      </c>
      <c r="C7120">
        <v>8</v>
      </c>
    </row>
    <row r="7121" spans="1:3" x14ac:dyDescent="0.3">
      <c r="A7121">
        <v>50135</v>
      </c>
      <c r="B7121">
        <v>1</v>
      </c>
      <c r="C7121">
        <v>8</v>
      </c>
    </row>
    <row r="7122" spans="1:3" x14ac:dyDescent="0.3">
      <c r="A7122">
        <v>46668</v>
      </c>
      <c r="B7122">
        <v>1</v>
      </c>
      <c r="C7122">
        <v>8</v>
      </c>
    </row>
    <row r="7123" spans="1:3" x14ac:dyDescent="0.3">
      <c r="A7123">
        <v>46241</v>
      </c>
      <c r="B7123">
        <v>1</v>
      </c>
      <c r="C7123">
        <v>8</v>
      </c>
    </row>
    <row r="7124" spans="1:3" x14ac:dyDescent="0.3">
      <c r="A7124">
        <v>22037</v>
      </c>
      <c r="B7124">
        <v>1</v>
      </c>
      <c r="C7124">
        <v>8</v>
      </c>
    </row>
    <row r="7125" spans="1:3" x14ac:dyDescent="0.3">
      <c r="A7125">
        <v>22564</v>
      </c>
      <c r="B7125">
        <v>3</v>
      </c>
      <c r="C7125">
        <v>16</v>
      </c>
    </row>
    <row r="7126" spans="1:3" x14ac:dyDescent="0.3">
      <c r="A7126">
        <v>42391</v>
      </c>
      <c r="B7126">
        <v>1</v>
      </c>
      <c r="C7126">
        <v>8</v>
      </c>
    </row>
    <row r="7127" spans="1:3" x14ac:dyDescent="0.3">
      <c r="A7127">
        <v>38161</v>
      </c>
      <c r="B7127">
        <v>1</v>
      </c>
      <c r="C7127">
        <v>16</v>
      </c>
    </row>
    <row r="7128" spans="1:3" x14ac:dyDescent="0.3">
      <c r="A7128">
        <v>34923</v>
      </c>
      <c r="B7128">
        <v>1</v>
      </c>
      <c r="C7128">
        <v>8</v>
      </c>
    </row>
    <row r="7129" spans="1:3" x14ac:dyDescent="0.3">
      <c r="A7129">
        <v>34749</v>
      </c>
      <c r="B7129">
        <v>1</v>
      </c>
      <c r="C7129">
        <v>8</v>
      </c>
    </row>
    <row r="7130" spans="1:3" x14ac:dyDescent="0.3">
      <c r="A7130">
        <v>33895</v>
      </c>
      <c r="B7130">
        <v>1</v>
      </c>
      <c r="C7130">
        <v>8</v>
      </c>
    </row>
    <row r="7131" spans="1:3" x14ac:dyDescent="0.3">
      <c r="A7131">
        <v>30807</v>
      </c>
      <c r="B7131">
        <v>1</v>
      </c>
      <c r="C7131">
        <v>8</v>
      </c>
    </row>
    <row r="7132" spans="1:3" x14ac:dyDescent="0.3">
      <c r="A7132">
        <v>30806</v>
      </c>
      <c r="B7132">
        <v>1</v>
      </c>
      <c r="C7132">
        <v>8</v>
      </c>
    </row>
    <row r="7133" spans="1:3" x14ac:dyDescent="0.3">
      <c r="A7133">
        <v>29045</v>
      </c>
      <c r="B7133">
        <v>1</v>
      </c>
      <c r="C7133">
        <v>8</v>
      </c>
    </row>
    <row r="7134" spans="1:3" x14ac:dyDescent="0.3">
      <c r="A7134">
        <v>26921</v>
      </c>
      <c r="B7134">
        <v>1</v>
      </c>
      <c r="C7134">
        <v>8</v>
      </c>
    </row>
    <row r="7135" spans="1:3" x14ac:dyDescent="0.3">
      <c r="A7135">
        <v>26753</v>
      </c>
      <c r="B7135">
        <v>1</v>
      </c>
      <c r="C7135">
        <v>8</v>
      </c>
    </row>
    <row r="7136" spans="1:3" x14ac:dyDescent="0.3">
      <c r="A7136">
        <v>80387</v>
      </c>
      <c r="B7136">
        <v>1</v>
      </c>
      <c r="C7136">
        <v>8</v>
      </c>
    </row>
    <row r="7137" spans="1:3" x14ac:dyDescent="0.3">
      <c r="A7137">
        <v>80289</v>
      </c>
      <c r="B7137">
        <v>1</v>
      </c>
      <c r="C7137">
        <v>8</v>
      </c>
    </row>
    <row r="7138" spans="1:3" x14ac:dyDescent="0.3">
      <c r="A7138">
        <v>80182</v>
      </c>
      <c r="B7138">
        <v>1</v>
      </c>
      <c r="C7138">
        <v>8</v>
      </c>
    </row>
    <row r="7139" spans="1:3" x14ac:dyDescent="0.3">
      <c r="A7139">
        <v>80181</v>
      </c>
      <c r="B7139">
        <v>1</v>
      </c>
      <c r="C7139">
        <v>8</v>
      </c>
    </row>
    <row r="7140" spans="1:3" x14ac:dyDescent="0.3">
      <c r="A7140">
        <v>80093</v>
      </c>
      <c r="B7140">
        <v>1</v>
      </c>
      <c r="C7140">
        <v>8</v>
      </c>
    </row>
    <row r="7141" spans="1:3" x14ac:dyDescent="0.3">
      <c r="A7141">
        <v>80044</v>
      </c>
      <c r="B7141">
        <v>1</v>
      </c>
      <c r="C7141">
        <v>8</v>
      </c>
    </row>
    <row r="7142" spans="1:3" x14ac:dyDescent="0.3">
      <c r="A7142">
        <v>80043</v>
      </c>
      <c r="B7142">
        <v>1</v>
      </c>
      <c r="C7142">
        <v>8</v>
      </c>
    </row>
    <row r="7143" spans="1:3" x14ac:dyDescent="0.3">
      <c r="A7143">
        <v>79948</v>
      </c>
      <c r="B7143">
        <v>1</v>
      </c>
      <c r="C7143">
        <v>8</v>
      </c>
    </row>
    <row r="7144" spans="1:3" x14ac:dyDescent="0.3">
      <c r="A7144">
        <v>79648</v>
      </c>
      <c r="B7144">
        <v>1</v>
      </c>
      <c r="C7144">
        <v>8</v>
      </c>
    </row>
    <row r="7145" spans="1:3" x14ac:dyDescent="0.3">
      <c r="A7145">
        <v>79568</v>
      </c>
      <c r="B7145">
        <v>1</v>
      </c>
      <c r="C7145">
        <v>8</v>
      </c>
    </row>
    <row r="7146" spans="1:3" x14ac:dyDescent="0.3">
      <c r="A7146">
        <v>79519</v>
      </c>
      <c r="B7146">
        <v>1</v>
      </c>
      <c r="C7146">
        <v>8</v>
      </c>
    </row>
    <row r="7147" spans="1:3" x14ac:dyDescent="0.3">
      <c r="A7147">
        <v>78610</v>
      </c>
      <c r="B7147">
        <v>1</v>
      </c>
      <c r="C7147">
        <v>8</v>
      </c>
    </row>
    <row r="7148" spans="1:3" x14ac:dyDescent="0.3">
      <c r="A7148">
        <v>78559</v>
      </c>
      <c r="B7148">
        <v>1</v>
      </c>
      <c r="C7148">
        <v>8</v>
      </c>
    </row>
    <row r="7149" spans="1:3" x14ac:dyDescent="0.3">
      <c r="A7149">
        <v>78558</v>
      </c>
      <c r="B7149">
        <v>1</v>
      </c>
      <c r="C7149">
        <v>8</v>
      </c>
    </row>
    <row r="7150" spans="1:3" x14ac:dyDescent="0.3">
      <c r="A7150">
        <v>78157</v>
      </c>
      <c r="B7150">
        <v>1</v>
      </c>
      <c r="C7150">
        <v>8</v>
      </c>
    </row>
    <row r="7151" spans="1:3" x14ac:dyDescent="0.3">
      <c r="A7151">
        <v>78013</v>
      </c>
      <c r="B7151">
        <v>1</v>
      </c>
      <c r="C7151">
        <v>8</v>
      </c>
    </row>
    <row r="7152" spans="1:3" x14ac:dyDescent="0.3">
      <c r="A7152">
        <v>77558</v>
      </c>
      <c r="B7152">
        <v>1</v>
      </c>
      <c r="C7152">
        <v>8</v>
      </c>
    </row>
    <row r="7153" spans="1:3" x14ac:dyDescent="0.3">
      <c r="A7153">
        <v>76911</v>
      </c>
      <c r="B7153">
        <v>1</v>
      </c>
      <c r="C7153">
        <v>8</v>
      </c>
    </row>
    <row r="7154" spans="1:3" x14ac:dyDescent="0.3">
      <c r="A7154">
        <v>76910</v>
      </c>
      <c r="B7154">
        <v>1</v>
      </c>
      <c r="C7154">
        <v>8</v>
      </c>
    </row>
    <row r="7155" spans="1:3" x14ac:dyDescent="0.3">
      <c r="A7155">
        <v>76909</v>
      </c>
      <c r="B7155">
        <v>1</v>
      </c>
      <c r="C7155">
        <v>8</v>
      </c>
    </row>
    <row r="7156" spans="1:3" x14ac:dyDescent="0.3">
      <c r="A7156">
        <v>76773</v>
      </c>
      <c r="B7156">
        <v>1</v>
      </c>
      <c r="C7156">
        <v>8</v>
      </c>
    </row>
    <row r="7157" spans="1:3" x14ac:dyDescent="0.3">
      <c r="A7157">
        <v>76465</v>
      </c>
      <c r="B7157">
        <v>1</v>
      </c>
      <c r="C7157">
        <v>8</v>
      </c>
    </row>
    <row r="7158" spans="1:3" x14ac:dyDescent="0.3">
      <c r="A7158">
        <v>76277</v>
      </c>
      <c r="B7158">
        <v>1</v>
      </c>
      <c r="C7158">
        <v>8</v>
      </c>
    </row>
    <row r="7159" spans="1:3" x14ac:dyDescent="0.3">
      <c r="A7159">
        <v>75526</v>
      </c>
      <c r="B7159">
        <v>1</v>
      </c>
      <c r="C7159">
        <v>8</v>
      </c>
    </row>
    <row r="7160" spans="1:3" x14ac:dyDescent="0.3">
      <c r="A7160">
        <v>75385</v>
      </c>
      <c r="B7160">
        <v>1</v>
      </c>
      <c r="C7160">
        <v>8</v>
      </c>
    </row>
    <row r="7161" spans="1:3" x14ac:dyDescent="0.3">
      <c r="A7161">
        <v>75333</v>
      </c>
      <c r="B7161">
        <v>1</v>
      </c>
      <c r="C7161">
        <v>8</v>
      </c>
    </row>
    <row r="7162" spans="1:3" x14ac:dyDescent="0.3">
      <c r="A7162">
        <v>75088</v>
      </c>
      <c r="B7162">
        <v>1</v>
      </c>
      <c r="C7162">
        <v>8</v>
      </c>
    </row>
    <row r="7163" spans="1:3" x14ac:dyDescent="0.3">
      <c r="A7163">
        <v>74874</v>
      </c>
      <c r="B7163">
        <v>1</v>
      </c>
      <c r="C7163">
        <v>8</v>
      </c>
    </row>
    <row r="7164" spans="1:3" x14ac:dyDescent="0.3">
      <c r="A7164">
        <v>74598</v>
      </c>
      <c r="B7164">
        <v>1</v>
      </c>
      <c r="C7164">
        <v>8</v>
      </c>
    </row>
    <row r="7165" spans="1:3" x14ac:dyDescent="0.3">
      <c r="A7165">
        <v>74597</v>
      </c>
      <c r="B7165">
        <v>1</v>
      </c>
      <c r="C7165">
        <v>8</v>
      </c>
    </row>
    <row r="7166" spans="1:3" x14ac:dyDescent="0.3">
      <c r="A7166">
        <v>12549</v>
      </c>
      <c r="B7166">
        <v>1</v>
      </c>
      <c r="C7166">
        <v>8</v>
      </c>
    </row>
    <row r="7167" spans="1:3" x14ac:dyDescent="0.3">
      <c r="A7167">
        <v>74380</v>
      </c>
      <c r="B7167">
        <v>1</v>
      </c>
      <c r="C7167">
        <v>8</v>
      </c>
    </row>
    <row r="7168" spans="1:3" x14ac:dyDescent="0.3">
      <c r="A7168">
        <v>74010</v>
      </c>
      <c r="B7168">
        <v>1</v>
      </c>
      <c r="C7168">
        <v>8</v>
      </c>
    </row>
    <row r="7169" spans="1:3" x14ac:dyDescent="0.3">
      <c r="A7169">
        <v>73955</v>
      </c>
      <c r="B7169">
        <v>1</v>
      </c>
      <c r="C7169">
        <v>8</v>
      </c>
    </row>
    <row r="7170" spans="1:3" x14ac:dyDescent="0.3">
      <c r="A7170">
        <v>73008</v>
      </c>
      <c r="B7170">
        <v>1</v>
      </c>
      <c r="C7170">
        <v>8</v>
      </c>
    </row>
    <row r="7171" spans="1:3" x14ac:dyDescent="0.3">
      <c r="A7171">
        <v>72497</v>
      </c>
      <c r="B7171">
        <v>1</v>
      </c>
      <c r="C7171">
        <v>8</v>
      </c>
    </row>
    <row r="7172" spans="1:3" x14ac:dyDescent="0.3">
      <c r="A7172">
        <v>72066</v>
      </c>
      <c r="B7172">
        <v>1</v>
      </c>
      <c r="C7172">
        <v>16</v>
      </c>
    </row>
    <row r="7173" spans="1:3" x14ac:dyDescent="0.3">
      <c r="A7173">
        <v>71838</v>
      </c>
      <c r="B7173">
        <v>1</v>
      </c>
      <c r="C7173">
        <v>8</v>
      </c>
    </row>
    <row r="7174" spans="1:3" x14ac:dyDescent="0.3">
      <c r="A7174">
        <v>71837</v>
      </c>
      <c r="B7174">
        <v>1</v>
      </c>
      <c r="C7174">
        <v>8</v>
      </c>
    </row>
    <row r="7175" spans="1:3" x14ac:dyDescent="0.3">
      <c r="A7175">
        <v>71836</v>
      </c>
      <c r="B7175">
        <v>1</v>
      </c>
      <c r="C7175">
        <v>8</v>
      </c>
    </row>
    <row r="7176" spans="1:3" x14ac:dyDescent="0.3">
      <c r="A7176">
        <v>71835</v>
      </c>
      <c r="B7176">
        <v>1</v>
      </c>
      <c r="C7176">
        <v>8</v>
      </c>
    </row>
    <row r="7177" spans="1:3" x14ac:dyDescent="0.3">
      <c r="A7177">
        <v>71142</v>
      </c>
      <c r="B7177">
        <v>1</v>
      </c>
      <c r="C7177">
        <v>8</v>
      </c>
    </row>
    <row r="7178" spans="1:3" x14ac:dyDescent="0.3">
      <c r="A7178">
        <v>71140</v>
      </c>
      <c r="B7178">
        <v>1</v>
      </c>
      <c r="C7178">
        <v>8</v>
      </c>
    </row>
    <row r="7179" spans="1:3" x14ac:dyDescent="0.3">
      <c r="A7179">
        <v>71028</v>
      </c>
      <c r="B7179">
        <v>1</v>
      </c>
      <c r="C7179">
        <v>8</v>
      </c>
    </row>
    <row r="7180" spans="1:3" x14ac:dyDescent="0.3">
      <c r="A7180">
        <v>70843</v>
      </c>
      <c r="B7180">
        <v>1</v>
      </c>
      <c r="C7180">
        <v>8</v>
      </c>
    </row>
    <row r="7181" spans="1:3" x14ac:dyDescent="0.3">
      <c r="A7181">
        <v>70372</v>
      </c>
      <c r="B7181">
        <v>1</v>
      </c>
      <c r="C7181">
        <v>8</v>
      </c>
    </row>
    <row r="7182" spans="1:3" x14ac:dyDescent="0.3">
      <c r="A7182">
        <v>69614</v>
      </c>
      <c r="B7182">
        <v>1</v>
      </c>
      <c r="C7182">
        <v>8</v>
      </c>
    </row>
    <row r="7183" spans="1:3" x14ac:dyDescent="0.3">
      <c r="A7183">
        <v>69613</v>
      </c>
      <c r="B7183">
        <v>1</v>
      </c>
      <c r="C7183">
        <v>8</v>
      </c>
    </row>
    <row r="7184" spans="1:3" x14ac:dyDescent="0.3">
      <c r="A7184">
        <v>67221</v>
      </c>
      <c r="B7184">
        <v>1</v>
      </c>
      <c r="C7184">
        <v>16</v>
      </c>
    </row>
    <row r="7185" spans="1:3" x14ac:dyDescent="0.3">
      <c r="A7185">
        <v>66932</v>
      </c>
      <c r="B7185">
        <v>1</v>
      </c>
      <c r="C7185">
        <v>8</v>
      </c>
    </row>
    <row r="7186" spans="1:3" x14ac:dyDescent="0.3">
      <c r="A7186">
        <v>66929</v>
      </c>
      <c r="B7186">
        <v>1</v>
      </c>
      <c r="C7186">
        <v>8</v>
      </c>
    </row>
    <row r="7187" spans="1:3" x14ac:dyDescent="0.3">
      <c r="A7187">
        <v>66823</v>
      </c>
      <c r="B7187">
        <v>1</v>
      </c>
      <c r="C7187">
        <v>8</v>
      </c>
    </row>
    <row r="7188" spans="1:3" x14ac:dyDescent="0.3">
      <c r="A7188">
        <v>16270</v>
      </c>
      <c r="B7188">
        <v>1</v>
      </c>
      <c r="C7188">
        <v>8</v>
      </c>
    </row>
    <row r="7189" spans="1:3" x14ac:dyDescent="0.3">
      <c r="A7189">
        <v>65799</v>
      </c>
      <c r="B7189">
        <v>1</v>
      </c>
      <c r="C7189">
        <v>8</v>
      </c>
    </row>
    <row r="7190" spans="1:3" x14ac:dyDescent="0.3">
      <c r="A7190">
        <v>65068</v>
      </c>
      <c r="B7190">
        <v>1</v>
      </c>
      <c r="C7190">
        <v>16</v>
      </c>
    </row>
    <row r="7191" spans="1:3" x14ac:dyDescent="0.3">
      <c r="A7191">
        <v>64907</v>
      </c>
      <c r="B7191">
        <v>1</v>
      </c>
      <c r="C7191">
        <v>8</v>
      </c>
    </row>
    <row r="7192" spans="1:3" x14ac:dyDescent="0.3">
      <c r="A7192">
        <v>64295</v>
      </c>
      <c r="B7192">
        <v>1</v>
      </c>
      <c r="C7192">
        <v>8</v>
      </c>
    </row>
    <row r="7193" spans="1:3" x14ac:dyDescent="0.3">
      <c r="A7193">
        <v>63808</v>
      </c>
      <c r="B7193">
        <v>1</v>
      </c>
      <c r="C7193">
        <v>8</v>
      </c>
    </row>
    <row r="7194" spans="1:3" x14ac:dyDescent="0.3">
      <c r="A7194">
        <v>17109</v>
      </c>
      <c r="B7194">
        <v>1</v>
      </c>
      <c r="C7194">
        <v>16</v>
      </c>
    </row>
    <row r="7195" spans="1:3" x14ac:dyDescent="0.3">
      <c r="A7195">
        <v>63378</v>
      </c>
      <c r="B7195">
        <v>1</v>
      </c>
      <c r="C7195">
        <v>8</v>
      </c>
    </row>
    <row r="7196" spans="1:3" x14ac:dyDescent="0.3">
      <c r="A7196">
        <v>63157</v>
      </c>
      <c r="B7196">
        <v>1</v>
      </c>
      <c r="C7196">
        <v>8</v>
      </c>
    </row>
    <row r="7197" spans="1:3" x14ac:dyDescent="0.3">
      <c r="A7197">
        <v>63031</v>
      </c>
      <c r="B7197">
        <v>1</v>
      </c>
      <c r="C7197">
        <v>8</v>
      </c>
    </row>
    <row r="7198" spans="1:3" x14ac:dyDescent="0.3">
      <c r="A7198">
        <v>62758</v>
      </c>
      <c r="B7198">
        <v>1</v>
      </c>
      <c r="C7198">
        <v>8</v>
      </c>
    </row>
    <row r="7199" spans="1:3" x14ac:dyDescent="0.3">
      <c r="A7199">
        <v>61873</v>
      </c>
      <c r="B7199">
        <v>1</v>
      </c>
      <c r="C7199">
        <v>8</v>
      </c>
    </row>
    <row r="7200" spans="1:3" x14ac:dyDescent="0.3">
      <c r="A7200">
        <v>61872</v>
      </c>
      <c r="B7200">
        <v>1</v>
      </c>
      <c r="C7200">
        <v>8</v>
      </c>
    </row>
    <row r="7201" spans="1:3" x14ac:dyDescent="0.3">
      <c r="A7201">
        <v>60990</v>
      </c>
      <c r="B7201">
        <v>1</v>
      </c>
      <c r="C7201">
        <v>8</v>
      </c>
    </row>
    <row r="7202" spans="1:3" x14ac:dyDescent="0.3">
      <c r="A7202" s="26">
        <v>60598</v>
      </c>
      <c r="B7202" s="26">
        <v>1</v>
      </c>
      <c r="C7202" s="26">
        <v>8</v>
      </c>
    </row>
    <row r="7203" spans="1:3" x14ac:dyDescent="0.3">
      <c r="A7203">
        <v>60358</v>
      </c>
      <c r="B7203">
        <v>1</v>
      </c>
      <c r="C7203">
        <v>8</v>
      </c>
    </row>
    <row r="7204" spans="1:3" x14ac:dyDescent="0.3">
      <c r="A7204">
        <v>60113</v>
      </c>
      <c r="B7204">
        <v>1</v>
      </c>
      <c r="C7204">
        <v>8</v>
      </c>
    </row>
    <row r="7205" spans="1:3" x14ac:dyDescent="0.3">
      <c r="A7205">
        <v>59520</v>
      </c>
      <c r="B7205">
        <v>1</v>
      </c>
      <c r="C7205">
        <v>8</v>
      </c>
    </row>
    <row r="7206" spans="1:3" x14ac:dyDescent="0.3">
      <c r="A7206">
        <v>59282</v>
      </c>
      <c r="B7206">
        <v>1</v>
      </c>
      <c r="C7206">
        <v>8</v>
      </c>
    </row>
    <row r="7207" spans="1:3" x14ac:dyDescent="0.3">
      <c r="A7207">
        <v>59165</v>
      </c>
      <c r="B7207">
        <v>1</v>
      </c>
      <c r="C7207">
        <v>8</v>
      </c>
    </row>
    <row r="7208" spans="1:3" x14ac:dyDescent="0.3">
      <c r="A7208">
        <v>55937</v>
      </c>
      <c r="B7208">
        <v>1</v>
      </c>
      <c r="C7208">
        <v>16</v>
      </c>
    </row>
    <row r="7209" spans="1:3" x14ac:dyDescent="0.3">
      <c r="A7209">
        <v>55884</v>
      </c>
      <c r="B7209">
        <v>1</v>
      </c>
      <c r="C7209">
        <v>8</v>
      </c>
    </row>
    <row r="7210" spans="1:3" x14ac:dyDescent="0.3">
      <c r="A7210">
        <v>55044</v>
      </c>
      <c r="B7210">
        <v>1</v>
      </c>
      <c r="C7210">
        <v>16</v>
      </c>
    </row>
    <row r="7211" spans="1:3" x14ac:dyDescent="0.3">
      <c r="A7211">
        <v>54096</v>
      </c>
      <c r="B7211">
        <v>1</v>
      </c>
      <c r="C7211">
        <v>8</v>
      </c>
    </row>
    <row r="7212" spans="1:3" x14ac:dyDescent="0.3">
      <c r="A7212">
        <v>53620</v>
      </c>
      <c r="B7212">
        <v>1</v>
      </c>
      <c r="C7212">
        <v>8</v>
      </c>
    </row>
    <row r="7213" spans="1:3" x14ac:dyDescent="0.3">
      <c r="A7213">
        <v>53207</v>
      </c>
      <c r="B7213">
        <v>1</v>
      </c>
      <c r="C7213">
        <v>16</v>
      </c>
    </row>
    <row r="7214" spans="1:3" x14ac:dyDescent="0.3">
      <c r="A7214">
        <v>52643</v>
      </c>
      <c r="B7214">
        <v>1</v>
      </c>
      <c r="C7214">
        <v>8</v>
      </c>
    </row>
    <row r="7215" spans="1:3" x14ac:dyDescent="0.3">
      <c r="A7215">
        <v>52578</v>
      </c>
      <c r="B7215">
        <v>1</v>
      </c>
      <c r="C7215">
        <v>8</v>
      </c>
    </row>
    <row r="7216" spans="1:3" x14ac:dyDescent="0.3">
      <c r="A7216">
        <v>52316</v>
      </c>
      <c r="B7216">
        <v>1</v>
      </c>
      <c r="C7216">
        <v>16</v>
      </c>
    </row>
    <row r="7217" spans="1:3" x14ac:dyDescent="0.3">
      <c r="A7217">
        <v>20530</v>
      </c>
      <c r="B7217">
        <v>1</v>
      </c>
      <c r="C7217">
        <v>8</v>
      </c>
    </row>
    <row r="7218" spans="1:3" x14ac:dyDescent="0.3">
      <c r="A7218">
        <v>21050</v>
      </c>
      <c r="B7218">
        <v>1</v>
      </c>
      <c r="C7218">
        <v>8</v>
      </c>
    </row>
    <row r="7219" spans="1:3" x14ac:dyDescent="0.3">
      <c r="A7219">
        <v>49110</v>
      </c>
      <c r="B7219">
        <v>1</v>
      </c>
      <c r="C7219">
        <v>8</v>
      </c>
    </row>
    <row r="7220" spans="1:3" x14ac:dyDescent="0.3">
      <c r="A7220">
        <v>48397</v>
      </c>
      <c r="B7220">
        <v>1</v>
      </c>
      <c r="C7220">
        <v>8</v>
      </c>
    </row>
    <row r="7221" spans="1:3" x14ac:dyDescent="0.3">
      <c r="A7221">
        <v>46998</v>
      </c>
      <c r="B7221">
        <v>1</v>
      </c>
      <c r="C7221">
        <v>16</v>
      </c>
    </row>
    <row r="7222" spans="1:3" x14ac:dyDescent="0.3">
      <c r="A7222">
        <v>45906</v>
      </c>
      <c r="B7222">
        <v>1</v>
      </c>
      <c r="C7222">
        <v>8</v>
      </c>
    </row>
    <row r="7223" spans="1:3" x14ac:dyDescent="0.3">
      <c r="A7223">
        <v>45882</v>
      </c>
      <c r="B7223">
        <v>1</v>
      </c>
      <c r="C7223">
        <v>8</v>
      </c>
    </row>
    <row r="7224" spans="1:3" x14ac:dyDescent="0.3">
      <c r="A7224">
        <v>45610</v>
      </c>
      <c r="B7224">
        <v>1</v>
      </c>
      <c r="C7224">
        <v>16</v>
      </c>
    </row>
    <row r="7225" spans="1:3" x14ac:dyDescent="0.3">
      <c r="A7225">
        <v>45609</v>
      </c>
      <c r="B7225">
        <v>1</v>
      </c>
      <c r="C7225">
        <v>16</v>
      </c>
    </row>
    <row r="7226" spans="1:3" x14ac:dyDescent="0.3">
      <c r="A7226">
        <v>44895</v>
      </c>
      <c r="B7226">
        <v>1</v>
      </c>
      <c r="C7226">
        <v>8</v>
      </c>
    </row>
    <row r="7227" spans="1:3" x14ac:dyDescent="0.3">
      <c r="A7227">
        <v>44893</v>
      </c>
      <c r="B7227">
        <v>1</v>
      </c>
      <c r="C7227">
        <v>8</v>
      </c>
    </row>
    <row r="7228" spans="1:3" x14ac:dyDescent="0.3">
      <c r="A7228">
        <v>43574</v>
      </c>
      <c r="B7228">
        <v>1</v>
      </c>
      <c r="C7228">
        <v>8</v>
      </c>
    </row>
    <row r="7229" spans="1:3" x14ac:dyDescent="0.3">
      <c r="A7229">
        <v>23457</v>
      </c>
      <c r="B7229">
        <v>1</v>
      </c>
      <c r="C7229">
        <v>8</v>
      </c>
    </row>
    <row r="7230" spans="1:3" x14ac:dyDescent="0.3">
      <c r="A7230">
        <v>36833</v>
      </c>
      <c r="B7230">
        <v>1</v>
      </c>
      <c r="C7230">
        <v>16</v>
      </c>
    </row>
    <row r="7231" spans="1:3" x14ac:dyDescent="0.3">
      <c r="A7231">
        <v>36388</v>
      </c>
      <c r="B7231">
        <v>1</v>
      </c>
      <c r="C7231">
        <v>8</v>
      </c>
    </row>
    <row r="7232" spans="1:3" x14ac:dyDescent="0.3">
      <c r="A7232">
        <v>23644</v>
      </c>
      <c r="B7232">
        <v>1</v>
      </c>
      <c r="C7232">
        <v>8</v>
      </c>
    </row>
    <row r="7233" spans="1:3" x14ac:dyDescent="0.3">
      <c r="A7233">
        <v>34301</v>
      </c>
      <c r="B7233">
        <v>1</v>
      </c>
      <c r="C7233">
        <v>16</v>
      </c>
    </row>
    <row r="7234" spans="1:3" x14ac:dyDescent="0.3">
      <c r="A7234">
        <v>34215</v>
      </c>
      <c r="B7234">
        <v>1</v>
      </c>
      <c r="C7234">
        <v>8</v>
      </c>
    </row>
    <row r="7235" spans="1:3" x14ac:dyDescent="0.3">
      <c r="A7235">
        <v>24139</v>
      </c>
      <c r="B7235">
        <v>1</v>
      </c>
      <c r="C7235">
        <v>8</v>
      </c>
    </row>
    <row r="7236" spans="1:3" x14ac:dyDescent="0.3">
      <c r="A7236">
        <v>32017</v>
      </c>
      <c r="B7236">
        <v>1</v>
      </c>
      <c r="C7236">
        <v>8</v>
      </c>
    </row>
    <row r="7237" spans="1:3" x14ac:dyDescent="0.3">
      <c r="A7237">
        <v>29187</v>
      </c>
      <c r="B7237">
        <v>1</v>
      </c>
      <c r="C7237">
        <v>8</v>
      </c>
    </row>
    <row r="7238" spans="1:3" x14ac:dyDescent="0.3">
      <c r="A7238">
        <v>26919</v>
      </c>
      <c r="B7238">
        <v>1</v>
      </c>
      <c r="C7238">
        <v>8</v>
      </c>
    </row>
    <row r="7239" spans="1:3" x14ac:dyDescent="0.3">
      <c r="A7239">
        <v>26752</v>
      </c>
      <c r="B7239">
        <v>1</v>
      </c>
      <c r="C7239">
        <v>8</v>
      </c>
    </row>
    <row r="7240" spans="1:3" x14ac:dyDescent="0.3">
      <c r="A7240">
        <v>26295</v>
      </c>
      <c r="B7240">
        <v>1</v>
      </c>
      <c r="C7240">
        <v>8</v>
      </c>
    </row>
    <row r="7241" spans="1:3" x14ac:dyDescent="0.3">
      <c r="A7241">
        <v>78964</v>
      </c>
      <c r="B7241">
        <v>1</v>
      </c>
      <c r="C7241">
        <v>8</v>
      </c>
    </row>
    <row r="7242" spans="1:3" x14ac:dyDescent="0.3">
      <c r="A7242">
        <v>35640</v>
      </c>
      <c r="B7242">
        <v>1</v>
      </c>
      <c r="C7242">
        <v>8</v>
      </c>
    </row>
    <row r="7243" spans="1:3" x14ac:dyDescent="0.3">
      <c r="A7243">
        <v>30918</v>
      </c>
      <c r="B7243">
        <v>1</v>
      </c>
      <c r="C7243">
        <v>8</v>
      </c>
    </row>
    <row r="7244" spans="1:3" x14ac:dyDescent="0.3">
      <c r="A7244">
        <v>78564</v>
      </c>
      <c r="B7244">
        <v>1</v>
      </c>
      <c r="C7244">
        <v>8</v>
      </c>
    </row>
    <row r="7245" spans="1:3" x14ac:dyDescent="0.3">
      <c r="A7245">
        <v>74535</v>
      </c>
      <c r="B7245">
        <v>1</v>
      </c>
      <c r="C7245">
        <v>8</v>
      </c>
    </row>
    <row r="7246" spans="1:3" x14ac:dyDescent="0.3">
      <c r="A7246">
        <v>73275</v>
      </c>
      <c r="B7246">
        <v>1</v>
      </c>
      <c r="C7246">
        <v>8</v>
      </c>
    </row>
    <row r="7247" spans="1:3" x14ac:dyDescent="0.3">
      <c r="A7247">
        <v>62754</v>
      </c>
      <c r="B7247">
        <v>1</v>
      </c>
      <c r="C7247">
        <v>8</v>
      </c>
    </row>
    <row r="7248" spans="1:3" x14ac:dyDescent="0.3">
      <c r="A7248">
        <v>52459</v>
      </c>
      <c r="B7248">
        <v>1</v>
      </c>
      <c r="C7248">
        <v>8</v>
      </c>
    </row>
    <row r="7249" spans="1:3" x14ac:dyDescent="0.3">
      <c r="A7249">
        <v>50982</v>
      </c>
      <c r="B7249">
        <v>1</v>
      </c>
      <c r="C7249">
        <v>8</v>
      </c>
    </row>
    <row r="7250" spans="1:3" x14ac:dyDescent="0.3">
      <c r="A7250">
        <v>50918</v>
      </c>
      <c r="B7250">
        <v>1</v>
      </c>
      <c r="C7250">
        <v>8</v>
      </c>
    </row>
    <row r="7251" spans="1:3" x14ac:dyDescent="0.3">
      <c r="A7251">
        <v>38931</v>
      </c>
      <c r="B7251">
        <v>1</v>
      </c>
      <c r="C7251">
        <v>8</v>
      </c>
    </row>
    <row r="7252" spans="1:3" x14ac:dyDescent="0.3">
      <c r="A7252">
        <v>23642</v>
      </c>
      <c r="B7252">
        <v>1</v>
      </c>
      <c r="C7252">
        <v>16</v>
      </c>
    </row>
    <row r="7253" spans="1:3" x14ac:dyDescent="0.3">
      <c r="A7253">
        <v>25825</v>
      </c>
      <c r="B7253">
        <v>1</v>
      </c>
      <c r="C7253">
        <v>8</v>
      </c>
    </row>
    <row r="7254" spans="1:3" x14ac:dyDescent="0.3">
      <c r="A7254">
        <v>80624</v>
      </c>
      <c r="B7254">
        <v>1</v>
      </c>
      <c r="C7254">
        <v>8</v>
      </c>
    </row>
    <row r="7255" spans="1:3" x14ac:dyDescent="0.3">
      <c r="A7255">
        <v>80623</v>
      </c>
      <c r="B7255">
        <v>1</v>
      </c>
      <c r="C7255">
        <v>8</v>
      </c>
    </row>
    <row r="7256" spans="1:3" x14ac:dyDescent="0.3">
      <c r="A7256">
        <v>79791</v>
      </c>
      <c r="B7256">
        <v>1</v>
      </c>
      <c r="C7256">
        <v>8</v>
      </c>
    </row>
    <row r="7257" spans="1:3" x14ac:dyDescent="0.3">
      <c r="A7257">
        <v>77091</v>
      </c>
      <c r="B7257">
        <v>1</v>
      </c>
      <c r="C7257">
        <v>8</v>
      </c>
    </row>
    <row r="7258" spans="1:3" x14ac:dyDescent="0.3">
      <c r="A7258">
        <v>72881</v>
      </c>
      <c r="B7258">
        <v>1</v>
      </c>
      <c r="C7258">
        <v>8</v>
      </c>
    </row>
    <row r="7259" spans="1:3" x14ac:dyDescent="0.3">
      <c r="A7259">
        <v>72599</v>
      </c>
      <c r="B7259">
        <v>1</v>
      </c>
      <c r="C7259">
        <v>8</v>
      </c>
    </row>
    <row r="7260" spans="1:3" x14ac:dyDescent="0.3">
      <c r="A7260">
        <v>70831</v>
      </c>
      <c r="B7260">
        <v>2</v>
      </c>
      <c r="C7260">
        <v>8</v>
      </c>
    </row>
    <row r="7261" spans="1:3" x14ac:dyDescent="0.3">
      <c r="A7261">
        <v>70644</v>
      </c>
      <c r="B7261">
        <v>1</v>
      </c>
      <c r="C7261">
        <v>8</v>
      </c>
    </row>
    <row r="7262" spans="1:3" x14ac:dyDescent="0.3">
      <c r="A7262">
        <v>69422</v>
      </c>
      <c r="B7262">
        <v>1</v>
      </c>
      <c r="C7262">
        <v>8</v>
      </c>
    </row>
    <row r="7263" spans="1:3" x14ac:dyDescent="0.3">
      <c r="A7263">
        <v>15807</v>
      </c>
      <c r="B7263">
        <v>1</v>
      </c>
      <c r="C7263">
        <v>16</v>
      </c>
    </row>
    <row r="7264" spans="1:3" x14ac:dyDescent="0.3">
      <c r="A7264">
        <v>67126</v>
      </c>
      <c r="B7264">
        <v>3</v>
      </c>
      <c r="C7264">
        <v>16</v>
      </c>
    </row>
    <row r="7265" spans="1:3" x14ac:dyDescent="0.3">
      <c r="A7265">
        <v>66305</v>
      </c>
      <c r="B7265">
        <v>1</v>
      </c>
      <c r="C7265">
        <v>8</v>
      </c>
    </row>
    <row r="7266" spans="1:3" x14ac:dyDescent="0.3">
      <c r="A7266">
        <v>65241</v>
      </c>
      <c r="B7266">
        <v>2</v>
      </c>
      <c r="C7266">
        <v>8</v>
      </c>
    </row>
    <row r="7267" spans="1:3" x14ac:dyDescent="0.3">
      <c r="A7267">
        <v>64841</v>
      </c>
      <c r="B7267">
        <v>1</v>
      </c>
      <c r="C7267">
        <v>8</v>
      </c>
    </row>
    <row r="7268" spans="1:3" x14ac:dyDescent="0.3">
      <c r="A7268">
        <v>62395</v>
      </c>
      <c r="B7268">
        <v>1</v>
      </c>
      <c r="C7268">
        <v>8</v>
      </c>
    </row>
    <row r="7269" spans="1:3" x14ac:dyDescent="0.3">
      <c r="A7269">
        <v>61209</v>
      </c>
      <c r="B7269">
        <v>1</v>
      </c>
      <c r="C7269">
        <v>8</v>
      </c>
    </row>
    <row r="7270" spans="1:3" x14ac:dyDescent="0.3">
      <c r="A7270">
        <v>58669</v>
      </c>
      <c r="B7270">
        <v>2</v>
      </c>
      <c r="C7270">
        <v>16</v>
      </c>
    </row>
    <row r="7271" spans="1:3" x14ac:dyDescent="0.3">
      <c r="A7271">
        <v>18535</v>
      </c>
      <c r="B7271">
        <v>1</v>
      </c>
      <c r="C7271">
        <v>8</v>
      </c>
    </row>
    <row r="7272" spans="1:3" x14ac:dyDescent="0.3">
      <c r="A7272">
        <v>51087</v>
      </c>
      <c r="B7272">
        <v>1</v>
      </c>
      <c r="C7272">
        <v>8</v>
      </c>
    </row>
    <row r="7273" spans="1:3" x14ac:dyDescent="0.3">
      <c r="A7273">
        <v>20893</v>
      </c>
      <c r="B7273">
        <v>1</v>
      </c>
      <c r="C7273">
        <v>8</v>
      </c>
    </row>
    <row r="7274" spans="1:3" x14ac:dyDescent="0.3">
      <c r="A7274">
        <v>20894</v>
      </c>
      <c r="B7274">
        <v>1</v>
      </c>
      <c r="C7274">
        <v>16</v>
      </c>
    </row>
    <row r="7275" spans="1:3" x14ac:dyDescent="0.3">
      <c r="A7275">
        <v>49442</v>
      </c>
      <c r="B7275">
        <v>1</v>
      </c>
      <c r="C7275">
        <v>8</v>
      </c>
    </row>
    <row r="7276" spans="1:3" x14ac:dyDescent="0.3">
      <c r="A7276">
        <v>47287</v>
      </c>
      <c r="B7276">
        <v>1</v>
      </c>
      <c r="C7276">
        <v>8</v>
      </c>
    </row>
    <row r="7277" spans="1:3" x14ac:dyDescent="0.3">
      <c r="A7277">
        <v>46230</v>
      </c>
      <c r="B7277">
        <v>1</v>
      </c>
      <c r="C7277">
        <v>8</v>
      </c>
    </row>
    <row r="7278" spans="1:3" x14ac:dyDescent="0.3">
      <c r="A7278">
        <v>43341</v>
      </c>
      <c r="B7278">
        <v>1</v>
      </c>
      <c r="C7278">
        <v>8</v>
      </c>
    </row>
    <row r="7279" spans="1:3" x14ac:dyDescent="0.3">
      <c r="A7279">
        <v>41558</v>
      </c>
      <c r="B7279">
        <v>1</v>
      </c>
      <c r="C7279">
        <v>8</v>
      </c>
    </row>
    <row r="7280" spans="1:3" x14ac:dyDescent="0.3">
      <c r="A7280">
        <v>40613</v>
      </c>
      <c r="B7280">
        <v>1</v>
      </c>
      <c r="C7280">
        <v>8</v>
      </c>
    </row>
    <row r="7281" spans="1:3" x14ac:dyDescent="0.3">
      <c r="A7281">
        <v>39913</v>
      </c>
      <c r="B7281">
        <v>1</v>
      </c>
      <c r="C7281">
        <v>8</v>
      </c>
    </row>
    <row r="7282" spans="1:3" x14ac:dyDescent="0.3">
      <c r="A7282">
        <v>35236</v>
      </c>
      <c r="B7282">
        <v>1</v>
      </c>
      <c r="C7282">
        <v>16</v>
      </c>
    </row>
    <row r="7283" spans="1:3" x14ac:dyDescent="0.3">
      <c r="A7283">
        <v>35173</v>
      </c>
      <c r="B7283">
        <v>1</v>
      </c>
      <c r="C7283">
        <v>8</v>
      </c>
    </row>
    <row r="7284" spans="1:3" x14ac:dyDescent="0.3">
      <c r="A7284">
        <v>33144</v>
      </c>
      <c r="B7284">
        <v>1</v>
      </c>
      <c r="C7284">
        <v>8</v>
      </c>
    </row>
    <row r="7285" spans="1:3" x14ac:dyDescent="0.3">
      <c r="A7285">
        <v>33143</v>
      </c>
      <c r="B7285">
        <v>1</v>
      </c>
      <c r="C7285">
        <v>8</v>
      </c>
    </row>
    <row r="7286" spans="1:3" x14ac:dyDescent="0.3">
      <c r="A7286">
        <v>28531</v>
      </c>
      <c r="B7286">
        <v>1</v>
      </c>
      <c r="C7286">
        <v>8</v>
      </c>
    </row>
    <row r="7287" spans="1:3" x14ac:dyDescent="0.3">
      <c r="A7287">
        <v>26642</v>
      </c>
      <c r="B7287">
        <v>1</v>
      </c>
      <c r="C7287">
        <v>16</v>
      </c>
    </row>
    <row r="7288" spans="1:3" x14ac:dyDescent="0.3">
      <c r="A7288">
        <v>25723</v>
      </c>
      <c r="B7288">
        <v>1</v>
      </c>
      <c r="C7288">
        <v>8</v>
      </c>
    </row>
    <row r="7289" spans="1:3" x14ac:dyDescent="0.3">
      <c r="A7289">
        <v>78889</v>
      </c>
      <c r="B7289">
        <v>1</v>
      </c>
      <c r="C7289">
        <v>8</v>
      </c>
    </row>
    <row r="7290" spans="1:3" x14ac:dyDescent="0.3">
      <c r="A7290">
        <v>77483</v>
      </c>
      <c r="B7290">
        <v>1</v>
      </c>
      <c r="C7290">
        <v>8</v>
      </c>
    </row>
    <row r="7291" spans="1:3" x14ac:dyDescent="0.3">
      <c r="A7291">
        <v>77367</v>
      </c>
      <c r="B7291">
        <v>1</v>
      </c>
      <c r="C7291">
        <v>8</v>
      </c>
    </row>
    <row r="7292" spans="1:3" x14ac:dyDescent="0.3">
      <c r="A7292">
        <v>77255</v>
      </c>
      <c r="B7292">
        <v>1</v>
      </c>
      <c r="C7292">
        <v>8</v>
      </c>
    </row>
    <row r="7293" spans="1:3" x14ac:dyDescent="0.3">
      <c r="A7293">
        <v>77141</v>
      </c>
      <c r="B7293">
        <v>1</v>
      </c>
      <c r="C7293">
        <v>8</v>
      </c>
    </row>
    <row r="7294" spans="1:3" x14ac:dyDescent="0.3">
      <c r="A7294">
        <v>76355</v>
      </c>
      <c r="B7294">
        <v>1</v>
      </c>
      <c r="C7294">
        <v>8</v>
      </c>
    </row>
    <row r="7295" spans="1:3" x14ac:dyDescent="0.3">
      <c r="A7295">
        <v>76207</v>
      </c>
      <c r="B7295">
        <v>1</v>
      </c>
      <c r="C7295">
        <v>8</v>
      </c>
    </row>
    <row r="7296" spans="1:3" x14ac:dyDescent="0.3">
      <c r="A7296">
        <v>76165</v>
      </c>
      <c r="B7296">
        <v>1</v>
      </c>
      <c r="C7296">
        <v>8</v>
      </c>
    </row>
    <row r="7297" spans="1:3" x14ac:dyDescent="0.3">
      <c r="A7297">
        <v>76036</v>
      </c>
      <c r="B7297">
        <v>1</v>
      </c>
      <c r="C7297">
        <v>8</v>
      </c>
    </row>
    <row r="7298" spans="1:3" x14ac:dyDescent="0.3">
      <c r="A7298">
        <v>76035</v>
      </c>
      <c r="B7298">
        <v>1</v>
      </c>
      <c r="C7298">
        <v>8</v>
      </c>
    </row>
    <row r="7299" spans="1:3" x14ac:dyDescent="0.3">
      <c r="A7299">
        <v>75886</v>
      </c>
      <c r="B7299">
        <v>1</v>
      </c>
      <c r="C7299">
        <v>8</v>
      </c>
    </row>
    <row r="7300" spans="1:3" x14ac:dyDescent="0.3">
      <c r="A7300">
        <v>75778</v>
      </c>
      <c r="B7300">
        <v>1</v>
      </c>
      <c r="C7300">
        <v>8</v>
      </c>
    </row>
    <row r="7301" spans="1:3" x14ac:dyDescent="0.3">
      <c r="A7301">
        <v>75738</v>
      </c>
      <c r="B7301">
        <v>1</v>
      </c>
      <c r="C7301">
        <v>8</v>
      </c>
    </row>
    <row r="7302" spans="1:3" x14ac:dyDescent="0.3">
      <c r="A7302">
        <v>75414</v>
      </c>
      <c r="B7302">
        <v>1</v>
      </c>
      <c r="C7302">
        <v>8</v>
      </c>
    </row>
    <row r="7303" spans="1:3" x14ac:dyDescent="0.3">
      <c r="A7303">
        <v>75319</v>
      </c>
      <c r="B7303">
        <v>1</v>
      </c>
      <c r="C7303">
        <v>8</v>
      </c>
    </row>
    <row r="7304" spans="1:3" x14ac:dyDescent="0.3">
      <c r="A7304">
        <v>75318</v>
      </c>
      <c r="B7304">
        <v>1</v>
      </c>
      <c r="C7304">
        <v>8</v>
      </c>
    </row>
    <row r="7305" spans="1:3" x14ac:dyDescent="0.3">
      <c r="A7305">
        <v>75270</v>
      </c>
      <c r="B7305">
        <v>1</v>
      </c>
      <c r="C7305">
        <v>8</v>
      </c>
    </row>
    <row r="7306" spans="1:3" x14ac:dyDescent="0.3">
      <c r="A7306">
        <v>75207</v>
      </c>
      <c r="B7306">
        <v>1</v>
      </c>
      <c r="C7306">
        <v>8</v>
      </c>
    </row>
    <row r="7307" spans="1:3" x14ac:dyDescent="0.3">
      <c r="A7307">
        <v>75187</v>
      </c>
      <c r="B7307">
        <v>1</v>
      </c>
      <c r="C7307">
        <v>8</v>
      </c>
    </row>
    <row r="7308" spans="1:3" x14ac:dyDescent="0.3">
      <c r="A7308">
        <v>72045</v>
      </c>
      <c r="B7308">
        <v>1</v>
      </c>
      <c r="C7308">
        <v>8</v>
      </c>
    </row>
    <row r="7309" spans="1:3" x14ac:dyDescent="0.3">
      <c r="A7309">
        <v>70063</v>
      </c>
      <c r="B7309">
        <v>1</v>
      </c>
      <c r="C7309">
        <v>8</v>
      </c>
    </row>
    <row r="7310" spans="1:3" x14ac:dyDescent="0.3">
      <c r="A7310">
        <v>15242</v>
      </c>
      <c r="B7310">
        <v>1</v>
      </c>
      <c r="C7310">
        <v>8</v>
      </c>
    </row>
    <row r="7311" spans="1:3" x14ac:dyDescent="0.3">
      <c r="A7311">
        <v>67751</v>
      </c>
      <c r="B7311">
        <v>1</v>
      </c>
      <c r="C7311">
        <v>16</v>
      </c>
    </row>
    <row r="7312" spans="1:3" x14ac:dyDescent="0.3">
      <c r="A7312">
        <v>67128</v>
      </c>
      <c r="B7312">
        <v>1</v>
      </c>
      <c r="C7312">
        <v>8</v>
      </c>
    </row>
    <row r="7313" spans="1:3" x14ac:dyDescent="0.3">
      <c r="A7313">
        <v>66299</v>
      </c>
      <c r="B7313">
        <v>1</v>
      </c>
      <c r="C7313">
        <v>8</v>
      </c>
    </row>
    <row r="7314" spans="1:3" x14ac:dyDescent="0.3">
      <c r="A7314">
        <v>66088</v>
      </c>
      <c r="B7314">
        <v>1</v>
      </c>
      <c r="C7314">
        <v>16</v>
      </c>
    </row>
    <row r="7315" spans="1:3" x14ac:dyDescent="0.3">
      <c r="A7315">
        <v>16327</v>
      </c>
      <c r="B7315">
        <v>1</v>
      </c>
      <c r="C7315">
        <v>8</v>
      </c>
    </row>
    <row r="7316" spans="1:3" x14ac:dyDescent="0.3">
      <c r="A7316">
        <v>65606</v>
      </c>
      <c r="B7316">
        <v>1</v>
      </c>
      <c r="C7316">
        <v>8</v>
      </c>
    </row>
    <row r="7317" spans="1:3" x14ac:dyDescent="0.3">
      <c r="A7317">
        <v>16963</v>
      </c>
      <c r="B7317">
        <v>1</v>
      </c>
      <c r="C7317">
        <v>8</v>
      </c>
    </row>
    <row r="7318" spans="1:3" x14ac:dyDescent="0.3">
      <c r="A7318">
        <v>63025</v>
      </c>
      <c r="B7318">
        <v>1</v>
      </c>
      <c r="C7318">
        <v>8</v>
      </c>
    </row>
    <row r="7319" spans="1:3" x14ac:dyDescent="0.3">
      <c r="A7319">
        <v>61372</v>
      </c>
      <c r="B7319">
        <v>1</v>
      </c>
      <c r="C7319">
        <v>8</v>
      </c>
    </row>
    <row r="7320" spans="1:3" x14ac:dyDescent="0.3">
      <c r="A7320">
        <v>60190</v>
      </c>
      <c r="B7320">
        <v>1</v>
      </c>
      <c r="C7320">
        <v>8</v>
      </c>
    </row>
    <row r="7321" spans="1:3" x14ac:dyDescent="0.3">
      <c r="A7321">
        <v>59639</v>
      </c>
      <c r="B7321">
        <v>1</v>
      </c>
      <c r="C7321">
        <v>8</v>
      </c>
    </row>
    <row r="7322" spans="1:3" x14ac:dyDescent="0.3">
      <c r="A7322">
        <v>58335</v>
      </c>
      <c r="B7322">
        <v>1</v>
      </c>
      <c r="C7322">
        <v>8</v>
      </c>
    </row>
    <row r="7323" spans="1:3" x14ac:dyDescent="0.3">
      <c r="A7323">
        <v>57379</v>
      </c>
      <c r="B7323">
        <v>1</v>
      </c>
      <c r="C7323">
        <v>16</v>
      </c>
    </row>
    <row r="7324" spans="1:3" x14ac:dyDescent="0.3">
      <c r="A7324">
        <v>56194</v>
      </c>
      <c r="B7324">
        <v>1</v>
      </c>
      <c r="C7324">
        <v>8</v>
      </c>
    </row>
    <row r="7325" spans="1:3" x14ac:dyDescent="0.3">
      <c r="A7325">
        <v>19019</v>
      </c>
      <c r="B7325">
        <v>1</v>
      </c>
      <c r="C7325">
        <v>8</v>
      </c>
    </row>
    <row r="7326" spans="1:3" x14ac:dyDescent="0.3">
      <c r="A7326">
        <v>52400</v>
      </c>
      <c r="B7326">
        <v>1</v>
      </c>
      <c r="C7326">
        <v>16</v>
      </c>
    </row>
    <row r="7327" spans="1:3" x14ac:dyDescent="0.3">
      <c r="A7327">
        <v>52230</v>
      </c>
      <c r="B7327">
        <v>1</v>
      </c>
      <c r="C7327">
        <v>16</v>
      </c>
    </row>
    <row r="7328" spans="1:3" x14ac:dyDescent="0.3">
      <c r="A7328">
        <v>51605</v>
      </c>
      <c r="B7328">
        <v>1</v>
      </c>
      <c r="C7328">
        <v>16</v>
      </c>
    </row>
    <row r="7329" spans="1:3" x14ac:dyDescent="0.3">
      <c r="A7329">
        <v>51576</v>
      </c>
      <c r="B7329">
        <v>1</v>
      </c>
      <c r="C7329">
        <v>8</v>
      </c>
    </row>
    <row r="7330" spans="1:3" x14ac:dyDescent="0.3">
      <c r="A7330">
        <v>51086</v>
      </c>
      <c r="B7330">
        <v>1</v>
      </c>
      <c r="C7330">
        <v>8</v>
      </c>
    </row>
    <row r="7331" spans="1:3" x14ac:dyDescent="0.3">
      <c r="A7331">
        <v>50250</v>
      </c>
      <c r="B7331">
        <v>1</v>
      </c>
      <c r="C7331">
        <v>8</v>
      </c>
    </row>
    <row r="7332" spans="1:3" x14ac:dyDescent="0.3">
      <c r="A7332">
        <v>46659</v>
      </c>
      <c r="B7332">
        <v>1</v>
      </c>
      <c r="C7332">
        <v>8</v>
      </c>
    </row>
    <row r="7333" spans="1:3" x14ac:dyDescent="0.3">
      <c r="A7333">
        <v>43565</v>
      </c>
      <c r="B7333">
        <v>1</v>
      </c>
      <c r="C7333">
        <v>8</v>
      </c>
    </row>
    <row r="7334" spans="1:3" x14ac:dyDescent="0.3">
      <c r="A7334">
        <v>43342</v>
      </c>
      <c r="B7334">
        <v>1</v>
      </c>
      <c r="C7334">
        <v>8</v>
      </c>
    </row>
    <row r="7335" spans="1:3" x14ac:dyDescent="0.3">
      <c r="A7335">
        <v>42111</v>
      </c>
      <c r="B7335">
        <v>1</v>
      </c>
      <c r="C7335">
        <v>8</v>
      </c>
    </row>
    <row r="7336" spans="1:3" x14ac:dyDescent="0.3">
      <c r="A7336">
        <v>22795</v>
      </c>
      <c r="B7336">
        <v>1</v>
      </c>
      <c r="C7336">
        <v>8</v>
      </c>
    </row>
    <row r="7337" spans="1:3" x14ac:dyDescent="0.3">
      <c r="A7337">
        <v>38397</v>
      </c>
      <c r="B7337">
        <v>1</v>
      </c>
      <c r="C7337">
        <v>8</v>
      </c>
    </row>
    <row r="7338" spans="1:3" x14ac:dyDescent="0.3">
      <c r="A7338">
        <v>34460</v>
      </c>
      <c r="B7338">
        <v>1</v>
      </c>
      <c r="C7338">
        <v>8</v>
      </c>
    </row>
    <row r="7339" spans="1:3" x14ac:dyDescent="0.3">
      <c r="A7339">
        <v>33873</v>
      </c>
      <c r="B7339">
        <v>1</v>
      </c>
      <c r="C7339">
        <v>16</v>
      </c>
    </row>
    <row r="7340" spans="1:3" x14ac:dyDescent="0.3">
      <c r="A7340">
        <v>24363</v>
      </c>
      <c r="B7340">
        <v>1</v>
      </c>
      <c r="C7340">
        <v>16</v>
      </c>
    </row>
    <row r="7341" spans="1:3" x14ac:dyDescent="0.3">
      <c r="A7341">
        <v>28024</v>
      </c>
      <c r="B7341">
        <v>1</v>
      </c>
      <c r="C7341">
        <v>8</v>
      </c>
    </row>
    <row r="7342" spans="1:3" x14ac:dyDescent="0.3">
      <c r="A7342">
        <v>27163</v>
      </c>
      <c r="B7342">
        <v>1</v>
      </c>
      <c r="C7342">
        <v>8</v>
      </c>
    </row>
    <row r="7343" spans="1:3" x14ac:dyDescent="0.3">
      <c r="A7343">
        <v>26283</v>
      </c>
      <c r="B7343">
        <v>1</v>
      </c>
      <c r="C7343">
        <v>16</v>
      </c>
    </row>
    <row r="7344" spans="1:3" x14ac:dyDescent="0.3">
      <c r="A7344">
        <v>79684</v>
      </c>
      <c r="B7344">
        <v>1</v>
      </c>
      <c r="C7344">
        <v>8</v>
      </c>
    </row>
    <row r="7345" spans="1:3" x14ac:dyDescent="0.3">
      <c r="A7345">
        <v>78616</v>
      </c>
      <c r="B7345">
        <v>1</v>
      </c>
      <c r="C7345">
        <v>8</v>
      </c>
    </row>
    <row r="7346" spans="1:3" x14ac:dyDescent="0.3">
      <c r="A7346">
        <v>78109</v>
      </c>
      <c r="B7346">
        <v>1</v>
      </c>
      <c r="C7346">
        <v>8</v>
      </c>
    </row>
    <row r="7347" spans="1:3" x14ac:dyDescent="0.3">
      <c r="A7347">
        <v>77491</v>
      </c>
      <c r="B7347">
        <v>1</v>
      </c>
      <c r="C7347">
        <v>8</v>
      </c>
    </row>
    <row r="7348" spans="1:3" x14ac:dyDescent="0.3">
      <c r="A7348">
        <v>77327</v>
      </c>
      <c r="B7348">
        <v>1</v>
      </c>
      <c r="C7348">
        <v>8</v>
      </c>
    </row>
    <row r="7349" spans="1:3" x14ac:dyDescent="0.3">
      <c r="A7349">
        <v>77186</v>
      </c>
      <c r="B7349">
        <v>1</v>
      </c>
      <c r="C7349">
        <v>8</v>
      </c>
    </row>
    <row r="7350" spans="1:3" x14ac:dyDescent="0.3">
      <c r="A7350">
        <v>77185</v>
      </c>
      <c r="B7350">
        <v>1</v>
      </c>
      <c r="C7350">
        <v>16</v>
      </c>
    </row>
    <row r="7351" spans="1:3" x14ac:dyDescent="0.3">
      <c r="A7351">
        <v>72633</v>
      </c>
      <c r="B7351">
        <v>1</v>
      </c>
      <c r="C7351">
        <v>16</v>
      </c>
    </row>
    <row r="7352" spans="1:3" x14ac:dyDescent="0.3">
      <c r="A7352">
        <v>72632</v>
      </c>
      <c r="B7352">
        <v>1</v>
      </c>
      <c r="C7352">
        <v>8</v>
      </c>
    </row>
    <row r="7353" spans="1:3" x14ac:dyDescent="0.3">
      <c r="A7353">
        <v>72306</v>
      </c>
      <c r="B7353">
        <v>1</v>
      </c>
      <c r="C7353">
        <v>8</v>
      </c>
    </row>
    <row r="7354" spans="1:3" x14ac:dyDescent="0.3">
      <c r="A7354">
        <v>66724</v>
      </c>
      <c r="B7354">
        <v>1</v>
      </c>
      <c r="C7354">
        <v>16</v>
      </c>
    </row>
    <row r="7355" spans="1:3" x14ac:dyDescent="0.3">
      <c r="A7355">
        <v>16238</v>
      </c>
      <c r="B7355">
        <v>1</v>
      </c>
      <c r="C7355">
        <v>8</v>
      </c>
    </row>
    <row r="7356" spans="1:3" x14ac:dyDescent="0.3">
      <c r="A7356">
        <v>65311</v>
      </c>
      <c r="B7356">
        <v>1</v>
      </c>
      <c r="C7356">
        <v>8</v>
      </c>
    </row>
    <row r="7357" spans="1:3" x14ac:dyDescent="0.3">
      <c r="A7357">
        <v>16759</v>
      </c>
      <c r="B7357">
        <v>1</v>
      </c>
      <c r="C7357">
        <v>8</v>
      </c>
    </row>
    <row r="7358" spans="1:3" x14ac:dyDescent="0.3">
      <c r="A7358">
        <v>17903</v>
      </c>
      <c r="B7358">
        <v>1</v>
      </c>
      <c r="C7358">
        <v>8</v>
      </c>
    </row>
    <row r="7359" spans="1:3" x14ac:dyDescent="0.3">
      <c r="A7359">
        <v>60210</v>
      </c>
      <c r="B7359">
        <v>1</v>
      </c>
      <c r="C7359">
        <v>8</v>
      </c>
    </row>
    <row r="7360" spans="1:3" x14ac:dyDescent="0.3">
      <c r="A7360">
        <v>18344</v>
      </c>
      <c r="B7360">
        <v>1</v>
      </c>
      <c r="C7360">
        <v>8</v>
      </c>
    </row>
    <row r="7361" spans="1:3" x14ac:dyDescent="0.3">
      <c r="A7361">
        <v>54273</v>
      </c>
      <c r="B7361">
        <v>1</v>
      </c>
      <c r="C7361">
        <v>16</v>
      </c>
    </row>
    <row r="7362" spans="1:3" x14ac:dyDescent="0.3">
      <c r="A7362">
        <v>19213</v>
      </c>
      <c r="B7362">
        <v>1</v>
      </c>
      <c r="C7362">
        <v>16</v>
      </c>
    </row>
    <row r="7363" spans="1:3" x14ac:dyDescent="0.3">
      <c r="A7363">
        <v>19295</v>
      </c>
      <c r="B7363">
        <v>1</v>
      </c>
      <c r="C7363">
        <v>8</v>
      </c>
    </row>
    <row r="7364" spans="1:3" x14ac:dyDescent="0.3">
      <c r="A7364">
        <v>50739</v>
      </c>
      <c r="B7364">
        <v>1</v>
      </c>
      <c r="C7364">
        <v>16</v>
      </c>
    </row>
    <row r="7365" spans="1:3" x14ac:dyDescent="0.3">
      <c r="A7365">
        <v>46820</v>
      </c>
      <c r="B7365">
        <v>1</v>
      </c>
      <c r="C7365">
        <v>16</v>
      </c>
    </row>
    <row r="7366" spans="1:3" x14ac:dyDescent="0.3">
      <c r="A7366">
        <v>42471</v>
      </c>
      <c r="B7366">
        <v>1</v>
      </c>
      <c r="C7366">
        <v>8</v>
      </c>
    </row>
    <row r="7367" spans="1:3" x14ac:dyDescent="0.3">
      <c r="A7367">
        <v>41244</v>
      </c>
      <c r="B7367">
        <v>1</v>
      </c>
      <c r="C7367">
        <v>8</v>
      </c>
    </row>
    <row r="7368" spans="1:3" x14ac:dyDescent="0.3">
      <c r="A7368">
        <v>39417</v>
      </c>
      <c r="B7368">
        <v>1</v>
      </c>
      <c r="C7368">
        <v>8</v>
      </c>
    </row>
    <row r="7369" spans="1:3" x14ac:dyDescent="0.3">
      <c r="A7369">
        <v>38768</v>
      </c>
      <c r="B7369">
        <v>2</v>
      </c>
      <c r="C7369">
        <v>16</v>
      </c>
    </row>
    <row r="7370" spans="1:3" x14ac:dyDescent="0.3">
      <c r="A7370">
        <v>38719</v>
      </c>
      <c r="B7370">
        <v>2</v>
      </c>
      <c r="C7370">
        <v>16</v>
      </c>
    </row>
    <row r="7371" spans="1:3" x14ac:dyDescent="0.3">
      <c r="A7371">
        <v>38625</v>
      </c>
      <c r="B7371">
        <v>1</v>
      </c>
      <c r="C7371">
        <v>16</v>
      </c>
    </row>
    <row r="7372" spans="1:3" x14ac:dyDescent="0.3">
      <c r="A7372">
        <v>36834</v>
      </c>
      <c r="B7372">
        <v>1</v>
      </c>
      <c r="C7372">
        <v>8</v>
      </c>
    </row>
    <row r="7373" spans="1:3" x14ac:dyDescent="0.3">
      <c r="A7373">
        <v>33522</v>
      </c>
      <c r="B7373">
        <v>1</v>
      </c>
      <c r="C7373">
        <v>8</v>
      </c>
    </row>
    <row r="7374" spans="1:3" x14ac:dyDescent="0.3">
      <c r="A7374">
        <v>30117</v>
      </c>
      <c r="B7374">
        <v>2</v>
      </c>
      <c r="C7374">
        <v>16</v>
      </c>
    </row>
    <row r="7375" spans="1:3" x14ac:dyDescent="0.3">
      <c r="A7375">
        <v>24567</v>
      </c>
      <c r="B7375">
        <v>1</v>
      </c>
      <c r="C7375">
        <v>8</v>
      </c>
    </row>
    <row r="7376" spans="1:3" x14ac:dyDescent="0.3">
      <c r="A7376">
        <v>26754</v>
      </c>
      <c r="B7376">
        <v>1</v>
      </c>
      <c r="C7376">
        <v>8</v>
      </c>
    </row>
    <row r="7377" spans="1:3" x14ac:dyDescent="0.3">
      <c r="A7377">
        <v>25634</v>
      </c>
      <c r="B7377">
        <v>1</v>
      </c>
      <c r="C7377">
        <v>8</v>
      </c>
    </row>
    <row r="7378" spans="1:3" x14ac:dyDescent="0.3">
      <c r="A7378">
        <v>80697</v>
      </c>
      <c r="B7378">
        <v>1</v>
      </c>
      <c r="C7378">
        <v>8</v>
      </c>
    </row>
    <row r="7379" spans="1:3" x14ac:dyDescent="0.3">
      <c r="A7379">
        <v>79137</v>
      </c>
      <c r="B7379">
        <v>1</v>
      </c>
      <c r="C7379">
        <v>8</v>
      </c>
    </row>
    <row r="7380" spans="1:3" x14ac:dyDescent="0.3">
      <c r="A7380">
        <v>78617</v>
      </c>
      <c r="B7380">
        <v>1</v>
      </c>
      <c r="C7380">
        <v>8</v>
      </c>
    </row>
    <row r="7381" spans="1:3" x14ac:dyDescent="0.3">
      <c r="A7381">
        <v>10593</v>
      </c>
      <c r="B7381">
        <v>1</v>
      </c>
      <c r="C7381">
        <v>8</v>
      </c>
    </row>
    <row r="7382" spans="1:3" x14ac:dyDescent="0.3">
      <c r="A7382">
        <v>78365</v>
      </c>
      <c r="B7382">
        <v>1</v>
      </c>
      <c r="C7382">
        <v>8</v>
      </c>
    </row>
    <row r="7383" spans="1:3" x14ac:dyDescent="0.3">
      <c r="A7383">
        <v>78326</v>
      </c>
      <c r="B7383">
        <v>1</v>
      </c>
      <c r="C7383">
        <v>8</v>
      </c>
    </row>
    <row r="7384" spans="1:3" x14ac:dyDescent="0.3">
      <c r="A7384">
        <v>77808</v>
      </c>
      <c r="B7384">
        <v>1</v>
      </c>
      <c r="C7384">
        <v>8</v>
      </c>
    </row>
    <row r="7385" spans="1:3" x14ac:dyDescent="0.3">
      <c r="A7385">
        <v>77579</v>
      </c>
      <c r="B7385">
        <v>2</v>
      </c>
      <c r="C7385">
        <v>16</v>
      </c>
    </row>
    <row r="7386" spans="1:3" x14ac:dyDescent="0.3">
      <c r="A7386">
        <v>77579</v>
      </c>
      <c r="B7386">
        <v>2</v>
      </c>
      <c r="C7386">
        <v>16</v>
      </c>
    </row>
    <row r="7387" spans="1:3" x14ac:dyDescent="0.3">
      <c r="A7387">
        <v>77578</v>
      </c>
      <c r="B7387">
        <v>1</v>
      </c>
      <c r="C7387">
        <v>8</v>
      </c>
    </row>
    <row r="7388" spans="1:3" x14ac:dyDescent="0.3">
      <c r="A7388">
        <v>77577</v>
      </c>
      <c r="B7388">
        <v>1</v>
      </c>
      <c r="C7388">
        <v>8</v>
      </c>
    </row>
    <row r="7389" spans="1:3" x14ac:dyDescent="0.3">
      <c r="A7389">
        <v>77372</v>
      </c>
      <c r="B7389">
        <v>1</v>
      </c>
      <c r="C7389">
        <v>8</v>
      </c>
    </row>
    <row r="7390" spans="1:3" x14ac:dyDescent="0.3">
      <c r="A7390">
        <v>76809</v>
      </c>
      <c r="B7390">
        <v>1</v>
      </c>
      <c r="C7390">
        <v>8</v>
      </c>
    </row>
    <row r="7391" spans="1:3" x14ac:dyDescent="0.3">
      <c r="A7391">
        <v>76748</v>
      </c>
      <c r="B7391">
        <v>2</v>
      </c>
      <c r="C7391">
        <v>16</v>
      </c>
    </row>
    <row r="7392" spans="1:3" x14ac:dyDescent="0.3">
      <c r="A7392">
        <v>76748</v>
      </c>
      <c r="B7392">
        <v>2</v>
      </c>
      <c r="C7392">
        <v>16</v>
      </c>
    </row>
    <row r="7393" spans="1:3" x14ac:dyDescent="0.3">
      <c r="A7393">
        <v>76685</v>
      </c>
      <c r="B7393">
        <v>1</v>
      </c>
      <c r="C7393">
        <v>8</v>
      </c>
    </row>
    <row r="7394" spans="1:3" x14ac:dyDescent="0.3">
      <c r="A7394">
        <v>76612</v>
      </c>
      <c r="B7394">
        <v>1</v>
      </c>
      <c r="C7394">
        <v>8</v>
      </c>
    </row>
    <row r="7395" spans="1:3" x14ac:dyDescent="0.3">
      <c r="A7395">
        <v>76514</v>
      </c>
      <c r="B7395">
        <v>1</v>
      </c>
      <c r="C7395">
        <v>8</v>
      </c>
    </row>
    <row r="7396" spans="1:3" x14ac:dyDescent="0.3">
      <c r="A7396">
        <v>75875</v>
      </c>
      <c r="B7396">
        <v>1</v>
      </c>
      <c r="C7396">
        <v>16</v>
      </c>
    </row>
    <row r="7397" spans="1:3" x14ac:dyDescent="0.3">
      <c r="A7397">
        <v>75874</v>
      </c>
      <c r="B7397">
        <v>1</v>
      </c>
      <c r="C7397">
        <v>8</v>
      </c>
    </row>
    <row r="7398" spans="1:3" x14ac:dyDescent="0.3">
      <c r="A7398">
        <v>75388</v>
      </c>
      <c r="B7398">
        <v>1</v>
      </c>
      <c r="C7398">
        <v>8</v>
      </c>
    </row>
    <row r="7399" spans="1:3" x14ac:dyDescent="0.3">
      <c r="A7399">
        <v>75347</v>
      </c>
      <c r="B7399">
        <v>1</v>
      </c>
      <c r="C7399">
        <v>8</v>
      </c>
    </row>
    <row r="7400" spans="1:3" x14ac:dyDescent="0.3">
      <c r="A7400">
        <v>72503</v>
      </c>
      <c r="B7400">
        <v>1</v>
      </c>
      <c r="C7400">
        <v>8</v>
      </c>
    </row>
    <row r="7401" spans="1:3" x14ac:dyDescent="0.3">
      <c r="A7401">
        <v>13915</v>
      </c>
      <c r="B7401">
        <v>1</v>
      </c>
      <c r="C7401">
        <v>8</v>
      </c>
    </row>
    <row r="7402" spans="1:3" x14ac:dyDescent="0.3">
      <c r="A7402">
        <v>71757</v>
      </c>
      <c r="B7402">
        <v>1</v>
      </c>
      <c r="C7402">
        <v>8</v>
      </c>
    </row>
    <row r="7403" spans="1:3" x14ac:dyDescent="0.3">
      <c r="A7403">
        <v>71756</v>
      </c>
      <c r="B7403">
        <v>1</v>
      </c>
      <c r="C7403">
        <v>16</v>
      </c>
    </row>
    <row r="7404" spans="1:3" x14ac:dyDescent="0.3">
      <c r="A7404">
        <v>71682</v>
      </c>
      <c r="B7404">
        <v>1</v>
      </c>
      <c r="C7404">
        <v>8</v>
      </c>
    </row>
    <row r="7405" spans="1:3" x14ac:dyDescent="0.3">
      <c r="A7405">
        <v>14528</v>
      </c>
      <c r="B7405">
        <v>2</v>
      </c>
      <c r="C7405">
        <v>16</v>
      </c>
    </row>
    <row r="7406" spans="1:3" x14ac:dyDescent="0.3">
      <c r="A7406">
        <v>14528</v>
      </c>
      <c r="B7406">
        <v>2</v>
      </c>
      <c r="C7406">
        <v>16</v>
      </c>
    </row>
    <row r="7407" spans="1:3" x14ac:dyDescent="0.3">
      <c r="A7407">
        <v>71032</v>
      </c>
      <c r="B7407">
        <v>1</v>
      </c>
      <c r="C7407">
        <v>8</v>
      </c>
    </row>
    <row r="7408" spans="1:3" x14ac:dyDescent="0.3">
      <c r="A7408">
        <v>70673</v>
      </c>
      <c r="B7408">
        <v>1</v>
      </c>
      <c r="C7408">
        <v>16</v>
      </c>
    </row>
    <row r="7409" spans="1:3" x14ac:dyDescent="0.3">
      <c r="A7409">
        <v>69996</v>
      </c>
      <c r="B7409">
        <v>2</v>
      </c>
      <c r="C7409">
        <v>16</v>
      </c>
    </row>
    <row r="7410" spans="1:3" x14ac:dyDescent="0.3">
      <c r="A7410">
        <v>69996</v>
      </c>
      <c r="B7410">
        <v>2</v>
      </c>
      <c r="C7410">
        <v>16</v>
      </c>
    </row>
    <row r="7411" spans="1:3" x14ac:dyDescent="0.3">
      <c r="A7411">
        <v>67378</v>
      </c>
      <c r="B7411">
        <v>1</v>
      </c>
      <c r="C7411">
        <v>16</v>
      </c>
    </row>
    <row r="7412" spans="1:3" x14ac:dyDescent="0.3">
      <c r="A7412">
        <v>67060</v>
      </c>
      <c r="B7412">
        <v>1</v>
      </c>
      <c r="C7412">
        <v>8</v>
      </c>
    </row>
    <row r="7413" spans="1:3" x14ac:dyDescent="0.3">
      <c r="A7413">
        <v>65637</v>
      </c>
      <c r="B7413">
        <v>1</v>
      </c>
      <c r="C7413">
        <v>8</v>
      </c>
    </row>
    <row r="7414" spans="1:3" x14ac:dyDescent="0.3">
      <c r="A7414">
        <v>16421</v>
      </c>
      <c r="B7414">
        <v>1</v>
      </c>
      <c r="C7414">
        <v>8</v>
      </c>
    </row>
    <row r="7415" spans="1:3" x14ac:dyDescent="0.3">
      <c r="A7415">
        <v>65353</v>
      </c>
      <c r="B7415">
        <v>1</v>
      </c>
      <c r="C7415">
        <v>8</v>
      </c>
    </row>
    <row r="7416" spans="1:3" x14ac:dyDescent="0.3">
      <c r="A7416">
        <v>64477</v>
      </c>
      <c r="B7416">
        <v>1</v>
      </c>
      <c r="C7416">
        <v>16</v>
      </c>
    </row>
    <row r="7417" spans="1:3" x14ac:dyDescent="0.3">
      <c r="A7417">
        <v>62188</v>
      </c>
      <c r="B7417">
        <v>1</v>
      </c>
      <c r="C7417">
        <v>8</v>
      </c>
    </row>
    <row r="7418" spans="1:3" x14ac:dyDescent="0.3">
      <c r="A7418">
        <v>61522</v>
      </c>
      <c r="B7418">
        <v>2</v>
      </c>
      <c r="C7418">
        <v>16</v>
      </c>
    </row>
    <row r="7419" spans="1:3" x14ac:dyDescent="0.3">
      <c r="A7419">
        <v>61522</v>
      </c>
      <c r="B7419">
        <v>2</v>
      </c>
      <c r="C7419">
        <v>16</v>
      </c>
    </row>
    <row r="7420" spans="1:3" x14ac:dyDescent="0.3">
      <c r="A7420">
        <v>61460</v>
      </c>
      <c r="B7420">
        <v>1</v>
      </c>
      <c r="C7420">
        <v>16</v>
      </c>
    </row>
    <row r="7421" spans="1:3" x14ac:dyDescent="0.3">
      <c r="A7421">
        <v>57868</v>
      </c>
      <c r="B7421">
        <v>1</v>
      </c>
      <c r="C7421">
        <v>8</v>
      </c>
    </row>
    <row r="7422" spans="1:3" x14ac:dyDescent="0.3">
      <c r="A7422">
        <v>57557</v>
      </c>
      <c r="B7422">
        <v>1</v>
      </c>
      <c r="C7422">
        <v>8</v>
      </c>
    </row>
    <row r="7423" spans="1:3" x14ac:dyDescent="0.3">
      <c r="A7423">
        <v>57061</v>
      </c>
      <c r="B7423">
        <v>1</v>
      </c>
      <c r="C7423">
        <v>16</v>
      </c>
    </row>
    <row r="7424" spans="1:3" x14ac:dyDescent="0.3">
      <c r="A7424">
        <v>55486</v>
      </c>
      <c r="B7424">
        <v>1</v>
      </c>
      <c r="C7424">
        <v>8</v>
      </c>
    </row>
    <row r="7425" spans="1:3" x14ac:dyDescent="0.3">
      <c r="A7425">
        <v>54272</v>
      </c>
      <c r="B7425">
        <v>1</v>
      </c>
      <c r="C7425">
        <v>8</v>
      </c>
    </row>
    <row r="7426" spans="1:3" x14ac:dyDescent="0.3">
      <c r="A7426">
        <v>50683</v>
      </c>
      <c r="B7426">
        <v>3</v>
      </c>
      <c r="C7426">
        <v>16</v>
      </c>
    </row>
    <row r="7427" spans="1:3" x14ac:dyDescent="0.3">
      <c r="A7427">
        <v>50683</v>
      </c>
      <c r="B7427">
        <v>3</v>
      </c>
      <c r="C7427">
        <v>16</v>
      </c>
    </row>
    <row r="7428" spans="1:3" x14ac:dyDescent="0.3">
      <c r="A7428">
        <v>50683</v>
      </c>
      <c r="B7428">
        <v>3</v>
      </c>
      <c r="C7428">
        <v>16</v>
      </c>
    </row>
    <row r="7429" spans="1:3" x14ac:dyDescent="0.3">
      <c r="A7429">
        <v>50139</v>
      </c>
      <c r="B7429">
        <v>1</v>
      </c>
      <c r="C7429">
        <v>16</v>
      </c>
    </row>
    <row r="7430" spans="1:3" x14ac:dyDescent="0.3">
      <c r="A7430">
        <v>47224</v>
      </c>
      <c r="B7430">
        <v>1</v>
      </c>
      <c r="C7430">
        <v>8</v>
      </c>
    </row>
    <row r="7431" spans="1:3" x14ac:dyDescent="0.3">
      <c r="A7431">
        <v>47054</v>
      </c>
      <c r="B7431">
        <v>1</v>
      </c>
      <c r="C7431">
        <v>8</v>
      </c>
    </row>
    <row r="7432" spans="1:3" x14ac:dyDescent="0.3">
      <c r="A7432">
        <v>40882</v>
      </c>
      <c r="B7432">
        <v>1</v>
      </c>
      <c r="C7432">
        <v>8</v>
      </c>
    </row>
    <row r="7433" spans="1:3" x14ac:dyDescent="0.3">
      <c r="A7433">
        <v>40167</v>
      </c>
      <c r="B7433">
        <v>1</v>
      </c>
      <c r="C7433">
        <v>8</v>
      </c>
    </row>
    <row r="7434" spans="1:3" x14ac:dyDescent="0.3">
      <c r="A7434">
        <v>40166</v>
      </c>
      <c r="B7434">
        <v>1</v>
      </c>
      <c r="C7434">
        <v>8</v>
      </c>
    </row>
    <row r="7435" spans="1:3" x14ac:dyDescent="0.3">
      <c r="A7435">
        <v>39870</v>
      </c>
      <c r="B7435">
        <v>1</v>
      </c>
      <c r="C7435">
        <v>8</v>
      </c>
    </row>
    <row r="7436" spans="1:3" x14ac:dyDescent="0.3">
      <c r="A7436">
        <v>39416</v>
      </c>
      <c r="B7436">
        <v>1</v>
      </c>
      <c r="C7436">
        <v>8</v>
      </c>
    </row>
    <row r="7437" spans="1:3" x14ac:dyDescent="0.3">
      <c r="A7437">
        <v>38165</v>
      </c>
      <c r="B7437">
        <v>1</v>
      </c>
      <c r="C7437">
        <v>8</v>
      </c>
    </row>
    <row r="7438" spans="1:3" x14ac:dyDescent="0.3">
      <c r="A7438">
        <v>37433</v>
      </c>
      <c r="B7438">
        <v>1</v>
      </c>
      <c r="C7438">
        <v>16</v>
      </c>
    </row>
    <row r="7439" spans="1:3" x14ac:dyDescent="0.3">
      <c r="A7439">
        <v>36837</v>
      </c>
      <c r="B7439">
        <v>1</v>
      </c>
      <c r="C7439">
        <v>8</v>
      </c>
    </row>
    <row r="7440" spans="1:3" x14ac:dyDescent="0.3">
      <c r="A7440">
        <v>36398</v>
      </c>
      <c r="B7440">
        <v>1</v>
      </c>
      <c r="C7440">
        <v>8</v>
      </c>
    </row>
    <row r="7441" spans="1:3" x14ac:dyDescent="0.3">
      <c r="A7441">
        <v>36107</v>
      </c>
      <c r="B7441">
        <v>1</v>
      </c>
      <c r="C7441">
        <v>8</v>
      </c>
    </row>
    <row r="7442" spans="1:3" x14ac:dyDescent="0.3">
      <c r="A7442">
        <v>36105</v>
      </c>
      <c r="B7442">
        <v>1</v>
      </c>
      <c r="C7442">
        <v>8</v>
      </c>
    </row>
    <row r="7443" spans="1:3" x14ac:dyDescent="0.3">
      <c r="A7443">
        <v>35260</v>
      </c>
      <c r="B7443">
        <v>1</v>
      </c>
      <c r="C7443">
        <v>8</v>
      </c>
    </row>
    <row r="7444" spans="1:3" x14ac:dyDescent="0.3">
      <c r="A7444">
        <v>31405</v>
      </c>
      <c r="B7444">
        <v>1</v>
      </c>
      <c r="C7444">
        <v>8</v>
      </c>
    </row>
    <row r="7445" spans="1:3" x14ac:dyDescent="0.3">
      <c r="A7445">
        <v>30964</v>
      </c>
      <c r="B7445">
        <v>1</v>
      </c>
      <c r="C7445">
        <v>16</v>
      </c>
    </row>
    <row r="7446" spans="1:3" x14ac:dyDescent="0.3">
      <c r="A7446">
        <v>29585</v>
      </c>
      <c r="B7446">
        <v>1</v>
      </c>
      <c r="C7446">
        <v>8</v>
      </c>
    </row>
    <row r="7447" spans="1:3" x14ac:dyDescent="0.3">
      <c r="A7447">
        <v>24566</v>
      </c>
      <c r="B7447">
        <v>1</v>
      </c>
      <c r="C7447">
        <v>8</v>
      </c>
    </row>
    <row r="7448" spans="1:3" x14ac:dyDescent="0.3">
      <c r="A7448">
        <v>27900</v>
      </c>
      <c r="B7448">
        <v>1</v>
      </c>
      <c r="C7448">
        <v>8</v>
      </c>
    </row>
    <row r="7449" spans="1:3" x14ac:dyDescent="0.3">
      <c r="A7449">
        <v>26931</v>
      </c>
      <c r="B7449">
        <v>1</v>
      </c>
      <c r="C7449">
        <v>8</v>
      </c>
    </row>
    <row r="7450" spans="1:3" x14ac:dyDescent="0.3">
      <c r="A7450">
        <v>79144</v>
      </c>
      <c r="B7450">
        <v>1</v>
      </c>
      <c r="C7450">
        <v>8</v>
      </c>
    </row>
    <row r="7451" spans="1:3" x14ac:dyDescent="0.3">
      <c r="A7451">
        <v>79142</v>
      </c>
      <c r="B7451">
        <v>1</v>
      </c>
      <c r="C7451">
        <v>8</v>
      </c>
    </row>
    <row r="7452" spans="1:3" x14ac:dyDescent="0.3">
      <c r="A7452">
        <v>77937</v>
      </c>
      <c r="B7452">
        <v>1</v>
      </c>
      <c r="C7452">
        <v>8</v>
      </c>
    </row>
    <row r="7453" spans="1:3" x14ac:dyDescent="0.3">
      <c r="A7453">
        <v>77706</v>
      </c>
      <c r="B7453">
        <v>1</v>
      </c>
      <c r="C7453">
        <v>8</v>
      </c>
    </row>
    <row r="7454" spans="1:3" x14ac:dyDescent="0.3">
      <c r="A7454">
        <v>75832</v>
      </c>
      <c r="B7454">
        <v>1</v>
      </c>
      <c r="C7454">
        <v>8</v>
      </c>
    </row>
    <row r="7455" spans="1:3" x14ac:dyDescent="0.3">
      <c r="A7455">
        <v>13129</v>
      </c>
      <c r="B7455">
        <v>1</v>
      </c>
      <c r="C7455">
        <v>16</v>
      </c>
    </row>
    <row r="7456" spans="1:3" x14ac:dyDescent="0.3">
      <c r="A7456">
        <v>16029</v>
      </c>
      <c r="B7456">
        <v>1</v>
      </c>
      <c r="C7456">
        <v>8</v>
      </c>
    </row>
    <row r="7457" spans="1:3" x14ac:dyDescent="0.3">
      <c r="A7457">
        <v>66216</v>
      </c>
      <c r="B7457">
        <v>1</v>
      </c>
      <c r="C7457">
        <v>8</v>
      </c>
    </row>
    <row r="7458" spans="1:3" x14ac:dyDescent="0.3">
      <c r="A7458">
        <v>61585</v>
      </c>
      <c r="B7458">
        <v>1</v>
      </c>
      <c r="C7458">
        <v>8</v>
      </c>
    </row>
    <row r="7459" spans="1:3" x14ac:dyDescent="0.3">
      <c r="A7459">
        <v>61406</v>
      </c>
      <c r="B7459">
        <v>1</v>
      </c>
      <c r="C7459">
        <v>16</v>
      </c>
    </row>
    <row r="7460" spans="1:3" x14ac:dyDescent="0.3">
      <c r="A7460">
        <v>60933</v>
      </c>
      <c r="B7460">
        <v>1</v>
      </c>
      <c r="C7460">
        <v>8</v>
      </c>
    </row>
    <row r="7461" spans="1:3" x14ac:dyDescent="0.3">
      <c r="A7461">
        <v>18464</v>
      </c>
      <c r="B7461">
        <v>1</v>
      </c>
      <c r="C7461">
        <v>8</v>
      </c>
    </row>
    <row r="7462" spans="1:3" x14ac:dyDescent="0.3">
      <c r="A7462">
        <v>56750</v>
      </c>
      <c r="B7462">
        <v>2</v>
      </c>
      <c r="C7462">
        <v>16</v>
      </c>
    </row>
    <row r="7463" spans="1:3" x14ac:dyDescent="0.3">
      <c r="A7463">
        <v>19747</v>
      </c>
      <c r="B7463">
        <v>2</v>
      </c>
      <c r="C7463">
        <v>16</v>
      </c>
    </row>
    <row r="7464" spans="1:3" x14ac:dyDescent="0.3">
      <c r="A7464">
        <v>19799</v>
      </c>
      <c r="B7464">
        <v>1</v>
      </c>
      <c r="C7464">
        <v>8</v>
      </c>
    </row>
    <row r="7465" spans="1:3" x14ac:dyDescent="0.3">
      <c r="A7465">
        <v>50113</v>
      </c>
      <c r="B7465">
        <v>1</v>
      </c>
      <c r="C7465">
        <v>16</v>
      </c>
    </row>
    <row r="7466" spans="1:3" x14ac:dyDescent="0.3">
      <c r="A7466">
        <v>49653</v>
      </c>
      <c r="B7466">
        <v>1</v>
      </c>
      <c r="C7466">
        <v>8</v>
      </c>
    </row>
    <row r="7467" spans="1:3" x14ac:dyDescent="0.3">
      <c r="A7467">
        <v>21124</v>
      </c>
      <c r="B7467">
        <v>1</v>
      </c>
      <c r="C7467">
        <v>8</v>
      </c>
    </row>
    <row r="7468" spans="1:3" x14ac:dyDescent="0.3">
      <c r="A7468">
        <v>48352</v>
      </c>
      <c r="B7468">
        <v>1</v>
      </c>
      <c r="C7468">
        <v>8</v>
      </c>
    </row>
    <row r="7469" spans="1:3" x14ac:dyDescent="0.3">
      <c r="A7469">
        <v>47537</v>
      </c>
      <c r="B7469">
        <v>1</v>
      </c>
      <c r="C7469">
        <v>8</v>
      </c>
    </row>
    <row r="7470" spans="1:3" x14ac:dyDescent="0.3">
      <c r="A7470">
        <v>46339</v>
      </c>
      <c r="B7470">
        <v>1</v>
      </c>
      <c r="C7470">
        <v>16</v>
      </c>
    </row>
    <row r="7471" spans="1:3" x14ac:dyDescent="0.3">
      <c r="A7471">
        <v>21700</v>
      </c>
      <c r="B7471">
        <v>1</v>
      </c>
      <c r="C7471">
        <v>8</v>
      </c>
    </row>
    <row r="7472" spans="1:3" x14ac:dyDescent="0.3">
      <c r="A7472">
        <v>45104</v>
      </c>
      <c r="B7472">
        <v>2</v>
      </c>
      <c r="C7472">
        <v>16</v>
      </c>
    </row>
    <row r="7473" spans="1:3" x14ac:dyDescent="0.3">
      <c r="A7473">
        <v>43536</v>
      </c>
      <c r="B7473">
        <v>1</v>
      </c>
      <c r="C7473">
        <v>16</v>
      </c>
    </row>
    <row r="7474" spans="1:3" x14ac:dyDescent="0.3">
      <c r="A7474">
        <v>43512</v>
      </c>
      <c r="B7474">
        <v>1</v>
      </c>
      <c r="C7474">
        <v>8</v>
      </c>
    </row>
    <row r="7475" spans="1:3" x14ac:dyDescent="0.3">
      <c r="A7475">
        <v>37139</v>
      </c>
      <c r="B7475">
        <v>1</v>
      </c>
      <c r="C7475">
        <v>8</v>
      </c>
    </row>
    <row r="7476" spans="1:3" x14ac:dyDescent="0.3">
      <c r="A7476">
        <v>34794</v>
      </c>
      <c r="B7476">
        <v>1</v>
      </c>
      <c r="C7476">
        <v>8</v>
      </c>
    </row>
    <row r="7477" spans="1:3" x14ac:dyDescent="0.3">
      <c r="A7477">
        <v>31980</v>
      </c>
      <c r="B7477">
        <v>1</v>
      </c>
      <c r="C7477">
        <v>8</v>
      </c>
    </row>
    <row r="7478" spans="1:3" x14ac:dyDescent="0.3">
      <c r="A7478">
        <v>27130</v>
      </c>
      <c r="B7478">
        <v>1</v>
      </c>
      <c r="C7478">
        <v>8</v>
      </c>
    </row>
    <row r="7479" spans="1:3" x14ac:dyDescent="0.3">
      <c r="A7479">
        <v>27056</v>
      </c>
      <c r="B7479">
        <v>1</v>
      </c>
      <c r="C7479">
        <v>8</v>
      </c>
    </row>
    <row r="7480" spans="1:3" x14ac:dyDescent="0.3">
      <c r="A7480">
        <v>80424</v>
      </c>
      <c r="B7480">
        <v>1</v>
      </c>
      <c r="C7480">
        <v>8</v>
      </c>
    </row>
    <row r="7481" spans="1:3" x14ac:dyDescent="0.3">
      <c r="A7481">
        <v>79420</v>
      </c>
      <c r="B7481">
        <v>1</v>
      </c>
      <c r="C7481">
        <v>8</v>
      </c>
    </row>
    <row r="7482" spans="1:3" x14ac:dyDescent="0.3">
      <c r="A7482">
        <v>79419</v>
      </c>
      <c r="B7482">
        <v>1</v>
      </c>
      <c r="C7482">
        <v>8</v>
      </c>
    </row>
    <row r="7483" spans="1:3" x14ac:dyDescent="0.3">
      <c r="A7483">
        <v>79143</v>
      </c>
      <c r="B7483">
        <v>1</v>
      </c>
      <c r="C7483">
        <v>8</v>
      </c>
    </row>
    <row r="7484" spans="1:3" x14ac:dyDescent="0.3">
      <c r="A7484">
        <v>79141</v>
      </c>
      <c r="B7484">
        <v>1</v>
      </c>
      <c r="C7484">
        <v>8</v>
      </c>
    </row>
    <row r="7485" spans="1:3" x14ac:dyDescent="0.3">
      <c r="A7485">
        <v>78829</v>
      </c>
      <c r="B7485">
        <v>1</v>
      </c>
      <c r="C7485">
        <v>16</v>
      </c>
    </row>
    <row r="7486" spans="1:3" x14ac:dyDescent="0.3">
      <c r="A7486">
        <v>78826</v>
      </c>
      <c r="B7486">
        <v>1</v>
      </c>
      <c r="C7486">
        <v>8</v>
      </c>
    </row>
    <row r="7487" spans="1:3" x14ac:dyDescent="0.3">
      <c r="A7487">
        <v>78570</v>
      </c>
      <c r="B7487">
        <v>1</v>
      </c>
      <c r="C7487">
        <v>8</v>
      </c>
    </row>
    <row r="7488" spans="1:3" x14ac:dyDescent="0.3">
      <c r="A7488">
        <v>78114</v>
      </c>
      <c r="B7488">
        <v>1</v>
      </c>
      <c r="C7488">
        <v>16</v>
      </c>
    </row>
    <row r="7489" spans="1:3" x14ac:dyDescent="0.3">
      <c r="A7489">
        <v>77707</v>
      </c>
      <c r="B7489">
        <v>1</v>
      </c>
      <c r="C7489">
        <v>8</v>
      </c>
    </row>
    <row r="7490" spans="1:3" x14ac:dyDescent="0.3">
      <c r="A7490">
        <v>76921</v>
      </c>
      <c r="B7490">
        <v>1</v>
      </c>
      <c r="C7490">
        <v>8</v>
      </c>
    </row>
    <row r="7491" spans="1:3" x14ac:dyDescent="0.3">
      <c r="A7491">
        <v>76810</v>
      </c>
      <c r="B7491">
        <v>1</v>
      </c>
      <c r="C7491">
        <v>8</v>
      </c>
    </row>
    <row r="7492" spans="1:3" x14ac:dyDescent="0.3">
      <c r="A7492">
        <v>76561</v>
      </c>
      <c r="B7492">
        <v>1</v>
      </c>
      <c r="C7492">
        <v>8</v>
      </c>
    </row>
    <row r="7493" spans="1:3" x14ac:dyDescent="0.3">
      <c r="A7493">
        <v>76482</v>
      </c>
      <c r="B7493">
        <v>1</v>
      </c>
      <c r="C7493">
        <v>8</v>
      </c>
    </row>
    <row r="7494" spans="1:3" x14ac:dyDescent="0.3">
      <c r="A7494">
        <v>75675</v>
      </c>
      <c r="B7494">
        <v>1</v>
      </c>
      <c r="C7494">
        <v>8</v>
      </c>
    </row>
    <row r="7495" spans="1:3" x14ac:dyDescent="0.3">
      <c r="A7495">
        <v>75454</v>
      </c>
      <c r="B7495">
        <v>1</v>
      </c>
      <c r="C7495">
        <v>8</v>
      </c>
    </row>
    <row r="7496" spans="1:3" x14ac:dyDescent="0.3">
      <c r="A7496">
        <v>75425</v>
      </c>
      <c r="B7496">
        <v>1</v>
      </c>
      <c r="C7496">
        <v>8</v>
      </c>
    </row>
    <row r="7497" spans="1:3" x14ac:dyDescent="0.3">
      <c r="A7497">
        <v>74936</v>
      </c>
      <c r="B7497">
        <v>1</v>
      </c>
      <c r="C7497">
        <v>8</v>
      </c>
    </row>
    <row r="7498" spans="1:3" x14ac:dyDescent="0.3">
      <c r="A7498">
        <v>74449</v>
      </c>
      <c r="B7498">
        <v>1</v>
      </c>
      <c r="C7498">
        <v>8</v>
      </c>
    </row>
    <row r="7499" spans="1:3" x14ac:dyDescent="0.3">
      <c r="A7499">
        <v>74143</v>
      </c>
      <c r="B7499">
        <v>1</v>
      </c>
      <c r="C7499">
        <v>8</v>
      </c>
    </row>
    <row r="7500" spans="1:3" x14ac:dyDescent="0.3">
      <c r="A7500">
        <v>74142</v>
      </c>
      <c r="B7500">
        <v>1</v>
      </c>
      <c r="C7500">
        <v>8</v>
      </c>
    </row>
    <row r="7501" spans="1:3" x14ac:dyDescent="0.3">
      <c r="A7501">
        <v>72457</v>
      </c>
      <c r="B7501">
        <v>1</v>
      </c>
      <c r="C7501">
        <v>8</v>
      </c>
    </row>
    <row r="7502" spans="1:3" x14ac:dyDescent="0.3">
      <c r="A7502">
        <v>72025</v>
      </c>
      <c r="B7502">
        <v>1</v>
      </c>
      <c r="C7502">
        <v>16</v>
      </c>
    </row>
    <row r="7503" spans="1:3" x14ac:dyDescent="0.3">
      <c r="A7503">
        <v>70918</v>
      </c>
      <c r="B7503">
        <v>1</v>
      </c>
      <c r="C7503">
        <v>16</v>
      </c>
    </row>
    <row r="7504" spans="1:3" x14ac:dyDescent="0.3">
      <c r="A7504">
        <v>70464</v>
      </c>
      <c r="B7504">
        <v>1</v>
      </c>
      <c r="C7504">
        <v>8</v>
      </c>
    </row>
    <row r="7505" spans="1:3" x14ac:dyDescent="0.3">
      <c r="A7505">
        <v>70463</v>
      </c>
      <c r="B7505">
        <v>1</v>
      </c>
      <c r="C7505">
        <v>8</v>
      </c>
    </row>
    <row r="7506" spans="1:3" x14ac:dyDescent="0.3">
      <c r="A7506">
        <v>70269</v>
      </c>
      <c r="B7506">
        <v>1</v>
      </c>
      <c r="C7506">
        <v>8</v>
      </c>
    </row>
    <row r="7507" spans="1:3" x14ac:dyDescent="0.3">
      <c r="A7507">
        <v>70145</v>
      </c>
      <c r="B7507">
        <v>1</v>
      </c>
      <c r="C7507">
        <v>8</v>
      </c>
    </row>
    <row r="7508" spans="1:3" x14ac:dyDescent="0.3">
      <c r="A7508">
        <v>69887</v>
      </c>
      <c r="B7508">
        <v>2</v>
      </c>
      <c r="C7508">
        <v>16</v>
      </c>
    </row>
    <row r="7509" spans="1:3" x14ac:dyDescent="0.3">
      <c r="A7509">
        <v>69887</v>
      </c>
      <c r="B7509">
        <v>2</v>
      </c>
      <c r="C7509">
        <v>16</v>
      </c>
    </row>
    <row r="7510" spans="1:3" x14ac:dyDescent="0.3">
      <c r="A7510">
        <v>69885</v>
      </c>
      <c r="B7510">
        <v>2</v>
      </c>
      <c r="C7510">
        <v>16</v>
      </c>
    </row>
    <row r="7511" spans="1:3" x14ac:dyDescent="0.3">
      <c r="A7511">
        <v>69885</v>
      </c>
      <c r="B7511">
        <v>2</v>
      </c>
      <c r="C7511">
        <v>16</v>
      </c>
    </row>
    <row r="7512" spans="1:3" x14ac:dyDescent="0.3">
      <c r="A7512">
        <v>69884</v>
      </c>
      <c r="B7512">
        <v>1</v>
      </c>
      <c r="C7512">
        <v>16</v>
      </c>
    </row>
    <row r="7513" spans="1:3" x14ac:dyDescent="0.3">
      <c r="A7513">
        <v>69551</v>
      </c>
      <c r="B7513">
        <v>1</v>
      </c>
      <c r="C7513">
        <v>8</v>
      </c>
    </row>
    <row r="7514" spans="1:3" x14ac:dyDescent="0.3">
      <c r="A7514">
        <v>68113</v>
      </c>
      <c r="B7514">
        <v>1</v>
      </c>
      <c r="C7514">
        <v>8</v>
      </c>
    </row>
    <row r="7515" spans="1:3" x14ac:dyDescent="0.3">
      <c r="A7515">
        <v>67731</v>
      </c>
      <c r="B7515">
        <v>1</v>
      </c>
      <c r="C7515">
        <v>8</v>
      </c>
    </row>
    <row r="7516" spans="1:3" x14ac:dyDescent="0.3">
      <c r="A7516">
        <v>66131</v>
      </c>
      <c r="B7516">
        <v>1</v>
      </c>
      <c r="C7516">
        <v>8</v>
      </c>
    </row>
    <row r="7517" spans="1:3" x14ac:dyDescent="0.3">
      <c r="A7517">
        <v>65862</v>
      </c>
      <c r="B7517">
        <v>1</v>
      </c>
      <c r="C7517">
        <v>8</v>
      </c>
    </row>
    <row r="7518" spans="1:3" x14ac:dyDescent="0.3">
      <c r="A7518">
        <v>65424</v>
      </c>
      <c r="B7518">
        <v>2</v>
      </c>
      <c r="C7518">
        <v>16</v>
      </c>
    </row>
    <row r="7519" spans="1:3" x14ac:dyDescent="0.3">
      <c r="A7519">
        <v>65424</v>
      </c>
      <c r="B7519">
        <v>2</v>
      </c>
      <c r="C7519">
        <v>16</v>
      </c>
    </row>
    <row r="7520" spans="1:3" x14ac:dyDescent="0.3">
      <c r="A7520">
        <v>65278</v>
      </c>
      <c r="B7520">
        <v>1</v>
      </c>
      <c r="C7520">
        <v>8</v>
      </c>
    </row>
    <row r="7521" spans="1:3" x14ac:dyDescent="0.3">
      <c r="A7521">
        <v>64742</v>
      </c>
      <c r="B7521">
        <v>1</v>
      </c>
      <c r="C7521">
        <v>8</v>
      </c>
    </row>
    <row r="7522" spans="1:3" x14ac:dyDescent="0.3">
      <c r="A7522">
        <v>17438</v>
      </c>
      <c r="B7522">
        <v>1</v>
      </c>
      <c r="C7522">
        <v>8</v>
      </c>
    </row>
    <row r="7523" spans="1:3" x14ac:dyDescent="0.3">
      <c r="A7523">
        <v>60932</v>
      </c>
      <c r="B7523">
        <v>1</v>
      </c>
      <c r="C7523">
        <v>8</v>
      </c>
    </row>
    <row r="7524" spans="1:3" x14ac:dyDescent="0.3">
      <c r="A7524">
        <v>60054</v>
      </c>
      <c r="B7524">
        <v>1</v>
      </c>
      <c r="C7524">
        <v>16</v>
      </c>
    </row>
    <row r="7525" spans="1:3" x14ac:dyDescent="0.3">
      <c r="A7525">
        <v>59493</v>
      </c>
      <c r="B7525">
        <v>2</v>
      </c>
      <c r="C7525">
        <v>16</v>
      </c>
    </row>
    <row r="7526" spans="1:3" x14ac:dyDescent="0.3">
      <c r="A7526">
        <v>59493</v>
      </c>
      <c r="B7526">
        <v>2</v>
      </c>
      <c r="C7526">
        <v>16</v>
      </c>
    </row>
    <row r="7527" spans="1:3" x14ac:dyDescent="0.3">
      <c r="A7527">
        <v>58647</v>
      </c>
      <c r="B7527">
        <v>2</v>
      </c>
      <c r="C7527">
        <v>16</v>
      </c>
    </row>
    <row r="7528" spans="1:3" x14ac:dyDescent="0.3">
      <c r="A7528">
        <v>58647</v>
      </c>
      <c r="B7528">
        <v>2</v>
      </c>
      <c r="C7528">
        <v>16</v>
      </c>
    </row>
    <row r="7529" spans="1:3" x14ac:dyDescent="0.3">
      <c r="A7529">
        <v>54426</v>
      </c>
      <c r="B7529">
        <v>1</v>
      </c>
      <c r="C7529">
        <v>8</v>
      </c>
    </row>
    <row r="7530" spans="1:3" x14ac:dyDescent="0.3">
      <c r="A7530">
        <v>53649</v>
      </c>
      <c r="B7530">
        <v>1</v>
      </c>
      <c r="C7530">
        <v>16</v>
      </c>
    </row>
    <row r="7531" spans="1:3" x14ac:dyDescent="0.3">
      <c r="A7531">
        <v>53112</v>
      </c>
      <c r="B7531">
        <v>1</v>
      </c>
      <c r="C7531">
        <v>16</v>
      </c>
    </row>
    <row r="7532" spans="1:3" x14ac:dyDescent="0.3">
      <c r="A7532">
        <v>19815</v>
      </c>
      <c r="B7532">
        <v>1</v>
      </c>
      <c r="C7532">
        <v>8</v>
      </c>
    </row>
    <row r="7533" spans="1:3" x14ac:dyDescent="0.3">
      <c r="A7533">
        <v>51517</v>
      </c>
      <c r="B7533">
        <v>1</v>
      </c>
      <c r="C7533">
        <v>8</v>
      </c>
    </row>
    <row r="7534" spans="1:3" x14ac:dyDescent="0.3">
      <c r="A7534">
        <v>51459</v>
      </c>
      <c r="B7534">
        <v>1</v>
      </c>
      <c r="C7534">
        <v>16</v>
      </c>
    </row>
    <row r="7535" spans="1:3" x14ac:dyDescent="0.3">
      <c r="A7535">
        <v>50453</v>
      </c>
      <c r="B7535">
        <v>1</v>
      </c>
      <c r="C7535">
        <v>8</v>
      </c>
    </row>
    <row r="7536" spans="1:3" x14ac:dyDescent="0.3">
      <c r="A7536">
        <v>50452</v>
      </c>
      <c r="B7536">
        <v>1</v>
      </c>
      <c r="C7536">
        <v>8</v>
      </c>
    </row>
    <row r="7537" spans="1:3" x14ac:dyDescent="0.3">
      <c r="A7537">
        <v>43511</v>
      </c>
      <c r="B7537">
        <v>1</v>
      </c>
      <c r="C7537">
        <v>8</v>
      </c>
    </row>
    <row r="7538" spans="1:3" x14ac:dyDescent="0.3">
      <c r="A7538">
        <v>41639</v>
      </c>
      <c r="B7538">
        <v>1</v>
      </c>
      <c r="C7538">
        <v>8</v>
      </c>
    </row>
    <row r="7539" spans="1:3" x14ac:dyDescent="0.3">
      <c r="A7539">
        <v>39650</v>
      </c>
      <c r="B7539">
        <v>1</v>
      </c>
      <c r="C7539">
        <v>8</v>
      </c>
    </row>
    <row r="7540" spans="1:3" x14ac:dyDescent="0.3">
      <c r="A7540">
        <v>37787</v>
      </c>
      <c r="B7540">
        <v>1</v>
      </c>
      <c r="C7540">
        <v>8</v>
      </c>
    </row>
    <row r="7541" spans="1:3" x14ac:dyDescent="0.3">
      <c r="A7541">
        <v>37570</v>
      </c>
      <c r="B7541">
        <v>1</v>
      </c>
      <c r="C7541">
        <v>16</v>
      </c>
    </row>
    <row r="7542" spans="1:3" x14ac:dyDescent="0.3">
      <c r="A7542">
        <v>36858</v>
      </c>
      <c r="B7542">
        <v>1</v>
      </c>
      <c r="C7542">
        <v>8</v>
      </c>
    </row>
    <row r="7543" spans="1:3" x14ac:dyDescent="0.3">
      <c r="A7543">
        <v>23632</v>
      </c>
      <c r="B7543">
        <v>1</v>
      </c>
      <c r="C7543">
        <v>16</v>
      </c>
    </row>
    <row r="7544" spans="1:3" x14ac:dyDescent="0.3">
      <c r="A7544">
        <v>34795</v>
      </c>
      <c r="B7544">
        <v>1</v>
      </c>
      <c r="C7544">
        <v>8</v>
      </c>
    </row>
    <row r="7545" spans="1:3" x14ac:dyDescent="0.3">
      <c r="A7545">
        <v>33104</v>
      </c>
      <c r="B7545">
        <v>1</v>
      </c>
      <c r="C7545">
        <v>8</v>
      </c>
    </row>
    <row r="7546" spans="1:3" x14ac:dyDescent="0.3">
      <c r="A7546">
        <v>32067</v>
      </c>
      <c r="B7546">
        <v>1</v>
      </c>
      <c r="C7546">
        <v>16</v>
      </c>
    </row>
    <row r="7547" spans="1:3" x14ac:dyDescent="0.3">
      <c r="A7547">
        <v>53976</v>
      </c>
      <c r="B7547">
        <v>1</v>
      </c>
      <c r="C7547">
        <v>8</v>
      </c>
    </row>
    <row r="7548" spans="1:3" x14ac:dyDescent="0.3">
      <c r="A7548">
        <v>31482</v>
      </c>
      <c r="B7548">
        <v>1</v>
      </c>
      <c r="C7548">
        <v>8</v>
      </c>
    </row>
    <row r="7549" spans="1:3" x14ac:dyDescent="0.3">
      <c r="A7549">
        <v>29980</v>
      </c>
      <c r="B7549">
        <v>1</v>
      </c>
      <c r="C7549">
        <v>16</v>
      </c>
    </row>
    <row r="7550" spans="1:3" x14ac:dyDescent="0.3">
      <c r="A7550">
        <v>80703</v>
      </c>
      <c r="B7550">
        <v>1</v>
      </c>
      <c r="C7550">
        <v>8</v>
      </c>
    </row>
    <row r="7551" spans="1:3" x14ac:dyDescent="0.3">
      <c r="A7551">
        <v>80544</v>
      </c>
      <c r="B7551">
        <v>1</v>
      </c>
      <c r="C7551">
        <v>8</v>
      </c>
    </row>
    <row r="7552" spans="1:3" x14ac:dyDescent="0.3">
      <c r="A7552">
        <v>80068</v>
      </c>
      <c r="B7552">
        <v>1</v>
      </c>
      <c r="C7552">
        <v>8</v>
      </c>
    </row>
    <row r="7553" spans="1:3" x14ac:dyDescent="0.3">
      <c r="A7553">
        <v>79424</v>
      </c>
      <c r="B7553">
        <v>2</v>
      </c>
      <c r="C7553">
        <v>8</v>
      </c>
    </row>
    <row r="7554" spans="1:3" x14ac:dyDescent="0.3">
      <c r="A7554">
        <v>79200</v>
      </c>
      <c r="B7554">
        <v>1</v>
      </c>
      <c r="C7554">
        <v>8</v>
      </c>
    </row>
    <row r="7555" spans="1:3" x14ac:dyDescent="0.3">
      <c r="A7555">
        <v>78895</v>
      </c>
      <c r="B7555">
        <v>1</v>
      </c>
      <c r="C7555">
        <v>8</v>
      </c>
    </row>
    <row r="7556" spans="1:3" x14ac:dyDescent="0.3">
      <c r="A7556">
        <v>77601</v>
      </c>
      <c r="B7556">
        <v>1</v>
      </c>
      <c r="C7556">
        <v>8</v>
      </c>
    </row>
    <row r="7557" spans="1:3" x14ac:dyDescent="0.3">
      <c r="A7557">
        <v>77296</v>
      </c>
      <c r="B7557">
        <v>1</v>
      </c>
      <c r="C7557">
        <v>8</v>
      </c>
    </row>
    <row r="7558" spans="1:3" x14ac:dyDescent="0.3">
      <c r="A7558">
        <v>77149</v>
      </c>
      <c r="B7558">
        <v>1</v>
      </c>
      <c r="C7558">
        <v>8</v>
      </c>
    </row>
    <row r="7559" spans="1:3" x14ac:dyDescent="0.3">
      <c r="A7559">
        <v>75455</v>
      </c>
      <c r="B7559">
        <v>1</v>
      </c>
      <c r="C7559">
        <v>8</v>
      </c>
    </row>
    <row r="7560" spans="1:3" x14ac:dyDescent="0.3">
      <c r="A7560">
        <v>74452</v>
      </c>
      <c r="B7560">
        <v>1</v>
      </c>
      <c r="C7560">
        <v>8</v>
      </c>
    </row>
    <row r="7561" spans="1:3" x14ac:dyDescent="0.3">
      <c r="A7561">
        <v>74406</v>
      </c>
      <c r="B7561">
        <v>1</v>
      </c>
      <c r="C7561">
        <v>8</v>
      </c>
    </row>
    <row r="7562" spans="1:3" x14ac:dyDescent="0.3">
      <c r="A7562">
        <v>72460</v>
      </c>
      <c r="B7562">
        <v>1</v>
      </c>
      <c r="C7562">
        <v>8</v>
      </c>
    </row>
    <row r="7563" spans="1:3" x14ac:dyDescent="0.3">
      <c r="A7563">
        <v>71185</v>
      </c>
      <c r="B7563">
        <v>1</v>
      </c>
      <c r="C7563">
        <v>8</v>
      </c>
    </row>
    <row r="7564" spans="1:3" x14ac:dyDescent="0.3">
      <c r="A7564">
        <v>70616</v>
      </c>
      <c r="B7564">
        <v>1</v>
      </c>
      <c r="C7564">
        <v>8</v>
      </c>
    </row>
    <row r="7565" spans="1:3" x14ac:dyDescent="0.3">
      <c r="A7565">
        <v>69305</v>
      </c>
      <c r="B7565">
        <v>1</v>
      </c>
      <c r="C7565">
        <v>8</v>
      </c>
    </row>
    <row r="7566" spans="1:3" x14ac:dyDescent="0.3">
      <c r="A7566">
        <v>67100</v>
      </c>
      <c r="B7566">
        <v>1</v>
      </c>
      <c r="C7566">
        <v>8</v>
      </c>
    </row>
    <row r="7567" spans="1:3" x14ac:dyDescent="0.3">
      <c r="A7567">
        <v>66513</v>
      </c>
      <c r="B7567">
        <v>1</v>
      </c>
      <c r="C7567">
        <v>16</v>
      </c>
    </row>
    <row r="7568" spans="1:3" x14ac:dyDescent="0.3">
      <c r="A7568">
        <v>66387</v>
      </c>
      <c r="B7568">
        <v>1</v>
      </c>
      <c r="C7568">
        <v>8</v>
      </c>
    </row>
    <row r="7569" spans="1:3" x14ac:dyDescent="0.3">
      <c r="A7569">
        <v>65865</v>
      </c>
      <c r="B7569">
        <v>1</v>
      </c>
      <c r="C7569">
        <v>8</v>
      </c>
    </row>
    <row r="7570" spans="1:3" x14ac:dyDescent="0.3">
      <c r="A7570">
        <v>65782</v>
      </c>
      <c r="B7570">
        <v>1</v>
      </c>
      <c r="C7570">
        <v>8</v>
      </c>
    </row>
    <row r="7571" spans="1:3" x14ac:dyDescent="0.3">
      <c r="A7571">
        <v>63889</v>
      </c>
      <c r="B7571">
        <v>1</v>
      </c>
      <c r="C7571">
        <v>8</v>
      </c>
    </row>
    <row r="7572" spans="1:3" x14ac:dyDescent="0.3">
      <c r="A7572">
        <v>59682</v>
      </c>
      <c r="B7572">
        <v>1</v>
      </c>
      <c r="C7572">
        <v>8</v>
      </c>
    </row>
    <row r="7573" spans="1:3" x14ac:dyDescent="0.3">
      <c r="A7573">
        <v>58850</v>
      </c>
      <c r="B7573">
        <v>1</v>
      </c>
      <c r="C7573">
        <v>8</v>
      </c>
    </row>
    <row r="7574" spans="1:3" x14ac:dyDescent="0.3">
      <c r="A7574">
        <v>38429</v>
      </c>
      <c r="B7574">
        <v>2</v>
      </c>
      <c r="C7574">
        <v>16</v>
      </c>
    </row>
    <row r="7575" spans="1:3" x14ac:dyDescent="0.3">
      <c r="A7575">
        <v>58395</v>
      </c>
      <c r="B7575">
        <v>1</v>
      </c>
      <c r="C7575">
        <v>8</v>
      </c>
    </row>
    <row r="7576" spans="1:3" x14ac:dyDescent="0.3">
      <c r="A7576">
        <v>57213</v>
      </c>
      <c r="B7576">
        <v>1</v>
      </c>
      <c r="C7576">
        <v>8</v>
      </c>
    </row>
    <row r="7577" spans="1:3" x14ac:dyDescent="0.3">
      <c r="A7577">
        <v>57108</v>
      </c>
      <c r="B7577">
        <v>1</v>
      </c>
      <c r="C7577">
        <v>8</v>
      </c>
    </row>
    <row r="7578" spans="1:3" x14ac:dyDescent="0.3">
      <c r="A7578">
        <v>56092</v>
      </c>
      <c r="B7578">
        <v>1</v>
      </c>
      <c r="C7578">
        <v>8</v>
      </c>
    </row>
    <row r="7579" spans="1:3" x14ac:dyDescent="0.3">
      <c r="A7579">
        <v>55848</v>
      </c>
      <c r="B7579">
        <v>1</v>
      </c>
      <c r="C7579">
        <v>8</v>
      </c>
    </row>
    <row r="7580" spans="1:3" x14ac:dyDescent="0.3">
      <c r="A7580">
        <v>54501</v>
      </c>
      <c r="B7580">
        <v>1</v>
      </c>
      <c r="C7580">
        <v>8</v>
      </c>
    </row>
    <row r="7581" spans="1:3" x14ac:dyDescent="0.3">
      <c r="A7581">
        <v>53961</v>
      </c>
      <c r="B7581">
        <v>1</v>
      </c>
      <c r="C7581">
        <v>8</v>
      </c>
    </row>
    <row r="7582" spans="1:3" x14ac:dyDescent="0.3">
      <c r="A7582">
        <v>53404</v>
      </c>
      <c r="B7582">
        <v>1</v>
      </c>
      <c r="C7582">
        <v>8</v>
      </c>
    </row>
    <row r="7583" spans="1:3" x14ac:dyDescent="0.3">
      <c r="A7583">
        <v>20802</v>
      </c>
      <c r="B7583">
        <v>2</v>
      </c>
      <c r="C7583">
        <v>16</v>
      </c>
    </row>
    <row r="7584" spans="1:3" x14ac:dyDescent="0.3">
      <c r="A7584">
        <v>21302</v>
      </c>
      <c r="B7584">
        <v>1</v>
      </c>
      <c r="C7584">
        <v>8</v>
      </c>
    </row>
    <row r="7585" spans="1:3" x14ac:dyDescent="0.3">
      <c r="A7585">
        <v>47269</v>
      </c>
      <c r="B7585">
        <v>1</v>
      </c>
      <c r="C7585">
        <v>8</v>
      </c>
    </row>
    <row r="7586" spans="1:3" x14ac:dyDescent="0.3">
      <c r="A7586">
        <v>45340</v>
      </c>
      <c r="B7586">
        <v>1</v>
      </c>
      <c r="C7586">
        <v>8</v>
      </c>
    </row>
    <row r="7587" spans="1:3" x14ac:dyDescent="0.3">
      <c r="A7587">
        <v>42516</v>
      </c>
      <c r="B7587">
        <v>1</v>
      </c>
      <c r="C7587">
        <v>16</v>
      </c>
    </row>
    <row r="7588" spans="1:3" x14ac:dyDescent="0.3">
      <c r="A7588">
        <v>41641</v>
      </c>
      <c r="B7588">
        <v>2</v>
      </c>
      <c r="C7588">
        <v>8</v>
      </c>
    </row>
    <row r="7589" spans="1:3" x14ac:dyDescent="0.3">
      <c r="A7589">
        <v>41543</v>
      </c>
      <c r="B7589">
        <v>1</v>
      </c>
      <c r="C7589">
        <v>8</v>
      </c>
    </row>
    <row r="7590" spans="1:3" x14ac:dyDescent="0.3">
      <c r="A7590">
        <v>41542</v>
      </c>
      <c r="B7590">
        <v>1</v>
      </c>
      <c r="C7590">
        <v>8</v>
      </c>
    </row>
    <row r="7591" spans="1:3" x14ac:dyDescent="0.3">
      <c r="A7591">
        <v>39479</v>
      </c>
      <c r="B7591">
        <v>1</v>
      </c>
      <c r="C7591">
        <v>8</v>
      </c>
    </row>
    <row r="7592" spans="1:3" x14ac:dyDescent="0.3">
      <c r="A7592">
        <v>23373</v>
      </c>
      <c r="B7592">
        <v>1</v>
      </c>
      <c r="C7592">
        <v>8</v>
      </c>
    </row>
    <row r="7593" spans="1:3" x14ac:dyDescent="0.3">
      <c r="A7593">
        <v>37397</v>
      </c>
      <c r="B7593">
        <v>1</v>
      </c>
      <c r="C7593">
        <v>8</v>
      </c>
    </row>
    <row r="7594" spans="1:3" x14ac:dyDescent="0.3">
      <c r="A7594">
        <v>36449</v>
      </c>
      <c r="B7594">
        <v>1</v>
      </c>
      <c r="C7594">
        <v>8</v>
      </c>
    </row>
    <row r="7595" spans="1:3" x14ac:dyDescent="0.3">
      <c r="A7595">
        <v>34559</v>
      </c>
      <c r="B7595">
        <v>1</v>
      </c>
      <c r="C7595">
        <v>8</v>
      </c>
    </row>
    <row r="7596" spans="1:3" x14ac:dyDescent="0.3">
      <c r="A7596">
        <v>33106</v>
      </c>
      <c r="B7596">
        <v>1</v>
      </c>
      <c r="C7596">
        <v>16</v>
      </c>
    </row>
    <row r="7597" spans="1:3" x14ac:dyDescent="0.3">
      <c r="A7597">
        <v>29390</v>
      </c>
      <c r="B7597">
        <v>2</v>
      </c>
      <c r="C7597">
        <v>16</v>
      </c>
    </row>
    <row r="7598" spans="1:3" x14ac:dyDescent="0.3">
      <c r="A7598">
        <v>28110</v>
      </c>
      <c r="B7598">
        <v>1</v>
      </c>
      <c r="C7598">
        <v>8</v>
      </c>
    </row>
    <row r="7599" spans="1:3" x14ac:dyDescent="0.3">
      <c r="A7599">
        <v>80545</v>
      </c>
      <c r="B7599">
        <v>1</v>
      </c>
      <c r="C7599">
        <v>8</v>
      </c>
    </row>
    <row r="7600" spans="1:3" x14ac:dyDescent="0.3">
      <c r="A7600">
        <v>80194</v>
      </c>
      <c r="B7600">
        <v>1</v>
      </c>
      <c r="C7600">
        <v>8</v>
      </c>
    </row>
    <row r="7601" spans="1:3" x14ac:dyDescent="0.3">
      <c r="A7601">
        <v>79800</v>
      </c>
      <c r="B7601">
        <v>1</v>
      </c>
      <c r="C7601">
        <v>8</v>
      </c>
    </row>
    <row r="7602" spans="1:3" x14ac:dyDescent="0.3">
      <c r="A7602" s="26">
        <v>79799</v>
      </c>
      <c r="B7602" s="26">
        <v>1</v>
      </c>
      <c r="C7602" s="26">
        <v>8</v>
      </c>
    </row>
    <row r="7603" spans="1:3" x14ac:dyDescent="0.3">
      <c r="A7603">
        <v>79150</v>
      </c>
      <c r="B7603">
        <v>1</v>
      </c>
      <c r="C7603">
        <v>8</v>
      </c>
    </row>
    <row r="7604" spans="1:3" x14ac:dyDescent="0.3">
      <c r="A7604">
        <v>79149</v>
      </c>
      <c r="B7604">
        <v>1</v>
      </c>
      <c r="C7604">
        <v>8</v>
      </c>
    </row>
    <row r="7605" spans="1:3" x14ac:dyDescent="0.3">
      <c r="A7605">
        <v>78837</v>
      </c>
      <c r="B7605">
        <v>1</v>
      </c>
      <c r="C7605">
        <v>8</v>
      </c>
    </row>
    <row r="7606" spans="1:3" x14ac:dyDescent="0.3">
      <c r="A7606">
        <v>78834</v>
      </c>
      <c r="B7606">
        <v>1</v>
      </c>
      <c r="C7606">
        <v>8</v>
      </c>
    </row>
    <row r="7607" spans="1:3" x14ac:dyDescent="0.3">
      <c r="A7607">
        <v>78573</v>
      </c>
      <c r="B7607">
        <v>1</v>
      </c>
      <c r="C7607">
        <v>8</v>
      </c>
    </row>
    <row r="7608" spans="1:3" x14ac:dyDescent="0.3">
      <c r="A7608">
        <v>78441</v>
      </c>
      <c r="B7608">
        <v>1</v>
      </c>
      <c r="C7608">
        <v>8</v>
      </c>
    </row>
    <row r="7609" spans="1:3" x14ac:dyDescent="0.3">
      <c r="A7609">
        <v>78395</v>
      </c>
      <c r="B7609">
        <v>1</v>
      </c>
      <c r="C7609">
        <v>8</v>
      </c>
    </row>
    <row r="7610" spans="1:3" x14ac:dyDescent="0.3">
      <c r="A7610">
        <v>78329</v>
      </c>
      <c r="B7610">
        <v>1</v>
      </c>
      <c r="C7610">
        <v>8</v>
      </c>
    </row>
    <row r="7611" spans="1:3" x14ac:dyDescent="0.3">
      <c r="A7611">
        <v>78116</v>
      </c>
      <c r="B7611">
        <v>1</v>
      </c>
      <c r="C7611">
        <v>8</v>
      </c>
    </row>
    <row r="7612" spans="1:3" x14ac:dyDescent="0.3">
      <c r="A7612">
        <v>78025</v>
      </c>
      <c r="B7612">
        <v>1</v>
      </c>
      <c r="C7612">
        <v>8</v>
      </c>
    </row>
    <row r="7613" spans="1:3" x14ac:dyDescent="0.3">
      <c r="A7613">
        <v>77712</v>
      </c>
      <c r="B7613">
        <v>1</v>
      </c>
      <c r="C7613">
        <v>8</v>
      </c>
    </row>
    <row r="7614" spans="1:3" x14ac:dyDescent="0.3">
      <c r="A7614">
        <v>77495</v>
      </c>
      <c r="B7614">
        <v>1</v>
      </c>
      <c r="C7614">
        <v>8</v>
      </c>
    </row>
    <row r="7615" spans="1:3" x14ac:dyDescent="0.3">
      <c r="A7615">
        <v>77420</v>
      </c>
      <c r="B7615">
        <v>1</v>
      </c>
      <c r="C7615">
        <v>8</v>
      </c>
    </row>
    <row r="7616" spans="1:3" x14ac:dyDescent="0.3">
      <c r="A7616">
        <v>76982</v>
      </c>
      <c r="B7616">
        <v>1</v>
      </c>
      <c r="C7616">
        <v>8</v>
      </c>
    </row>
    <row r="7617" spans="1:3" x14ac:dyDescent="0.3">
      <c r="A7617">
        <v>76211</v>
      </c>
      <c r="B7617">
        <v>1</v>
      </c>
      <c r="C7617">
        <v>8</v>
      </c>
    </row>
    <row r="7618" spans="1:3" x14ac:dyDescent="0.3">
      <c r="A7618">
        <v>75842</v>
      </c>
      <c r="B7618">
        <v>1</v>
      </c>
      <c r="C7618">
        <v>8</v>
      </c>
    </row>
    <row r="7619" spans="1:3" x14ac:dyDescent="0.3">
      <c r="A7619">
        <v>75831</v>
      </c>
      <c r="B7619">
        <v>1</v>
      </c>
      <c r="C7619">
        <v>8</v>
      </c>
    </row>
    <row r="7620" spans="1:3" x14ac:dyDescent="0.3">
      <c r="A7620">
        <v>75047</v>
      </c>
      <c r="B7620">
        <v>1</v>
      </c>
      <c r="C7620">
        <v>8</v>
      </c>
    </row>
    <row r="7621" spans="1:3" x14ac:dyDescent="0.3">
      <c r="A7621">
        <v>74907</v>
      </c>
      <c r="B7621">
        <v>1</v>
      </c>
      <c r="C7621">
        <v>8</v>
      </c>
    </row>
    <row r="7622" spans="1:3" x14ac:dyDescent="0.3">
      <c r="A7622">
        <v>74847</v>
      </c>
      <c r="B7622">
        <v>1</v>
      </c>
      <c r="C7622">
        <v>8</v>
      </c>
    </row>
    <row r="7623" spans="1:3" x14ac:dyDescent="0.3">
      <c r="A7623">
        <v>74570</v>
      </c>
      <c r="B7623">
        <v>1</v>
      </c>
      <c r="C7623">
        <v>8</v>
      </c>
    </row>
    <row r="7624" spans="1:3" x14ac:dyDescent="0.3">
      <c r="A7624">
        <v>12826</v>
      </c>
      <c r="B7624">
        <v>1</v>
      </c>
      <c r="C7624">
        <v>8</v>
      </c>
    </row>
    <row r="7625" spans="1:3" x14ac:dyDescent="0.3">
      <c r="A7625">
        <v>12945</v>
      </c>
      <c r="B7625">
        <v>1</v>
      </c>
      <c r="C7625">
        <v>8</v>
      </c>
    </row>
    <row r="7626" spans="1:3" x14ac:dyDescent="0.3">
      <c r="A7626">
        <v>74199</v>
      </c>
      <c r="B7626">
        <v>1</v>
      </c>
      <c r="C7626">
        <v>8</v>
      </c>
    </row>
    <row r="7627" spans="1:3" x14ac:dyDescent="0.3">
      <c r="A7627">
        <v>74198</v>
      </c>
      <c r="B7627">
        <v>1</v>
      </c>
      <c r="C7627">
        <v>8</v>
      </c>
    </row>
    <row r="7628" spans="1:3" x14ac:dyDescent="0.3">
      <c r="A7628">
        <v>74118</v>
      </c>
      <c r="B7628">
        <v>1</v>
      </c>
      <c r="C7628">
        <v>8</v>
      </c>
    </row>
    <row r="7629" spans="1:3" x14ac:dyDescent="0.3">
      <c r="A7629">
        <v>74087</v>
      </c>
      <c r="B7629">
        <v>1</v>
      </c>
      <c r="C7629">
        <v>8</v>
      </c>
    </row>
    <row r="7630" spans="1:3" x14ac:dyDescent="0.3">
      <c r="A7630">
        <v>74086</v>
      </c>
      <c r="B7630">
        <v>1</v>
      </c>
      <c r="C7630">
        <v>8</v>
      </c>
    </row>
    <row r="7631" spans="1:3" x14ac:dyDescent="0.3">
      <c r="A7631">
        <v>74083</v>
      </c>
      <c r="B7631">
        <v>1</v>
      </c>
      <c r="C7631">
        <v>8</v>
      </c>
    </row>
    <row r="7632" spans="1:3" x14ac:dyDescent="0.3">
      <c r="A7632">
        <v>74082</v>
      </c>
      <c r="B7632">
        <v>1</v>
      </c>
      <c r="C7632">
        <v>8</v>
      </c>
    </row>
    <row r="7633" spans="1:3" x14ac:dyDescent="0.3">
      <c r="A7633">
        <v>73331</v>
      </c>
      <c r="B7633">
        <v>1</v>
      </c>
      <c r="C7633">
        <v>8</v>
      </c>
    </row>
    <row r="7634" spans="1:3" x14ac:dyDescent="0.3">
      <c r="A7634">
        <v>71875</v>
      </c>
      <c r="B7634">
        <v>1</v>
      </c>
      <c r="C7634">
        <v>8</v>
      </c>
    </row>
    <row r="7635" spans="1:3" x14ac:dyDescent="0.3">
      <c r="A7635">
        <v>71586</v>
      </c>
      <c r="B7635">
        <v>1</v>
      </c>
      <c r="C7635">
        <v>8</v>
      </c>
    </row>
    <row r="7636" spans="1:3" x14ac:dyDescent="0.3">
      <c r="A7636">
        <v>71521</v>
      </c>
      <c r="B7636">
        <v>1</v>
      </c>
      <c r="C7636">
        <v>8</v>
      </c>
    </row>
    <row r="7637" spans="1:3" x14ac:dyDescent="0.3">
      <c r="A7637">
        <v>71303</v>
      </c>
      <c r="B7637">
        <v>1</v>
      </c>
      <c r="C7637">
        <v>8</v>
      </c>
    </row>
    <row r="7638" spans="1:3" x14ac:dyDescent="0.3">
      <c r="A7638">
        <v>70999</v>
      </c>
      <c r="B7638">
        <v>1</v>
      </c>
      <c r="C7638">
        <v>8</v>
      </c>
    </row>
    <row r="7639" spans="1:3" x14ac:dyDescent="0.3">
      <c r="A7639">
        <v>70726</v>
      </c>
      <c r="B7639">
        <v>1</v>
      </c>
      <c r="C7639">
        <v>8</v>
      </c>
    </row>
    <row r="7640" spans="1:3" x14ac:dyDescent="0.3">
      <c r="A7640">
        <v>70618</v>
      </c>
      <c r="B7640">
        <v>1</v>
      </c>
      <c r="C7640">
        <v>8</v>
      </c>
    </row>
    <row r="7641" spans="1:3" x14ac:dyDescent="0.3">
      <c r="A7641">
        <v>70360</v>
      </c>
      <c r="B7641">
        <v>1</v>
      </c>
      <c r="C7641">
        <v>8</v>
      </c>
    </row>
    <row r="7642" spans="1:3" x14ac:dyDescent="0.3">
      <c r="A7642">
        <v>69888</v>
      </c>
      <c r="B7642">
        <v>1</v>
      </c>
      <c r="C7642">
        <v>8</v>
      </c>
    </row>
    <row r="7643" spans="1:3" x14ac:dyDescent="0.3">
      <c r="A7643">
        <v>69853</v>
      </c>
      <c r="B7643">
        <v>1</v>
      </c>
      <c r="C7643">
        <v>8</v>
      </c>
    </row>
    <row r="7644" spans="1:3" x14ac:dyDescent="0.3">
      <c r="A7644">
        <v>15218</v>
      </c>
      <c r="B7644">
        <v>2</v>
      </c>
      <c r="C7644">
        <v>16</v>
      </c>
    </row>
    <row r="7645" spans="1:3" x14ac:dyDescent="0.3">
      <c r="A7645">
        <v>15218</v>
      </c>
      <c r="B7645">
        <v>2</v>
      </c>
      <c r="C7645">
        <v>16</v>
      </c>
    </row>
    <row r="7646" spans="1:3" x14ac:dyDescent="0.3">
      <c r="A7646">
        <v>69554</v>
      </c>
      <c r="B7646">
        <v>1</v>
      </c>
      <c r="C7646">
        <v>8</v>
      </c>
    </row>
    <row r="7647" spans="1:3" x14ac:dyDescent="0.3">
      <c r="A7647">
        <v>67888</v>
      </c>
      <c r="B7647">
        <v>1</v>
      </c>
      <c r="C7647">
        <v>8</v>
      </c>
    </row>
    <row r="7648" spans="1:3" x14ac:dyDescent="0.3">
      <c r="A7648">
        <v>67657</v>
      </c>
      <c r="B7648">
        <v>1</v>
      </c>
      <c r="C7648">
        <v>8</v>
      </c>
    </row>
    <row r="7649" spans="1:3" x14ac:dyDescent="0.3">
      <c r="A7649">
        <v>66872</v>
      </c>
      <c r="B7649">
        <v>1</v>
      </c>
      <c r="C7649">
        <v>8</v>
      </c>
    </row>
    <row r="7650" spans="1:3" x14ac:dyDescent="0.3">
      <c r="A7650">
        <v>65783</v>
      </c>
      <c r="B7650">
        <v>1</v>
      </c>
      <c r="C7650">
        <v>8</v>
      </c>
    </row>
    <row r="7651" spans="1:3" x14ac:dyDescent="0.3">
      <c r="A7651">
        <v>65462</v>
      </c>
      <c r="B7651">
        <v>1</v>
      </c>
      <c r="C7651">
        <v>8</v>
      </c>
    </row>
    <row r="7652" spans="1:3" x14ac:dyDescent="0.3">
      <c r="A7652">
        <v>65212</v>
      </c>
      <c r="B7652">
        <v>1</v>
      </c>
      <c r="C7652">
        <v>8</v>
      </c>
    </row>
    <row r="7653" spans="1:3" x14ac:dyDescent="0.3">
      <c r="A7653">
        <v>64891</v>
      </c>
      <c r="B7653">
        <v>1</v>
      </c>
      <c r="C7653">
        <v>8</v>
      </c>
    </row>
    <row r="7654" spans="1:3" x14ac:dyDescent="0.3">
      <c r="A7654">
        <v>64413</v>
      </c>
      <c r="B7654">
        <v>1</v>
      </c>
      <c r="C7654">
        <v>8</v>
      </c>
    </row>
    <row r="7655" spans="1:3" x14ac:dyDescent="0.3">
      <c r="A7655">
        <v>64412</v>
      </c>
      <c r="B7655">
        <v>1</v>
      </c>
      <c r="C7655">
        <v>8</v>
      </c>
    </row>
    <row r="7656" spans="1:3" x14ac:dyDescent="0.3">
      <c r="A7656">
        <v>63425</v>
      </c>
      <c r="B7656">
        <v>1</v>
      </c>
      <c r="C7656">
        <v>8</v>
      </c>
    </row>
    <row r="7657" spans="1:3" x14ac:dyDescent="0.3">
      <c r="A7657">
        <v>61951</v>
      </c>
      <c r="B7657">
        <v>1</v>
      </c>
      <c r="C7657">
        <v>8</v>
      </c>
    </row>
    <row r="7658" spans="1:3" x14ac:dyDescent="0.3">
      <c r="A7658">
        <v>17665</v>
      </c>
      <c r="B7658">
        <v>1</v>
      </c>
      <c r="C7658">
        <v>8</v>
      </c>
    </row>
    <row r="7659" spans="1:3" x14ac:dyDescent="0.3">
      <c r="A7659">
        <v>59681</v>
      </c>
      <c r="B7659">
        <v>1</v>
      </c>
      <c r="C7659">
        <v>8</v>
      </c>
    </row>
    <row r="7660" spans="1:3" x14ac:dyDescent="0.3">
      <c r="A7660">
        <v>59356</v>
      </c>
      <c r="B7660">
        <v>1</v>
      </c>
      <c r="C7660">
        <v>8</v>
      </c>
    </row>
    <row r="7661" spans="1:3" x14ac:dyDescent="0.3">
      <c r="A7661">
        <v>58652</v>
      </c>
      <c r="B7661">
        <v>1</v>
      </c>
      <c r="C7661">
        <v>8</v>
      </c>
    </row>
    <row r="7662" spans="1:3" x14ac:dyDescent="0.3">
      <c r="A7662">
        <v>57211</v>
      </c>
      <c r="B7662">
        <v>1</v>
      </c>
      <c r="C7662">
        <v>8</v>
      </c>
    </row>
    <row r="7663" spans="1:3" x14ac:dyDescent="0.3">
      <c r="A7663">
        <v>55850</v>
      </c>
      <c r="B7663">
        <v>1</v>
      </c>
      <c r="C7663">
        <v>16</v>
      </c>
    </row>
    <row r="7664" spans="1:3" x14ac:dyDescent="0.3">
      <c r="A7664">
        <v>55346</v>
      </c>
      <c r="B7664">
        <v>1</v>
      </c>
      <c r="C7664">
        <v>8</v>
      </c>
    </row>
    <row r="7665" spans="1:3" x14ac:dyDescent="0.3">
      <c r="A7665">
        <v>55029</v>
      </c>
      <c r="B7665">
        <v>1</v>
      </c>
      <c r="C7665">
        <v>8</v>
      </c>
    </row>
    <row r="7666" spans="1:3" x14ac:dyDescent="0.3">
      <c r="A7666">
        <v>53960</v>
      </c>
      <c r="B7666">
        <v>1</v>
      </c>
      <c r="C7666">
        <v>8</v>
      </c>
    </row>
    <row r="7667" spans="1:3" x14ac:dyDescent="0.3">
      <c r="A7667">
        <v>53820</v>
      </c>
      <c r="B7667">
        <v>1</v>
      </c>
      <c r="C7667">
        <v>16</v>
      </c>
    </row>
    <row r="7668" spans="1:3" x14ac:dyDescent="0.3">
      <c r="A7668">
        <v>52921</v>
      </c>
      <c r="B7668">
        <v>1</v>
      </c>
      <c r="C7668">
        <v>8</v>
      </c>
    </row>
    <row r="7669" spans="1:3" x14ac:dyDescent="0.3">
      <c r="A7669">
        <v>49952</v>
      </c>
      <c r="B7669">
        <v>1</v>
      </c>
      <c r="C7669">
        <v>8</v>
      </c>
    </row>
    <row r="7670" spans="1:3" x14ac:dyDescent="0.3">
      <c r="A7670">
        <v>49951</v>
      </c>
      <c r="B7670">
        <v>1</v>
      </c>
      <c r="C7670">
        <v>8</v>
      </c>
    </row>
    <row r="7671" spans="1:3" x14ac:dyDescent="0.3">
      <c r="A7671">
        <v>47270</v>
      </c>
      <c r="B7671">
        <v>1</v>
      </c>
      <c r="C7671">
        <v>8</v>
      </c>
    </row>
    <row r="7672" spans="1:3" x14ac:dyDescent="0.3">
      <c r="A7672">
        <v>46996</v>
      </c>
      <c r="B7672">
        <v>1</v>
      </c>
      <c r="C7672">
        <v>8</v>
      </c>
    </row>
    <row r="7673" spans="1:3" x14ac:dyDescent="0.3">
      <c r="A7673">
        <v>46995</v>
      </c>
      <c r="B7673">
        <v>1</v>
      </c>
      <c r="C7673">
        <v>8</v>
      </c>
    </row>
    <row r="7674" spans="1:3" x14ac:dyDescent="0.3">
      <c r="A7674">
        <v>46394</v>
      </c>
      <c r="B7674">
        <v>1</v>
      </c>
      <c r="C7674">
        <v>8</v>
      </c>
    </row>
    <row r="7675" spans="1:3" x14ac:dyDescent="0.3">
      <c r="A7675">
        <v>46393</v>
      </c>
      <c r="B7675">
        <v>1</v>
      </c>
      <c r="C7675">
        <v>8</v>
      </c>
    </row>
    <row r="7676" spans="1:3" x14ac:dyDescent="0.3">
      <c r="A7676">
        <v>46155</v>
      </c>
      <c r="B7676">
        <v>1</v>
      </c>
      <c r="C7676">
        <v>8</v>
      </c>
    </row>
    <row r="7677" spans="1:3" x14ac:dyDescent="0.3">
      <c r="A7677">
        <v>21706</v>
      </c>
      <c r="B7677">
        <v>1</v>
      </c>
      <c r="C7677">
        <v>8</v>
      </c>
    </row>
    <row r="7678" spans="1:3" x14ac:dyDescent="0.3">
      <c r="A7678">
        <v>46126</v>
      </c>
      <c r="B7678">
        <v>1</v>
      </c>
      <c r="C7678">
        <v>8</v>
      </c>
    </row>
    <row r="7679" spans="1:3" x14ac:dyDescent="0.3">
      <c r="A7679">
        <v>46091</v>
      </c>
      <c r="B7679">
        <v>1</v>
      </c>
      <c r="C7679">
        <v>16</v>
      </c>
    </row>
    <row r="7680" spans="1:3" x14ac:dyDescent="0.3">
      <c r="A7680">
        <v>45876</v>
      </c>
      <c r="B7680">
        <v>1</v>
      </c>
      <c r="C7680">
        <v>8</v>
      </c>
    </row>
    <row r="7681" spans="1:3" x14ac:dyDescent="0.3">
      <c r="A7681">
        <v>45597</v>
      </c>
      <c r="B7681">
        <v>1</v>
      </c>
      <c r="C7681">
        <v>16</v>
      </c>
    </row>
    <row r="7682" spans="1:3" x14ac:dyDescent="0.3">
      <c r="A7682">
        <v>45596</v>
      </c>
      <c r="B7682">
        <v>1</v>
      </c>
      <c r="C7682">
        <v>8</v>
      </c>
    </row>
    <row r="7683" spans="1:3" x14ac:dyDescent="0.3">
      <c r="A7683">
        <v>44880</v>
      </c>
      <c r="B7683">
        <v>1</v>
      </c>
      <c r="C7683">
        <v>8</v>
      </c>
    </row>
    <row r="7684" spans="1:3" x14ac:dyDescent="0.3">
      <c r="A7684">
        <v>43976</v>
      </c>
      <c r="B7684">
        <v>1</v>
      </c>
      <c r="C7684">
        <v>8</v>
      </c>
    </row>
    <row r="7685" spans="1:3" x14ac:dyDescent="0.3">
      <c r="A7685">
        <v>22460</v>
      </c>
      <c r="B7685">
        <v>1</v>
      </c>
      <c r="C7685">
        <v>16</v>
      </c>
    </row>
    <row r="7686" spans="1:3" x14ac:dyDescent="0.3">
      <c r="A7686">
        <v>43154</v>
      </c>
      <c r="B7686">
        <v>1</v>
      </c>
      <c r="C7686">
        <v>16</v>
      </c>
    </row>
    <row r="7687" spans="1:3" x14ac:dyDescent="0.3">
      <c r="A7687">
        <v>43022</v>
      </c>
      <c r="B7687">
        <v>1</v>
      </c>
      <c r="C7687">
        <v>8</v>
      </c>
    </row>
    <row r="7688" spans="1:3" x14ac:dyDescent="0.3">
      <c r="A7688">
        <v>22626</v>
      </c>
      <c r="B7688">
        <v>1</v>
      </c>
      <c r="C7688">
        <v>8</v>
      </c>
    </row>
    <row r="7689" spans="1:3" x14ac:dyDescent="0.3">
      <c r="A7689">
        <v>41589</v>
      </c>
      <c r="B7689">
        <v>1</v>
      </c>
      <c r="C7689">
        <v>16</v>
      </c>
    </row>
    <row r="7690" spans="1:3" x14ac:dyDescent="0.3">
      <c r="A7690">
        <v>41529</v>
      </c>
      <c r="B7690">
        <v>1</v>
      </c>
      <c r="C7690">
        <v>8</v>
      </c>
    </row>
    <row r="7691" spans="1:3" x14ac:dyDescent="0.3">
      <c r="A7691">
        <v>40854</v>
      </c>
      <c r="B7691">
        <v>1</v>
      </c>
      <c r="C7691">
        <v>8</v>
      </c>
    </row>
    <row r="7692" spans="1:3" x14ac:dyDescent="0.3">
      <c r="A7692">
        <v>39753</v>
      </c>
      <c r="B7692">
        <v>1</v>
      </c>
      <c r="C7692">
        <v>8</v>
      </c>
    </row>
    <row r="7693" spans="1:3" x14ac:dyDescent="0.3">
      <c r="A7693">
        <v>39096</v>
      </c>
      <c r="B7693">
        <v>1</v>
      </c>
      <c r="C7693">
        <v>8</v>
      </c>
    </row>
    <row r="7694" spans="1:3" x14ac:dyDescent="0.3">
      <c r="A7694">
        <v>38923</v>
      </c>
      <c r="B7694">
        <v>1</v>
      </c>
      <c r="C7694">
        <v>8</v>
      </c>
    </row>
    <row r="7695" spans="1:3" x14ac:dyDescent="0.3">
      <c r="A7695">
        <v>38764</v>
      </c>
      <c r="B7695">
        <v>1</v>
      </c>
      <c r="C7695">
        <v>8</v>
      </c>
    </row>
    <row r="7696" spans="1:3" x14ac:dyDescent="0.3">
      <c r="A7696">
        <v>38488</v>
      </c>
      <c r="B7696">
        <v>1</v>
      </c>
      <c r="C7696">
        <v>16</v>
      </c>
    </row>
    <row r="7697" spans="1:3" x14ac:dyDescent="0.3">
      <c r="A7697">
        <v>37788</v>
      </c>
      <c r="B7697">
        <v>1</v>
      </c>
      <c r="C7697">
        <v>16</v>
      </c>
    </row>
    <row r="7698" spans="1:3" x14ac:dyDescent="0.3">
      <c r="A7698">
        <v>37723</v>
      </c>
      <c r="B7698">
        <v>1</v>
      </c>
      <c r="C7698">
        <v>8</v>
      </c>
    </row>
    <row r="7699" spans="1:3" x14ac:dyDescent="0.3">
      <c r="A7699">
        <v>35414</v>
      </c>
      <c r="B7699">
        <v>1</v>
      </c>
      <c r="C7699">
        <v>16</v>
      </c>
    </row>
    <row r="7700" spans="1:3" x14ac:dyDescent="0.3">
      <c r="A7700">
        <v>34941</v>
      </c>
      <c r="B7700">
        <v>1</v>
      </c>
      <c r="C7700">
        <v>8</v>
      </c>
    </row>
    <row r="7701" spans="1:3" x14ac:dyDescent="0.3">
      <c r="A7701">
        <v>29391</v>
      </c>
      <c r="B7701">
        <v>1</v>
      </c>
      <c r="C7701">
        <v>16</v>
      </c>
    </row>
    <row r="7702" spans="1:3" x14ac:dyDescent="0.3">
      <c r="A7702">
        <v>28866</v>
      </c>
      <c r="B7702">
        <v>1</v>
      </c>
      <c r="C7702">
        <v>8</v>
      </c>
    </row>
    <row r="7703" spans="1:3" x14ac:dyDescent="0.3">
      <c r="A7703">
        <v>80071</v>
      </c>
      <c r="B7703">
        <v>1</v>
      </c>
      <c r="C7703">
        <v>8</v>
      </c>
    </row>
    <row r="7704" spans="1:3" x14ac:dyDescent="0.3">
      <c r="A7704">
        <v>80070</v>
      </c>
      <c r="B7704">
        <v>1</v>
      </c>
      <c r="C7704">
        <v>8</v>
      </c>
    </row>
    <row r="7705" spans="1:3" x14ac:dyDescent="0.3">
      <c r="A7705">
        <v>79805</v>
      </c>
      <c r="B7705">
        <v>1</v>
      </c>
      <c r="C7705">
        <v>8</v>
      </c>
    </row>
    <row r="7706" spans="1:3" x14ac:dyDescent="0.3">
      <c r="A7706">
        <v>79659</v>
      </c>
      <c r="B7706">
        <v>2</v>
      </c>
      <c r="C7706">
        <v>8</v>
      </c>
    </row>
    <row r="7707" spans="1:3" x14ac:dyDescent="0.3">
      <c r="A7707">
        <v>79153</v>
      </c>
      <c r="B7707">
        <v>2</v>
      </c>
      <c r="C7707">
        <v>8</v>
      </c>
    </row>
    <row r="7708" spans="1:3" x14ac:dyDescent="0.3">
      <c r="A7708">
        <v>79152</v>
      </c>
      <c r="B7708">
        <v>2</v>
      </c>
      <c r="C7708">
        <v>8</v>
      </c>
    </row>
    <row r="7709" spans="1:3" x14ac:dyDescent="0.3">
      <c r="A7709">
        <v>78916</v>
      </c>
      <c r="B7709">
        <v>1</v>
      </c>
      <c r="C7709">
        <v>8</v>
      </c>
    </row>
    <row r="7710" spans="1:3" x14ac:dyDescent="0.3">
      <c r="A7710">
        <v>78444</v>
      </c>
      <c r="B7710">
        <v>2</v>
      </c>
      <c r="C7710">
        <v>16</v>
      </c>
    </row>
    <row r="7711" spans="1:3" x14ac:dyDescent="0.3">
      <c r="A7711">
        <v>78159</v>
      </c>
      <c r="B7711">
        <v>1</v>
      </c>
      <c r="C7711">
        <v>8</v>
      </c>
    </row>
    <row r="7712" spans="1:3" x14ac:dyDescent="0.3">
      <c r="A7712">
        <v>78118</v>
      </c>
      <c r="B7712">
        <v>1</v>
      </c>
      <c r="C7712">
        <v>8</v>
      </c>
    </row>
    <row r="7713" spans="1:3" x14ac:dyDescent="0.3">
      <c r="A7713">
        <v>77716</v>
      </c>
      <c r="B7713">
        <v>1</v>
      </c>
      <c r="C7713">
        <v>8</v>
      </c>
    </row>
    <row r="7714" spans="1:3" x14ac:dyDescent="0.3">
      <c r="A7714">
        <v>77715</v>
      </c>
      <c r="B7714">
        <v>1</v>
      </c>
      <c r="C7714">
        <v>8</v>
      </c>
    </row>
    <row r="7715" spans="1:3" x14ac:dyDescent="0.3">
      <c r="A7715">
        <v>77093</v>
      </c>
      <c r="B7715">
        <v>1</v>
      </c>
      <c r="C7715">
        <v>8</v>
      </c>
    </row>
    <row r="7716" spans="1:3" x14ac:dyDescent="0.3">
      <c r="A7716">
        <v>76687</v>
      </c>
      <c r="B7716">
        <v>1</v>
      </c>
      <c r="C7716">
        <v>8</v>
      </c>
    </row>
    <row r="7717" spans="1:3" x14ac:dyDescent="0.3">
      <c r="A7717">
        <v>76396</v>
      </c>
      <c r="B7717">
        <v>1</v>
      </c>
      <c r="C7717">
        <v>8</v>
      </c>
    </row>
    <row r="7718" spans="1:3" x14ac:dyDescent="0.3">
      <c r="A7718">
        <v>76048</v>
      </c>
      <c r="B7718">
        <v>1</v>
      </c>
      <c r="C7718">
        <v>8</v>
      </c>
    </row>
    <row r="7719" spans="1:3" x14ac:dyDescent="0.3">
      <c r="A7719">
        <v>75459</v>
      </c>
      <c r="B7719">
        <v>1</v>
      </c>
      <c r="C7719">
        <v>8</v>
      </c>
    </row>
    <row r="7720" spans="1:3" x14ac:dyDescent="0.3">
      <c r="A7720">
        <v>75424</v>
      </c>
      <c r="B7720">
        <v>2</v>
      </c>
      <c r="C7720">
        <v>8</v>
      </c>
    </row>
    <row r="7721" spans="1:3" x14ac:dyDescent="0.3">
      <c r="A7721">
        <v>75060</v>
      </c>
      <c r="B7721">
        <v>1</v>
      </c>
      <c r="C7721">
        <v>16</v>
      </c>
    </row>
    <row r="7722" spans="1:3" x14ac:dyDescent="0.3">
      <c r="A7722">
        <v>75059</v>
      </c>
      <c r="B7722">
        <v>1</v>
      </c>
      <c r="C7722">
        <v>8</v>
      </c>
    </row>
    <row r="7723" spans="1:3" x14ac:dyDescent="0.3">
      <c r="A7723">
        <v>75057</v>
      </c>
      <c r="B7723">
        <v>1</v>
      </c>
      <c r="C7723">
        <v>8</v>
      </c>
    </row>
    <row r="7724" spans="1:3" x14ac:dyDescent="0.3">
      <c r="A7724">
        <v>72957</v>
      </c>
      <c r="B7724">
        <v>1</v>
      </c>
      <c r="C7724">
        <v>8</v>
      </c>
    </row>
    <row r="7725" spans="1:3" x14ac:dyDescent="0.3">
      <c r="A7725">
        <v>72847</v>
      </c>
      <c r="B7725">
        <v>2</v>
      </c>
      <c r="C7725">
        <v>8</v>
      </c>
    </row>
    <row r="7726" spans="1:3" x14ac:dyDescent="0.3">
      <c r="A7726">
        <v>72573</v>
      </c>
      <c r="B7726">
        <v>1</v>
      </c>
      <c r="C7726">
        <v>8</v>
      </c>
    </row>
    <row r="7727" spans="1:3" x14ac:dyDescent="0.3">
      <c r="A7727">
        <v>72095</v>
      </c>
      <c r="B7727">
        <v>1</v>
      </c>
      <c r="C7727">
        <v>16</v>
      </c>
    </row>
    <row r="7728" spans="1:3" x14ac:dyDescent="0.3">
      <c r="A7728">
        <v>71591</v>
      </c>
      <c r="B7728">
        <v>1</v>
      </c>
      <c r="C7728">
        <v>8</v>
      </c>
    </row>
    <row r="7729" spans="1:3" x14ac:dyDescent="0.3">
      <c r="A7729">
        <v>71407</v>
      </c>
      <c r="B7729">
        <v>1</v>
      </c>
      <c r="C7729">
        <v>8</v>
      </c>
    </row>
    <row r="7730" spans="1:3" x14ac:dyDescent="0.3">
      <c r="A7730">
        <v>70477</v>
      </c>
      <c r="B7730">
        <v>2</v>
      </c>
      <c r="C7730">
        <v>16</v>
      </c>
    </row>
    <row r="7731" spans="1:3" x14ac:dyDescent="0.3">
      <c r="A7731">
        <v>69409</v>
      </c>
      <c r="B7731">
        <v>1</v>
      </c>
      <c r="C7731">
        <v>8</v>
      </c>
    </row>
    <row r="7732" spans="1:3" x14ac:dyDescent="0.3">
      <c r="A7732">
        <v>69378</v>
      </c>
      <c r="B7732">
        <v>1</v>
      </c>
      <c r="C7732">
        <v>16</v>
      </c>
    </row>
    <row r="7733" spans="1:3" x14ac:dyDescent="0.3">
      <c r="A7733">
        <v>15428</v>
      </c>
      <c r="B7733">
        <v>1</v>
      </c>
      <c r="C7733">
        <v>8</v>
      </c>
    </row>
    <row r="7734" spans="1:3" x14ac:dyDescent="0.3">
      <c r="A7734">
        <v>68355</v>
      </c>
      <c r="B7734">
        <v>1</v>
      </c>
      <c r="C7734">
        <v>8</v>
      </c>
    </row>
    <row r="7735" spans="1:3" x14ac:dyDescent="0.3">
      <c r="A7735">
        <v>15904</v>
      </c>
      <c r="B7735">
        <v>1</v>
      </c>
      <c r="C7735">
        <v>8</v>
      </c>
    </row>
    <row r="7736" spans="1:3" x14ac:dyDescent="0.3">
      <c r="A7736">
        <v>67359</v>
      </c>
      <c r="B7736">
        <v>1</v>
      </c>
      <c r="C7736">
        <v>8</v>
      </c>
    </row>
    <row r="7737" spans="1:3" x14ac:dyDescent="0.3">
      <c r="A7737">
        <v>67112</v>
      </c>
      <c r="B7737">
        <v>1</v>
      </c>
      <c r="C7737">
        <v>16</v>
      </c>
    </row>
    <row r="7738" spans="1:3" x14ac:dyDescent="0.3">
      <c r="A7738">
        <v>67111</v>
      </c>
      <c r="B7738">
        <v>1</v>
      </c>
      <c r="C7738">
        <v>16</v>
      </c>
    </row>
    <row r="7739" spans="1:3" x14ac:dyDescent="0.3">
      <c r="A7739">
        <v>15959</v>
      </c>
      <c r="B7739">
        <v>2</v>
      </c>
      <c r="C7739">
        <v>16</v>
      </c>
    </row>
    <row r="7740" spans="1:3" x14ac:dyDescent="0.3">
      <c r="A7740">
        <v>67027</v>
      </c>
      <c r="B7740">
        <v>2</v>
      </c>
      <c r="C7740">
        <v>16</v>
      </c>
    </row>
    <row r="7741" spans="1:3" x14ac:dyDescent="0.3">
      <c r="A7741">
        <v>66078</v>
      </c>
      <c r="B7741">
        <v>1</v>
      </c>
      <c r="C7741">
        <v>8</v>
      </c>
    </row>
    <row r="7742" spans="1:3" x14ac:dyDescent="0.3">
      <c r="A7742">
        <v>65470</v>
      </c>
      <c r="B7742">
        <v>1</v>
      </c>
      <c r="C7742">
        <v>8</v>
      </c>
    </row>
    <row r="7743" spans="1:3" x14ac:dyDescent="0.3">
      <c r="A7743">
        <v>65049</v>
      </c>
      <c r="B7743">
        <v>2</v>
      </c>
      <c r="C7743">
        <v>8</v>
      </c>
    </row>
    <row r="7744" spans="1:3" x14ac:dyDescent="0.3">
      <c r="A7744">
        <v>63268</v>
      </c>
      <c r="B7744">
        <v>1</v>
      </c>
      <c r="C7744">
        <v>8</v>
      </c>
    </row>
    <row r="7745" spans="1:3" x14ac:dyDescent="0.3">
      <c r="A7745">
        <v>17207</v>
      </c>
      <c r="B7745">
        <v>2</v>
      </c>
      <c r="C7745">
        <v>16</v>
      </c>
    </row>
    <row r="7746" spans="1:3" x14ac:dyDescent="0.3">
      <c r="A7746">
        <v>62522</v>
      </c>
      <c r="B7746">
        <v>1</v>
      </c>
      <c r="C7746">
        <v>8</v>
      </c>
    </row>
    <row r="7747" spans="1:3" x14ac:dyDescent="0.3">
      <c r="A7747">
        <v>62037</v>
      </c>
      <c r="B7747">
        <v>1</v>
      </c>
      <c r="C7747">
        <v>8</v>
      </c>
    </row>
    <row r="7748" spans="1:3" x14ac:dyDescent="0.3">
      <c r="A7748">
        <v>61555</v>
      </c>
      <c r="B7748">
        <v>2</v>
      </c>
      <c r="C7748">
        <v>16</v>
      </c>
    </row>
    <row r="7749" spans="1:3" x14ac:dyDescent="0.3">
      <c r="A7749">
        <v>61190</v>
      </c>
      <c r="B7749">
        <v>2</v>
      </c>
      <c r="C7749">
        <v>8</v>
      </c>
    </row>
    <row r="7750" spans="1:3" x14ac:dyDescent="0.3">
      <c r="A7750">
        <v>61189</v>
      </c>
      <c r="B7750">
        <v>2</v>
      </c>
      <c r="C7750">
        <v>8</v>
      </c>
    </row>
    <row r="7751" spans="1:3" x14ac:dyDescent="0.3">
      <c r="A7751">
        <v>60242</v>
      </c>
      <c r="B7751">
        <v>2</v>
      </c>
      <c r="C7751">
        <v>16</v>
      </c>
    </row>
    <row r="7752" spans="1:3" x14ac:dyDescent="0.3">
      <c r="A7752">
        <v>18127</v>
      </c>
      <c r="B7752">
        <v>1</v>
      </c>
      <c r="C7752">
        <v>16</v>
      </c>
    </row>
    <row r="7753" spans="1:3" x14ac:dyDescent="0.3">
      <c r="A7753">
        <v>59500</v>
      </c>
      <c r="B7753">
        <v>1</v>
      </c>
      <c r="C7753">
        <v>16</v>
      </c>
    </row>
    <row r="7754" spans="1:3" x14ac:dyDescent="0.3">
      <c r="A7754">
        <v>59280</v>
      </c>
      <c r="B7754">
        <v>2</v>
      </c>
      <c r="C7754">
        <v>16</v>
      </c>
    </row>
    <row r="7755" spans="1:3" x14ac:dyDescent="0.3">
      <c r="A7755">
        <v>57432</v>
      </c>
      <c r="B7755">
        <v>1</v>
      </c>
      <c r="C7755">
        <v>8</v>
      </c>
    </row>
    <row r="7756" spans="1:3" x14ac:dyDescent="0.3">
      <c r="A7756">
        <v>57226</v>
      </c>
      <c r="B7756">
        <v>1</v>
      </c>
      <c r="C7756">
        <v>16</v>
      </c>
    </row>
    <row r="7757" spans="1:3" x14ac:dyDescent="0.3">
      <c r="A7757">
        <v>54676</v>
      </c>
      <c r="B7757">
        <v>1</v>
      </c>
      <c r="C7757">
        <v>16</v>
      </c>
    </row>
    <row r="7758" spans="1:3" x14ac:dyDescent="0.3">
      <c r="A7758">
        <v>54137</v>
      </c>
      <c r="B7758">
        <v>1</v>
      </c>
      <c r="C7758">
        <v>16</v>
      </c>
    </row>
    <row r="7759" spans="1:3" x14ac:dyDescent="0.3">
      <c r="A7759">
        <v>54136</v>
      </c>
      <c r="B7759">
        <v>2</v>
      </c>
      <c r="C7759">
        <v>16</v>
      </c>
    </row>
    <row r="7760" spans="1:3" x14ac:dyDescent="0.3">
      <c r="A7760">
        <v>53023</v>
      </c>
      <c r="B7760">
        <v>1</v>
      </c>
      <c r="C7760">
        <v>8</v>
      </c>
    </row>
    <row r="7761" spans="1:3" x14ac:dyDescent="0.3">
      <c r="A7761">
        <v>52372</v>
      </c>
      <c r="B7761">
        <v>1</v>
      </c>
      <c r="C7761">
        <v>8</v>
      </c>
    </row>
    <row r="7762" spans="1:3" x14ac:dyDescent="0.3">
      <c r="A7762">
        <v>52297</v>
      </c>
      <c r="B7762">
        <v>1</v>
      </c>
      <c r="C7762">
        <v>8</v>
      </c>
    </row>
    <row r="7763" spans="1:3" x14ac:dyDescent="0.3">
      <c r="A7763">
        <v>51939</v>
      </c>
      <c r="B7763">
        <v>3</v>
      </c>
      <c r="C7763">
        <v>16</v>
      </c>
    </row>
    <row r="7764" spans="1:3" x14ac:dyDescent="0.3">
      <c r="A7764">
        <v>51699</v>
      </c>
      <c r="B7764">
        <v>2</v>
      </c>
      <c r="C7764">
        <v>16</v>
      </c>
    </row>
    <row r="7765" spans="1:3" x14ac:dyDescent="0.3">
      <c r="A7765">
        <v>20581</v>
      </c>
      <c r="B7765">
        <v>2</v>
      </c>
      <c r="C7765">
        <v>16</v>
      </c>
    </row>
    <row r="7766" spans="1:3" x14ac:dyDescent="0.3">
      <c r="A7766">
        <v>51038</v>
      </c>
      <c r="B7766">
        <v>1</v>
      </c>
      <c r="C7766">
        <v>8</v>
      </c>
    </row>
    <row r="7767" spans="1:3" x14ac:dyDescent="0.3">
      <c r="A7767">
        <v>50468</v>
      </c>
      <c r="B7767">
        <v>1</v>
      </c>
      <c r="C7767">
        <v>8</v>
      </c>
    </row>
    <row r="7768" spans="1:3" x14ac:dyDescent="0.3">
      <c r="A7768">
        <v>50116</v>
      </c>
      <c r="B7768">
        <v>1</v>
      </c>
      <c r="C7768">
        <v>8</v>
      </c>
    </row>
    <row r="7769" spans="1:3" x14ac:dyDescent="0.3">
      <c r="A7769">
        <v>49438</v>
      </c>
      <c r="B7769">
        <v>1</v>
      </c>
      <c r="C7769">
        <v>8</v>
      </c>
    </row>
    <row r="7770" spans="1:3" x14ac:dyDescent="0.3">
      <c r="A7770">
        <v>21147</v>
      </c>
      <c r="B7770">
        <v>1</v>
      </c>
      <c r="C7770">
        <v>16</v>
      </c>
    </row>
    <row r="7771" spans="1:3" x14ac:dyDescent="0.3">
      <c r="A7771">
        <v>21149</v>
      </c>
      <c r="B7771">
        <v>2</v>
      </c>
      <c r="C7771">
        <v>16</v>
      </c>
    </row>
    <row r="7772" spans="1:3" x14ac:dyDescent="0.3">
      <c r="A7772">
        <v>43444</v>
      </c>
      <c r="B7772">
        <v>1</v>
      </c>
      <c r="C7772">
        <v>8</v>
      </c>
    </row>
    <row r="7773" spans="1:3" x14ac:dyDescent="0.3">
      <c r="A7773">
        <v>43271</v>
      </c>
      <c r="B7773">
        <v>1</v>
      </c>
      <c r="C7773">
        <v>8</v>
      </c>
    </row>
    <row r="7774" spans="1:3" x14ac:dyDescent="0.3">
      <c r="A7774">
        <v>43270</v>
      </c>
      <c r="B7774">
        <v>1</v>
      </c>
      <c r="C7774">
        <v>16</v>
      </c>
    </row>
    <row r="7775" spans="1:3" x14ac:dyDescent="0.3">
      <c r="A7775">
        <v>43036</v>
      </c>
      <c r="B7775">
        <v>1</v>
      </c>
      <c r="C7775">
        <v>8</v>
      </c>
    </row>
    <row r="7776" spans="1:3" x14ac:dyDescent="0.3">
      <c r="A7776">
        <v>22640</v>
      </c>
      <c r="B7776">
        <v>1</v>
      </c>
      <c r="C7776">
        <v>8</v>
      </c>
    </row>
    <row r="7777" spans="1:3" x14ac:dyDescent="0.3">
      <c r="A7777">
        <v>41650</v>
      </c>
      <c r="B7777">
        <v>1</v>
      </c>
      <c r="C7777">
        <v>16</v>
      </c>
    </row>
    <row r="7778" spans="1:3" x14ac:dyDescent="0.3">
      <c r="A7778">
        <v>41500</v>
      </c>
      <c r="B7778">
        <v>1</v>
      </c>
      <c r="C7778">
        <v>16</v>
      </c>
    </row>
    <row r="7779" spans="1:3" x14ac:dyDescent="0.3">
      <c r="A7779">
        <v>41105</v>
      </c>
      <c r="B7779">
        <v>1</v>
      </c>
      <c r="C7779">
        <v>8</v>
      </c>
    </row>
    <row r="7780" spans="1:3" x14ac:dyDescent="0.3">
      <c r="A7780">
        <v>40589</v>
      </c>
      <c r="B7780">
        <v>1</v>
      </c>
      <c r="C7780">
        <v>8</v>
      </c>
    </row>
    <row r="7781" spans="1:3" x14ac:dyDescent="0.3">
      <c r="A7781">
        <v>39787</v>
      </c>
      <c r="B7781">
        <v>1</v>
      </c>
      <c r="C7781">
        <v>8</v>
      </c>
    </row>
    <row r="7782" spans="1:3" x14ac:dyDescent="0.3">
      <c r="A7782">
        <v>39702</v>
      </c>
      <c r="B7782">
        <v>1</v>
      </c>
      <c r="C7782">
        <v>8</v>
      </c>
    </row>
    <row r="7783" spans="1:3" x14ac:dyDescent="0.3">
      <c r="A7783">
        <v>38670</v>
      </c>
      <c r="B7783">
        <v>1</v>
      </c>
      <c r="C7783">
        <v>8</v>
      </c>
    </row>
    <row r="7784" spans="1:3" x14ac:dyDescent="0.3">
      <c r="A7784">
        <v>38253</v>
      </c>
      <c r="B7784">
        <v>1</v>
      </c>
      <c r="C7784">
        <v>8</v>
      </c>
    </row>
    <row r="7785" spans="1:3" x14ac:dyDescent="0.3">
      <c r="A7785">
        <v>37491</v>
      </c>
      <c r="B7785">
        <v>1</v>
      </c>
      <c r="C7785">
        <v>16</v>
      </c>
    </row>
    <row r="7786" spans="1:3" x14ac:dyDescent="0.3">
      <c r="A7786">
        <v>36234</v>
      </c>
      <c r="B7786">
        <v>2</v>
      </c>
      <c r="C7786">
        <v>16</v>
      </c>
    </row>
    <row r="7787" spans="1:3" x14ac:dyDescent="0.3">
      <c r="A7787">
        <v>35314</v>
      </c>
      <c r="B7787">
        <v>1</v>
      </c>
      <c r="C7787">
        <v>8</v>
      </c>
    </row>
    <row r="7788" spans="1:3" x14ac:dyDescent="0.3">
      <c r="A7788">
        <v>33979</v>
      </c>
      <c r="B7788">
        <v>1</v>
      </c>
      <c r="C7788">
        <v>8</v>
      </c>
    </row>
    <row r="7789" spans="1:3" x14ac:dyDescent="0.3">
      <c r="A7789">
        <v>30769</v>
      </c>
      <c r="B7789">
        <v>1</v>
      </c>
      <c r="C7789">
        <v>8</v>
      </c>
    </row>
    <row r="7790" spans="1:3" x14ac:dyDescent="0.3">
      <c r="A7790">
        <v>29919</v>
      </c>
      <c r="B7790">
        <v>3</v>
      </c>
      <c r="C7790">
        <v>8</v>
      </c>
    </row>
    <row r="7791" spans="1:3" x14ac:dyDescent="0.3">
      <c r="A7791">
        <v>29532</v>
      </c>
      <c r="B7791">
        <v>1</v>
      </c>
      <c r="C7791">
        <v>16</v>
      </c>
    </row>
    <row r="7792" spans="1:3" x14ac:dyDescent="0.3">
      <c r="A7792">
        <v>28262</v>
      </c>
      <c r="B7792">
        <v>1</v>
      </c>
      <c r="C7792">
        <v>8</v>
      </c>
    </row>
    <row r="7793" spans="1:3" x14ac:dyDescent="0.3">
      <c r="A7793">
        <v>24759</v>
      </c>
      <c r="B7793">
        <v>1</v>
      </c>
      <c r="C7793">
        <v>8</v>
      </c>
    </row>
    <row r="7794" spans="1:3" x14ac:dyDescent="0.3">
      <c r="A7794">
        <v>26353</v>
      </c>
      <c r="B7794">
        <v>1</v>
      </c>
      <c r="C7794">
        <v>8</v>
      </c>
    </row>
    <row r="7795" spans="1:3" x14ac:dyDescent="0.3">
      <c r="A7795">
        <v>25600</v>
      </c>
      <c r="B7795">
        <v>1</v>
      </c>
      <c r="C7795">
        <v>8</v>
      </c>
    </row>
    <row r="7796" spans="1:3" x14ac:dyDescent="0.3">
      <c r="A7796">
        <v>80195</v>
      </c>
      <c r="B7796">
        <v>1</v>
      </c>
      <c r="C7796">
        <v>8</v>
      </c>
    </row>
    <row r="7797" spans="1:3" x14ac:dyDescent="0.3">
      <c r="A7797">
        <v>79804</v>
      </c>
      <c r="B7797">
        <v>1</v>
      </c>
      <c r="C7797">
        <v>8</v>
      </c>
    </row>
    <row r="7798" spans="1:3" x14ac:dyDescent="0.3">
      <c r="A7798">
        <v>79803</v>
      </c>
      <c r="B7798">
        <v>1</v>
      </c>
      <c r="C7798">
        <v>8</v>
      </c>
    </row>
    <row r="7799" spans="1:3" x14ac:dyDescent="0.3">
      <c r="A7799">
        <v>79802</v>
      </c>
      <c r="B7799">
        <v>1</v>
      </c>
      <c r="C7799">
        <v>8</v>
      </c>
    </row>
    <row r="7800" spans="1:3" x14ac:dyDescent="0.3">
      <c r="A7800">
        <v>78917</v>
      </c>
      <c r="B7800">
        <v>1</v>
      </c>
      <c r="C7800">
        <v>8</v>
      </c>
    </row>
    <row r="7801" spans="1:3" x14ac:dyDescent="0.3">
      <c r="A7801">
        <v>78897</v>
      </c>
      <c r="B7801">
        <v>1</v>
      </c>
      <c r="C7801">
        <v>8</v>
      </c>
    </row>
    <row r="7802" spans="1:3" x14ac:dyDescent="0.3">
      <c r="A7802">
        <v>78443</v>
      </c>
      <c r="B7802">
        <v>1</v>
      </c>
      <c r="C7802">
        <v>8</v>
      </c>
    </row>
    <row r="7803" spans="1:3" x14ac:dyDescent="0.3">
      <c r="A7803">
        <v>78396</v>
      </c>
      <c r="B7803">
        <v>1</v>
      </c>
      <c r="C7803">
        <v>8</v>
      </c>
    </row>
    <row r="7804" spans="1:3" x14ac:dyDescent="0.3">
      <c r="A7804">
        <v>77714</v>
      </c>
      <c r="B7804">
        <v>1</v>
      </c>
      <c r="C7804">
        <v>8</v>
      </c>
    </row>
    <row r="7805" spans="1:3" x14ac:dyDescent="0.3">
      <c r="A7805">
        <v>77590</v>
      </c>
      <c r="B7805">
        <v>1</v>
      </c>
      <c r="C7805">
        <v>8</v>
      </c>
    </row>
    <row r="7806" spans="1:3" x14ac:dyDescent="0.3">
      <c r="A7806">
        <v>77497</v>
      </c>
      <c r="B7806">
        <v>1</v>
      </c>
      <c r="C7806">
        <v>8</v>
      </c>
    </row>
    <row r="7807" spans="1:3" x14ac:dyDescent="0.3">
      <c r="A7807">
        <v>77329</v>
      </c>
      <c r="B7807">
        <v>1</v>
      </c>
      <c r="C7807">
        <v>8</v>
      </c>
    </row>
    <row r="7808" spans="1:3" x14ac:dyDescent="0.3">
      <c r="A7808">
        <v>76357</v>
      </c>
      <c r="B7808">
        <v>1</v>
      </c>
      <c r="C7808">
        <v>8</v>
      </c>
    </row>
    <row r="7809" spans="1:3" x14ac:dyDescent="0.3">
      <c r="A7809">
        <v>76071</v>
      </c>
      <c r="B7809">
        <v>1</v>
      </c>
      <c r="C7809">
        <v>8</v>
      </c>
    </row>
    <row r="7810" spans="1:3" x14ac:dyDescent="0.3">
      <c r="A7810">
        <v>76049</v>
      </c>
      <c r="B7810">
        <v>1</v>
      </c>
      <c r="C7810">
        <v>8</v>
      </c>
    </row>
    <row r="7811" spans="1:3" x14ac:dyDescent="0.3">
      <c r="A7811">
        <v>75524</v>
      </c>
      <c r="B7811">
        <v>1</v>
      </c>
      <c r="C7811">
        <v>8</v>
      </c>
    </row>
    <row r="7812" spans="1:3" x14ac:dyDescent="0.3">
      <c r="A7812">
        <v>75517</v>
      </c>
      <c r="B7812">
        <v>2</v>
      </c>
      <c r="C7812">
        <v>16</v>
      </c>
    </row>
    <row r="7813" spans="1:3" x14ac:dyDescent="0.3">
      <c r="A7813">
        <v>75517</v>
      </c>
      <c r="B7813">
        <v>2</v>
      </c>
      <c r="C7813">
        <v>16</v>
      </c>
    </row>
    <row r="7814" spans="1:3" x14ac:dyDescent="0.3">
      <c r="A7814">
        <v>75460</v>
      </c>
      <c r="B7814">
        <v>1</v>
      </c>
      <c r="C7814">
        <v>8</v>
      </c>
    </row>
    <row r="7815" spans="1:3" x14ac:dyDescent="0.3">
      <c r="A7815">
        <v>75428</v>
      </c>
      <c r="B7815">
        <v>1</v>
      </c>
      <c r="C7815">
        <v>8</v>
      </c>
    </row>
    <row r="7816" spans="1:3" x14ac:dyDescent="0.3">
      <c r="A7816">
        <v>72936</v>
      </c>
      <c r="B7816">
        <v>1</v>
      </c>
      <c r="C7816">
        <v>8</v>
      </c>
    </row>
    <row r="7817" spans="1:3" x14ac:dyDescent="0.3">
      <c r="A7817">
        <v>72848</v>
      </c>
      <c r="B7817">
        <v>1</v>
      </c>
      <c r="C7817">
        <v>8</v>
      </c>
    </row>
    <row r="7818" spans="1:3" x14ac:dyDescent="0.3">
      <c r="A7818">
        <v>72467</v>
      </c>
      <c r="B7818">
        <v>1</v>
      </c>
      <c r="C7818">
        <v>8</v>
      </c>
    </row>
    <row r="7819" spans="1:3" x14ac:dyDescent="0.3">
      <c r="A7819">
        <v>72032</v>
      </c>
      <c r="B7819">
        <v>1</v>
      </c>
      <c r="C7819">
        <v>8</v>
      </c>
    </row>
    <row r="7820" spans="1:3" x14ac:dyDescent="0.3">
      <c r="A7820">
        <v>15009</v>
      </c>
      <c r="B7820">
        <v>1</v>
      </c>
      <c r="C7820">
        <v>8</v>
      </c>
    </row>
    <row r="7821" spans="1:3" x14ac:dyDescent="0.3">
      <c r="A7821">
        <v>15010</v>
      </c>
      <c r="B7821">
        <v>1</v>
      </c>
      <c r="C7821">
        <v>8</v>
      </c>
    </row>
    <row r="7822" spans="1:3" x14ac:dyDescent="0.3">
      <c r="A7822">
        <v>70222</v>
      </c>
      <c r="B7822">
        <v>1</v>
      </c>
      <c r="C7822">
        <v>8</v>
      </c>
    </row>
    <row r="7823" spans="1:3" x14ac:dyDescent="0.3">
      <c r="A7823">
        <v>15204</v>
      </c>
      <c r="B7823">
        <v>1</v>
      </c>
      <c r="C7823">
        <v>8</v>
      </c>
    </row>
    <row r="7824" spans="1:3" x14ac:dyDescent="0.3">
      <c r="A7824">
        <v>15548</v>
      </c>
      <c r="B7824">
        <v>1</v>
      </c>
      <c r="C7824">
        <v>8</v>
      </c>
    </row>
    <row r="7825" spans="1:3" x14ac:dyDescent="0.3">
      <c r="A7825">
        <v>62683</v>
      </c>
      <c r="B7825">
        <v>2</v>
      </c>
      <c r="C7825">
        <v>16</v>
      </c>
    </row>
    <row r="7826" spans="1:3" x14ac:dyDescent="0.3">
      <c r="A7826">
        <v>62683</v>
      </c>
      <c r="B7826">
        <v>2</v>
      </c>
      <c r="C7826">
        <v>16</v>
      </c>
    </row>
    <row r="7827" spans="1:3" x14ac:dyDescent="0.3">
      <c r="A7827">
        <v>62449</v>
      </c>
      <c r="B7827">
        <v>1</v>
      </c>
      <c r="C7827">
        <v>16</v>
      </c>
    </row>
    <row r="7828" spans="1:3" x14ac:dyDescent="0.3">
      <c r="A7828">
        <v>17281</v>
      </c>
      <c r="B7828">
        <v>1</v>
      </c>
      <c r="C7828">
        <v>8</v>
      </c>
    </row>
    <row r="7829" spans="1:3" x14ac:dyDescent="0.3">
      <c r="A7829">
        <v>62093</v>
      </c>
      <c r="B7829">
        <v>1</v>
      </c>
      <c r="C7829">
        <v>8</v>
      </c>
    </row>
    <row r="7830" spans="1:3" x14ac:dyDescent="0.3">
      <c r="A7830">
        <v>60944</v>
      </c>
      <c r="B7830">
        <v>3</v>
      </c>
      <c r="C7830">
        <v>16</v>
      </c>
    </row>
    <row r="7831" spans="1:3" x14ac:dyDescent="0.3">
      <c r="A7831">
        <v>60944</v>
      </c>
      <c r="B7831">
        <v>3</v>
      </c>
      <c r="C7831">
        <v>16</v>
      </c>
    </row>
    <row r="7832" spans="1:3" x14ac:dyDescent="0.3">
      <c r="A7832">
        <v>60944</v>
      </c>
      <c r="B7832">
        <v>3</v>
      </c>
      <c r="C7832">
        <v>16</v>
      </c>
    </row>
    <row r="7833" spans="1:3" x14ac:dyDescent="0.3">
      <c r="A7833">
        <v>60320</v>
      </c>
      <c r="B7833">
        <v>1</v>
      </c>
      <c r="C7833">
        <v>8</v>
      </c>
    </row>
    <row r="7834" spans="1:3" x14ac:dyDescent="0.3">
      <c r="A7834">
        <v>58313</v>
      </c>
      <c r="B7834">
        <v>1</v>
      </c>
      <c r="C7834">
        <v>16</v>
      </c>
    </row>
    <row r="7835" spans="1:3" x14ac:dyDescent="0.3">
      <c r="A7835">
        <v>56393</v>
      </c>
      <c r="B7835">
        <v>2</v>
      </c>
      <c r="C7835">
        <v>16</v>
      </c>
    </row>
    <row r="7836" spans="1:3" x14ac:dyDescent="0.3">
      <c r="A7836">
        <v>56393</v>
      </c>
      <c r="B7836">
        <v>2</v>
      </c>
      <c r="C7836">
        <v>16</v>
      </c>
    </row>
    <row r="7837" spans="1:3" x14ac:dyDescent="0.3">
      <c r="A7837">
        <v>53474</v>
      </c>
      <c r="B7837">
        <v>1</v>
      </c>
      <c r="C7837">
        <v>8</v>
      </c>
    </row>
    <row r="7838" spans="1:3" x14ac:dyDescent="0.3">
      <c r="A7838">
        <v>52298</v>
      </c>
      <c r="B7838">
        <v>1</v>
      </c>
      <c r="C7838">
        <v>8</v>
      </c>
    </row>
    <row r="7839" spans="1:3" x14ac:dyDescent="0.3">
      <c r="A7839">
        <v>50879</v>
      </c>
      <c r="B7839">
        <v>1</v>
      </c>
      <c r="C7839">
        <v>8</v>
      </c>
    </row>
    <row r="7840" spans="1:3" x14ac:dyDescent="0.3">
      <c r="A7840">
        <v>49874</v>
      </c>
      <c r="B7840">
        <v>1</v>
      </c>
      <c r="C7840">
        <v>8</v>
      </c>
    </row>
    <row r="7841" spans="1:3" x14ac:dyDescent="0.3">
      <c r="A7841">
        <v>48069</v>
      </c>
      <c r="B7841">
        <v>1</v>
      </c>
      <c r="C7841">
        <v>8</v>
      </c>
    </row>
    <row r="7842" spans="1:3" x14ac:dyDescent="0.3">
      <c r="A7842">
        <v>46465</v>
      </c>
      <c r="B7842">
        <v>1</v>
      </c>
      <c r="C7842">
        <v>16</v>
      </c>
    </row>
    <row r="7843" spans="1:3" x14ac:dyDescent="0.3">
      <c r="A7843">
        <v>43545</v>
      </c>
      <c r="B7843">
        <v>1</v>
      </c>
      <c r="C7843">
        <v>8</v>
      </c>
    </row>
    <row r="7844" spans="1:3" x14ac:dyDescent="0.3">
      <c r="A7844">
        <v>36237</v>
      </c>
      <c r="B7844">
        <v>1</v>
      </c>
      <c r="C7844">
        <v>8</v>
      </c>
    </row>
    <row r="7845" spans="1:3" x14ac:dyDescent="0.3">
      <c r="A7845">
        <v>35009</v>
      </c>
      <c r="B7845">
        <v>1</v>
      </c>
      <c r="C7845">
        <v>8</v>
      </c>
    </row>
    <row r="7846" spans="1:3" x14ac:dyDescent="0.3">
      <c r="A7846">
        <v>23934</v>
      </c>
      <c r="B7846">
        <v>1</v>
      </c>
      <c r="C7846">
        <v>16</v>
      </c>
    </row>
    <row r="7847" spans="1:3" x14ac:dyDescent="0.3">
      <c r="A7847">
        <v>33460</v>
      </c>
      <c r="B7847">
        <v>1</v>
      </c>
      <c r="C7847">
        <v>8</v>
      </c>
    </row>
    <row r="7848" spans="1:3" x14ac:dyDescent="0.3">
      <c r="A7848">
        <v>28993</v>
      </c>
      <c r="B7848">
        <v>1</v>
      </c>
      <c r="C7848">
        <v>8</v>
      </c>
    </row>
    <row r="7849" spans="1:3" x14ac:dyDescent="0.3">
      <c r="A7849">
        <v>28515</v>
      </c>
      <c r="B7849">
        <v>1</v>
      </c>
      <c r="C7849">
        <v>8</v>
      </c>
    </row>
    <row r="7850" spans="1:3" x14ac:dyDescent="0.3">
      <c r="A7850">
        <v>26814</v>
      </c>
      <c r="B7850">
        <v>1</v>
      </c>
      <c r="C7850">
        <v>16</v>
      </c>
    </row>
    <row r="7851" spans="1:3" x14ac:dyDescent="0.3">
      <c r="A7851">
        <v>26729</v>
      </c>
      <c r="B7851">
        <v>1</v>
      </c>
      <c r="C7851">
        <v>8</v>
      </c>
    </row>
    <row r="7852" spans="1:3" x14ac:dyDescent="0.3">
      <c r="A7852">
        <v>26090</v>
      </c>
      <c r="B7852">
        <v>1</v>
      </c>
      <c r="C7852">
        <v>16</v>
      </c>
    </row>
    <row r="7853" spans="1:3" x14ac:dyDescent="0.3">
      <c r="A7853">
        <v>80549</v>
      </c>
      <c r="B7853">
        <v>1</v>
      </c>
      <c r="C7853">
        <v>8</v>
      </c>
    </row>
    <row r="7854" spans="1:3" x14ac:dyDescent="0.3">
      <c r="A7854">
        <v>80076</v>
      </c>
      <c r="B7854">
        <v>1</v>
      </c>
      <c r="C7854">
        <v>8</v>
      </c>
    </row>
    <row r="7855" spans="1:3" x14ac:dyDescent="0.3">
      <c r="A7855">
        <v>79807</v>
      </c>
      <c r="B7855">
        <v>1</v>
      </c>
      <c r="C7855">
        <v>8</v>
      </c>
    </row>
    <row r="7856" spans="1:3" x14ac:dyDescent="0.3">
      <c r="A7856">
        <v>79426</v>
      </c>
      <c r="B7856">
        <v>1</v>
      </c>
      <c r="C7856">
        <v>8</v>
      </c>
    </row>
    <row r="7857" spans="1:3" x14ac:dyDescent="0.3">
      <c r="A7857">
        <v>79155</v>
      </c>
      <c r="B7857">
        <v>1</v>
      </c>
      <c r="C7857">
        <v>8</v>
      </c>
    </row>
    <row r="7858" spans="1:3" x14ac:dyDescent="0.3">
      <c r="A7858">
        <v>78398</v>
      </c>
      <c r="B7858">
        <v>2</v>
      </c>
      <c r="C7858">
        <v>8</v>
      </c>
    </row>
    <row r="7859" spans="1:3" x14ac:dyDescent="0.3">
      <c r="A7859">
        <v>78162</v>
      </c>
      <c r="B7859">
        <v>1</v>
      </c>
      <c r="C7859">
        <v>8</v>
      </c>
    </row>
    <row r="7860" spans="1:3" x14ac:dyDescent="0.3">
      <c r="A7860">
        <v>78027</v>
      </c>
      <c r="B7860">
        <v>1</v>
      </c>
      <c r="C7860">
        <v>8</v>
      </c>
    </row>
    <row r="7861" spans="1:3" x14ac:dyDescent="0.3">
      <c r="A7861">
        <v>77591</v>
      </c>
      <c r="B7861">
        <v>1</v>
      </c>
      <c r="C7861">
        <v>8</v>
      </c>
    </row>
    <row r="7862" spans="1:3" x14ac:dyDescent="0.3">
      <c r="A7862">
        <v>77499</v>
      </c>
      <c r="B7862">
        <v>1</v>
      </c>
      <c r="C7862">
        <v>8</v>
      </c>
    </row>
    <row r="7863" spans="1:3" x14ac:dyDescent="0.3">
      <c r="A7863">
        <v>77332</v>
      </c>
      <c r="B7863">
        <v>1</v>
      </c>
      <c r="C7863">
        <v>8</v>
      </c>
    </row>
    <row r="7864" spans="1:3" x14ac:dyDescent="0.3">
      <c r="A7864">
        <v>77297</v>
      </c>
      <c r="B7864">
        <v>1</v>
      </c>
      <c r="C7864">
        <v>8</v>
      </c>
    </row>
    <row r="7865" spans="1:3" x14ac:dyDescent="0.3">
      <c r="A7865">
        <v>77189</v>
      </c>
      <c r="B7865">
        <v>1</v>
      </c>
      <c r="C7865">
        <v>8</v>
      </c>
    </row>
    <row r="7866" spans="1:3" x14ac:dyDescent="0.3">
      <c r="A7866">
        <v>76814</v>
      </c>
      <c r="B7866">
        <v>1</v>
      </c>
      <c r="C7866">
        <v>8</v>
      </c>
    </row>
    <row r="7867" spans="1:3" x14ac:dyDescent="0.3">
      <c r="A7867">
        <v>75929</v>
      </c>
      <c r="B7867">
        <v>1</v>
      </c>
      <c r="C7867">
        <v>8</v>
      </c>
    </row>
    <row r="7868" spans="1:3" x14ac:dyDescent="0.3">
      <c r="A7868">
        <v>71488</v>
      </c>
      <c r="B7868">
        <v>2</v>
      </c>
      <c r="C7868">
        <v>16</v>
      </c>
    </row>
    <row r="7869" spans="1:3" x14ac:dyDescent="0.3">
      <c r="A7869">
        <v>70287</v>
      </c>
      <c r="B7869">
        <v>1</v>
      </c>
      <c r="C7869">
        <v>8</v>
      </c>
    </row>
    <row r="7870" spans="1:3" x14ac:dyDescent="0.3">
      <c r="A7870">
        <v>67439</v>
      </c>
      <c r="B7870">
        <v>1</v>
      </c>
      <c r="C7870">
        <v>8</v>
      </c>
    </row>
    <row r="7871" spans="1:3" x14ac:dyDescent="0.3">
      <c r="A7871">
        <v>66723</v>
      </c>
      <c r="B7871">
        <v>1</v>
      </c>
      <c r="C7871">
        <v>8</v>
      </c>
    </row>
    <row r="7872" spans="1:3" x14ac:dyDescent="0.3">
      <c r="A7872">
        <v>66324</v>
      </c>
      <c r="B7872">
        <v>1</v>
      </c>
      <c r="C7872">
        <v>8</v>
      </c>
    </row>
    <row r="7873" spans="1:3" x14ac:dyDescent="0.3">
      <c r="A7873">
        <v>64597</v>
      </c>
      <c r="B7873">
        <v>1</v>
      </c>
      <c r="C7873">
        <v>8</v>
      </c>
    </row>
    <row r="7874" spans="1:3" x14ac:dyDescent="0.3">
      <c r="A7874">
        <v>17025</v>
      </c>
      <c r="B7874">
        <v>1</v>
      </c>
      <c r="C7874">
        <v>8</v>
      </c>
    </row>
    <row r="7875" spans="1:3" x14ac:dyDescent="0.3">
      <c r="A7875">
        <v>62699</v>
      </c>
      <c r="B7875">
        <v>1</v>
      </c>
      <c r="C7875">
        <v>8</v>
      </c>
    </row>
    <row r="7876" spans="1:3" x14ac:dyDescent="0.3">
      <c r="A7876">
        <v>61992</v>
      </c>
      <c r="B7876">
        <v>1</v>
      </c>
      <c r="C7876">
        <v>8</v>
      </c>
    </row>
    <row r="7877" spans="1:3" x14ac:dyDescent="0.3">
      <c r="A7877">
        <v>60352</v>
      </c>
      <c r="B7877">
        <v>1</v>
      </c>
      <c r="C7877">
        <v>8</v>
      </c>
    </row>
    <row r="7878" spans="1:3" x14ac:dyDescent="0.3">
      <c r="A7878">
        <v>58932</v>
      </c>
      <c r="B7878">
        <v>1</v>
      </c>
      <c r="C7878">
        <v>16</v>
      </c>
    </row>
    <row r="7879" spans="1:3" x14ac:dyDescent="0.3">
      <c r="A7879">
        <v>53679</v>
      </c>
      <c r="B7879">
        <v>1</v>
      </c>
      <c r="C7879">
        <v>8</v>
      </c>
    </row>
    <row r="7880" spans="1:3" x14ac:dyDescent="0.3">
      <c r="A7880">
        <v>51257</v>
      </c>
      <c r="B7880">
        <v>1</v>
      </c>
      <c r="C7880">
        <v>8</v>
      </c>
    </row>
    <row r="7881" spans="1:3" x14ac:dyDescent="0.3">
      <c r="A7881">
        <v>51091</v>
      </c>
      <c r="B7881">
        <v>1</v>
      </c>
      <c r="C7881">
        <v>16</v>
      </c>
    </row>
    <row r="7882" spans="1:3" x14ac:dyDescent="0.3">
      <c r="A7882">
        <v>46415</v>
      </c>
      <c r="B7882">
        <v>2</v>
      </c>
      <c r="C7882">
        <v>16</v>
      </c>
    </row>
    <row r="7883" spans="1:3" x14ac:dyDescent="0.3">
      <c r="A7883">
        <v>40652</v>
      </c>
      <c r="B7883">
        <v>1</v>
      </c>
      <c r="C7883">
        <v>8</v>
      </c>
    </row>
    <row r="7884" spans="1:3" x14ac:dyDescent="0.3">
      <c r="A7884">
        <v>38299</v>
      </c>
      <c r="B7884">
        <v>1</v>
      </c>
      <c r="C7884">
        <v>8</v>
      </c>
    </row>
    <row r="7885" spans="1:3" x14ac:dyDescent="0.3">
      <c r="A7885">
        <v>35242</v>
      </c>
      <c r="B7885">
        <v>1</v>
      </c>
      <c r="C7885">
        <v>8</v>
      </c>
    </row>
    <row r="7886" spans="1:3" x14ac:dyDescent="0.3">
      <c r="A7886">
        <v>32323</v>
      </c>
      <c r="B7886">
        <v>1</v>
      </c>
      <c r="C7886">
        <v>8</v>
      </c>
    </row>
    <row r="7887" spans="1:3" x14ac:dyDescent="0.3">
      <c r="A7887">
        <v>30673</v>
      </c>
      <c r="B7887">
        <v>1</v>
      </c>
      <c r="C7887">
        <v>8</v>
      </c>
    </row>
    <row r="7888" spans="1:3" x14ac:dyDescent="0.3">
      <c r="A7888">
        <v>30529</v>
      </c>
      <c r="B7888">
        <v>2</v>
      </c>
      <c r="C7888">
        <v>8</v>
      </c>
    </row>
    <row r="7889" spans="1:3" x14ac:dyDescent="0.3">
      <c r="A7889">
        <v>26535</v>
      </c>
      <c r="B7889">
        <v>2</v>
      </c>
      <c r="C7889">
        <v>16</v>
      </c>
    </row>
    <row r="7890" spans="1:3" x14ac:dyDescent="0.3">
      <c r="A7890">
        <v>80197</v>
      </c>
      <c r="B7890">
        <v>1</v>
      </c>
      <c r="C7890">
        <v>8</v>
      </c>
    </row>
    <row r="7891" spans="1:3" x14ac:dyDescent="0.3">
      <c r="A7891">
        <v>79662</v>
      </c>
      <c r="B7891">
        <v>1</v>
      </c>
      <c r="C7891">
        <v>8</v>
      </c>
    </row>
    <row r="7892" spans="1:3" x14ac:dyDescent="0.3">
      <c r="A7892">
        <v>10473</v>
      </c>
      <c r="B7892">
        <v>1</v>
      </c>
      <c r="C7892">
        <v>8</v>
      </c>
    </row>
    <row r="7893" spans="1:3" x14ac:dyDescent="0.3">
      <c r="A7893">
        <v>78970</v>
      </c>
      <c r="B7893">
        <v>1</v>
      </c>
      <c r="C7893">
        <v>8</v>
      </c>
    </row>
    <row r="7894" spans="1:3" x14ac:dyDescent="0.3">
      <c r="A7894">
        <v>78161</v>
      </c>
      <c r="B7894">
        <v>1</v>
      </c>
      <c r="C7894">
        <v>8</v>
      </c>
    </row>
    <row r="7895" spans="1:3" x14ac:dyDescent="0.3">
      <c r="A7895">
        <v>78120</v>
      </c>
      <c r="B7895">
        <v>1</v>
      </c>
      <c r="C7895">
        <v>8</v>
      </c>
    </row>
    <row r="7896" spans="1:3" x14ac:dyDescent="0.3">
      <c r="A7896">
        <v>78119</v>
      </c>
      <c r="B7896">
        <v>1</v>
      </c>
      <c r="C7896">
        <v>8</v>
      </c>
    </row>
    <row r="7897" spans="1:3" x14ac:dyDescent="0.3">
      <c r="A7897">
        <v>77939</v>
      </c>
      <c r="B7897">
        <v>1</v>
      </c>
      <c r="C7897">
        <v>8</v>
      </c>
    </row>
    <row r="7898" spans="1:3" x14ac:dyDescent="0.3">
      <c r="A7898">
        <v>77913</v>
      </c>
      <c r="B7898">
        <v>1</v>
      </c>
      <c r="C7898">
        <v>8</v>
      </c>
    </row>
    <row r="7899" spans="1:3" x14ac:dyDescent="0.3">
      <c r="A7899">
        <v>77331</v>
      </c>
      <c r="B7899">
        <v>1</v>
      </c>
      <c r="C7899">
        <v>8</v>
      </c>
    </row>
    <row r="7900" spans="1:3" x14ac:dyDescent="0.3">
      <c r="A7900">
        <v>74285</v>
      </c>
      <c r="B7900">
        <v>1</v>
      </c>
      <c r="C7900">
        <v>8</v>
      </c>
    </row>
    <row r="7901" spans="1:3" x14ac:dyDescent="0.3">
      <c r="A7901">
        <v>72623</v>
      </c>
      <c r="B7901">
        <v>1</v>
      </c>
      <c r="C7901">
        <v>8</v>
      </c>
    </row>
    <row r="7902" spans="1:3" x14ac:dyDescent="0.3">
      <c r="A7902">
        <v>70664</v>
      </c>
      <c r="B7902">
        <v>1</v>
      </c>
      <c r="C7902">
        <v>8</v>
      </c>
    </row>
    <row r="7903" spans="1:3" x14ac:dyDescent="0.3">
      <c r="A7903">
        <v>70286</v>
      </c>
      <c r="B7903">
        <v>1</v>
      </c>
      <c r="C7903">
        <v>8</v>
      </c>
    </row>
    <row r="7904" spans="1:3" x14ac:dyDescent="0.3">
      <c r="A7904">
        <v>67375</v>
      </c>
      <c r="B7904">
        <v>1</v>
      </c>
      <c r="C7904">
        <v>8</v>
      </c>
    </row>
    <row r="7905" spans="1:3" x14ac:dyDescent="0.3">
      <c r="A7905">
        <v>66151</v>
      </c>
      <c r="B7905">
        <v>1</v>
      </c>
      <c r="C7905">
        <v>8</v>
      </c>
    </row>
    <row r="7906" spans="1:3" x14ac:dyDescent="0.3">
      <c r="A7906">
        <v>65625</v>
      </c>
      <c r="B7906">
        <v>1</v>
      </c>
      <c r="C7906">
        <v>8</v>
      </c>
    </row>
    <row r="7907" spans="1:3" x14ac:dyDescent="0.3">
      <c r="A7907">
        <v>65516</v>
      </c>
      <c r="B7907">
        <v>1</v>
      </c>
      <c r="C7907">
        <v>8</v>
      </c>
    </row>
    <row r="7908" spans="1:3" x14ac:dyDescent="0.3">
      <c r="A7908">
        <v>60955</v>
      </c>
      <c r="B7908">
        <v>1</v>
      </c>
      <c r="C7908">
        <v>8</v>
      </c>
    </row>
    <row r="7909" spans="1:3" x14ac:dyDescent="0.3">
      <c r="A7909">
        <v>60357</v>
      </c>
      <c r="B7909">
        <v>1</v>
      </c>
      <c r="C7909">
        <v>8</v>
      </c>
    </row>
    <row r="7910" spans="1:3" x14ac:dyDescent="0.3">
      <c r="A7910">
        <v>60355</v>
      </c>
      <c r="B7910">
        <v>1</v>
      </c>
      <c r="C7910">
        <v>8</v>
      </c>
    </row>
    <row r="7911" spans="1:3" x14ac:dyDescent="0.3">
      <c r="A7911">
        <v>60354</v>
      </c>
      <c r="B7911">
        <v>1</v>
      </c>
      <c r="C7911">
        <v>8</v>
      </c>
    </row>
    <row r="7912" spans="1:3" x14ac:dyDescent="0.3">
      <c r="A7912">
        <v>58680</v>
      </c>
      <c r="B7912">
        <v>3</v>
      </c>
      <c r="C7912">
        <v>16</v>
      </c>
    </row>
    <row r="7913" spans="1:3" x14ac:dyDescent="0.3">
      <c r="A7913">
        <v>58680</v>
      </c>
      <c r="B7913">
        <v>3</v>
      </c>
      <c r="C7913">
        <v>16</v>
      </c>
    </row>
    <row r="7914" spans="1:3" x14ac:dyDescent="0.3">
      <c r="A7914">
        <v>58680</v>
      </c>
      <c r="B7914">
        <v>3</v>
      </c>
      <c r="C7914">
        <v>16</v>
      </c>
    </row>
    <row r="7915" spans="1:3" x14ac:dyDescent="0.3">
      <c r="A7915">
        <v>55182</v>
      </c>
      <c r="B7915">
        <v>1</v>
      </c>
      <c r="C7915">
        <v>8</v>
      </c>
    </row>
    <row r="7916" spans="1:3" x14ac:dyDescent="0.3">
      <c r="A7916">
        <v>54095</v>
      </c>
      <c r="B7916">
        <v>1</v>
      </c>
      <c r="C7916">
        <v>8</v>
      </c>
    </row>
    <row r="7917" spans="1:3" x14ac:dyDescent="0.3">
      <c r="A7917">
        <v>53933</v>
      </c>
      <c r="B7917">
        <v>1</v>
      </c>
      <c r="C7917">
        <v>8</v>
      </c>
    </row>
    <row r="7918" spans="1:3" x14ac:dyDescent="0.3">
      <c r="A7918">
        <v>49890</v>
      </c>
      <c r="B7918">
        <v>1</v>
      </c>
      <c r="C7918">
        <v>8</v>
      </c>
    </row>
    <row r="7919" spans="1:3" x14ac:dyDescent="0.3">
      <c r="A7919">
        <v>49339</v>
      </c>
      <c r="B7919">
        <v>1</v>
      </c>
      <c r="C7919">
        <v>16</v>
      </c>
    </row>
    <row r="7920" spans="1:3" x14ac:dyDescent="0.3">
      <c r="A7920">
        <v>48395</v>
      </c>
      <c r="B7920">
        <v>1</v>
      </c>
      <c r="C7920">
        <v>8</v>
      </c>
    </row>
    <row r="7921" spans="1:3" x14ac:dyDescent="0.3">
      <c r="A7921">
        <v>46240</v>
      </c>
      <c r="B7921">
        <v>1</v>
      </c>
      <c r="C7921">
        <v>16</v>
      </c>
    </row>
    <row r="7922" spans="1:3" x14ac:dyDescent="0.3">
      <c r="A7922">
        <v>38332</v>
      </c>
      <c r="B7922">
        <v>1</v>
      </c>
      <c r="C7922">
        <v>8</v>
      </c>
    </row>
    <row r="7923" spans="1:3" x14ac:dyDescent="0.3">
      <c r="A7923">
        <v>36495</v>
      </c>
      <c r="B7923">
        <v>1</v>
      </c>
      <c r="C7923">
        <v>8</v>
      </c>
    </row>
    <row r="7924" spans="1:3" x14ac:dyDescent="0.3">
      <c r="A7924">
        <v>80764</v>
      </c>
      <c r="B7924">
        <v>1</v>
      </c>
      <c r="C7924">
        <v>8</v>
      </c>
    </row>
    <row r="7925" spans="1:3" x14ac:dyDescent="0.3">
      <c r="A7925">
        <v>80710</v>
      </c>
      <c r="B7925">
        <v>1</v>
      </c>
      <c r="C7925">
        <v>8</v>
      </c>
    </row>
    <row r="7926" spans="1:3" x14ac:dyDescent="0.3">
      <c r="A7926">
        <v>80418</v>
      </c>
      <c r="B7926">
        <v>2</v>
      </c>
      <c r="C7926">
        <v>8</v>
      </c>
    </row>
    <row r="7927" spans="1:3" x14ac:dyDescent="0.3">
      <c r="A7927">
        <v>79170</v>
      </c>
      <c r="B7927">
        <v>1</v>
      </c>
      <c r="C7927">
        <v>8</v>
      </c>
    </row>
    <row r="7928" spans="1:3" x14ac:dyDescent="0.3">
      <c r="A7928">
        <v>78582</v>
      </c>
      <c r="B7928">
        <v>1</v>
      </c>
      <c r="C7928">
        <v>8</v>
      </c>
    </row>
    <row r="7929" spans="1:3" x14ac:dyDescent="0.3">
      <c r="A7929">
        <v>78446</v>
      </c>
      <c r="B7929">
        <v>1</v>
      </c>
      <c r="C7929">
        <v>8</v>
      </c>
    </row>
    <row r="7930" spans="1:3" x14ac:dyDescent="0.3">
      <c r="A7930">
        <v>77987</v>
      </c>
      <c r="B7930">
        <v>1</v>
      </c>
      <c r="C7930">
        <v>8</v>
      </c>
    </row>
    <row r="7931" spans="1:3" x14ac:dyDescent="0.3">
      <c r="A7931">
        <v>77431</v>
      </c>
      <c r="B7931">
        <v>1</v>
      </c>
      <c r="C7931">
        <v>8</v>
      </c>
    </row>
    <row r="7932" spans="1:3" x14ac:dyDescent="0.3">
      <c r="A7932">
        <v>76292</v>
      </c>
      <c r="B7932">
        <v>1</v>
      </c>
      <c r="C7932">
        <v>8</v>
      </c>
    </row>
    <row r="7933" spans="1:3" x14ac:dyDescent="0.3">
      <c r="A7933">
        <v>75420</v>
      </c>
      <c r="B7933">
        <v>1</v>
      </c>
      <c r="C7933">
        <v>8</v>
      </c>
    </row>
    <row r="7934" spans="1:3" x14ac:dyDescent="0.3">
      <c r="A7934">
        <v>75417</v>
      </c>
      <c r="B7934">
        <v>1</v>
      </c>
      <c r="C7934">
        <v>8</v>
      </c>
    </row>
    <row r="7935" spans="1:3" x14ac:dyDescent="0.3">
      <c r="A7935">
        <v>74556</v>
      </c>
      <c r="B7935">
        <v>1</v>
      </c>
      <c r="C7935">
        <v>8</v>
      </c>
    </row>
    <row r="7936" spans="1:3" x14ac:dyDescent="0.3">
      <c r="A7936">
        <v>74498</v>
      </c>
      <c r="B7936">
        <v>1</v>
      </c>
      <c r="C7936">
        <v>8</v>
      </c>
    </row>
    <row r="7937" spans="1:3" x14ac:dyDescent="0.3">
      <c r="A7937">
        <v>74496</v>
      </c>
      <c r="B7937">
        <v>1</v>
      </c>
      <c r="C7937">
        <v>16</v>
      </c>
    </row>
    <row r="7938" spans="1:3" x14ac:dyDescent="0.3">
      <c r="A7938">
        <v>74487</v>
      </c>
      <c r="B7938">
        <v>1</v>
      </c>
      <c r="C7938">
        <v>8</v>
      </c>
    </row>
    <row r="7939" spans="1:3" x14ac:dyDescent="0.3">
      <c r="A7939">
        <v>13092</v>
      </c>
      <c r="B7939">
        <v>2</v>
      </c>
      <c r="C7939">
        <v>16</v>
      </c>
    </row>
    <row r="7940" spans="1:3" x14ac:dyDescent="0.3">
      <c r="A7940">
        <v>67150</v>
      </c>
      <c r="B7940">
        <v>1</v>
      </c>
      <c r="C7940">
        <v>8</v>
      </c>
    </row>
    <row r="7941" spans="1:3" x14ac:dyDescent="0.3">
      <c r="A7941">
        <v>65506</v>
      </c>
      <c r="B7941">
        <v>1</v>
      </c>
      <c r="C7941">
        <v>8</v>
      </c>
    </row>
    <row r="7942" spans="1:3" x14ac:dyDescent="0.3">
      <c r="A7942">
        <v>62205</v>
      </c>
      <c r="B7942">
        <v>1</v>
      </c>
      <c r="C7942">
        <v>8</v>
      </c>
    </row>
    <row r="7943" spans="1:3" x14ac:dyDescent="0.3">
      <c r="A7943">
        <v>57878</v>
      </c>
      <c r="B7943">
        <v>1</v>
      </c>
      <c r="C7943">
        <v>8</v>
      </c>
    </row>
    <row r="7944" spans="1:3" x14ac:dyDescent="0.3">
      <c r="A7944">
        <v>57727</v>
      </c>
      <c r="B7944">
        <v>1</v>
      </c>
      <c r="C7944">
        <v>8</v>
      </c>
    </row>
    <row r="7945" spans="1:3" x14ac:dyDescent="0.3">
      <c r="A7945">
        <v>57474</v>
      </c>
      <c r="B7945">
        <v>1</v>
      </c>
      <c r="C7945">
        <v>8</v>
      </c>
    </row>
    <row r="7946" spans="1:3" x14ac:dyDescent="0.3">
      <c r="A7946">
        <v>48288</v>
      </c>
      <c r="B7946">
        <v>1</v>
      </c>
      <c r="C7946">
        <v>8</v>
      </c>
    </row>
    <row r="7947" spans="1:3" x14ac:dyDescent="0.3">
      <c r="A7947">
        <v>47765</v>
      </c>
      <c r="B7947">
        <v>1</v>
      </c>
      <c r="C7947">
        <v>8</v>
      </c>
    </row>
    <row r="7948" spans="1:3" x14ac:dyDescent="0.3">
      <c r="A7948">
        <v>43528</v>
      </c>
      <c r="B7948">
        <v>2</v>
      </c>
      <c r="C7948">
        <v>16</v>
      </c>
    </row>
    <row r="7949" spans="1:3" x14ac:dyDescent="0.3">
      <c r="A7949">
        <v>37184</v>
      </c>
      <c r="B7949">
        <v>1</v>
      </c>
      <c r="C7949">
        <v>8</v>
      </c>
    </row>
    <row r="7950" spans="1:3" x14ac:dyDescent="0.3">
      <c r="A7950">
        <v>36905</v>
      </c>
      <c r="B7950">
        <v>1</v>
      </c>
      <c r="C7950">
        <v>8</v>
      </c>
    </row>
    <row r="7951" spans="1:3" x14ac:dyDescent="0.3">
      <c r="A7951">
        <v>34137</v>
      </c>
      <c r="B7951">
        <v>1</v>
      </c>
      <c r="C7951">
        <v>8</v>
      </c>
    </row>
    <row r="7952" spans="1:3" x14ac:dyDescent="0.3">
      <c r="A7952">
        <v>33768</v>
      </c>
      <c r="B7952">
        <v>1</v>
      </c>
      <c r="C7952">
        <v>16</v>
      </c>
    </row>
    <row r="7953" spans="1:3" x14ac:dyDescent="0.3">
      <c r="A7953">
        <v>31937</v>
      </c>
      <c r="B7953">
        <v>1</v>
      </c>
      <c r="C7953">
        <v>16</v>
      </c>
    </row>
    <row r="7954" spans="1:3" x14ac:dyDescent="0.3">
      <c r="A7954">
        <v>31231</v>
      </c>
      <c r="B7954">
        <v>2</v>
      </c>
      <c r="C7954">
        <v>16</v>
      </c>
    </row>
    <row r="7955" spans="1:3" x14ac:dyDescent="0.3">
      <c r="A7955">
        <v>31229</v>
      </c>
      <c r="B7955">
        <v>1</v>
      </c>
      <c r="C7955">
        <v>8</v>
      </c>
    </row>
    <row r="7956" spans="1:3" x14ac:dyDescent="0.3">
      <c r="A7956">
        <v>28683</v>
      </c>
      <c r="B7956">
        <v>1</v>
      </c>
      <c r="C7956">
        <v>8</v>
      </c>
    </row>
    <row r="7957" spans="1:3" x14ac:dyDescent="0.3">
      <c r="A7957">
        <v>79169</v>
      </c>
      <c r="B7957">
        <v>1</v>
      </c>
      <c r="C7957">
        <v>8</v>
      </c>
    </row>
    <row r="7958" spans="1:3" x14ac:dyDescent="0.3">
      <c r="A7958">
        <v>78405</v>
      </c>
      <c r="B7958">
        <v>1</v>
      </c>
      <c r="C7958">
        <v>8</v>
      </c>
    </row>
    <row r="7959" spans="1:3" x14ac:dyDescent="0.3">
      <c r="A7959">
        <v>77986</v>
      </c>
      <c r="B7959">
        <v>1</v>
      </c>
      <c r="C7959">
        <v>8</v>
      </c>
    </row>
    <row r="7960" spans="1:3" x14ac:dyDescent="0.3">
      <c r="A7960">
        <v>77813</v>
      </c>
      <c r="B7960">
        <v>1</v>
      </c>
      <c r="C7960">
        <v>8</v>
      </c>
    </row>
    <row r="7961" spans="1:3" x14ac:dyDescent="0.3">
      <c r="A7961">
        <v>77210</v>
      </c>
      <c r="B7961">
        <v>1</v>
      </c>
      <c r="C7961">
        <v>8</v>
      </c>
    </row>
    <row r="7962" spans="1:3" x14ac:dyDescent="0.3">
      <c r="A7962">
        <v>76523</v>
      </c>
      <c r="B7962">
        <v>1</v>
      </c>
      <c r="C7962">
        <v>8</v>
      </c>
    </row>
    <row r="7963" spans="1:3" x14ac:dyDescent="0.3">
      <c r="A7963">
        <v>76295</v>
      </c>
      <c r="B7963">
        <v>1</v>
      </c>
      <c r="C7963">
        <v>8</v>
      </c>
    </row>
    <row r="7964" spans="1:3" x14ac:dyDescent="0.3">
      <c r="A7964">
        <v>76293</v>
      </c>
      <c r="B7964">
        <v>1</v>
      </c>
      <c r="C7964">
        <v>8</v>
      </c>
    </row>
    <row r="7965" spans="1:3" x14ac:dyDescent="0.3">
      <c r="A7965">
        <v>76291</v>
      </c>
      <c r="B7965">
        <v>1</v>
      </c>
      <c r="C7965">
        <v>8</v>
      </c>
    </row>
    <row r="7966" spans="1:3" x14ac:dyDescent="0.3">
      <c r="A7966">
        <v>74557</v>
      </c>
      <c r="B7966">
        <v>1</v>
      </c>
      <c r="C7966">
        <v>8</v>
      </c>
    </row>
    <row r="7967" spans="1:3" x14ac:dyDescent="0.3">
      <c r="A7967">
        <v>74497</v>
      </c>
      <c r="B7967">
        <v>1</v>
      </c>
      <c r="C7967">
        <v>8</v>
      </c>
    </row>
    <row r="7968" spans="1:3" x14ac:dyDescent="0.3">
      <c r="A7968">
        <v>71976</v>
      </c>
      <c r="B7968">
        <v>1</v>
      </c>
      <c r="C7968">
        <v>8</v>
      </c>
    </row>
    <row r="7969" spans="1:3" x14ac:dyDescent="0.3">
      <c r="A7969">
        <v>71975</v>
      </c>
      <c r="B7969">
        <v>1</v>
      </c>
      <c r="C7969">
        <v>16</v>
      </c>
    </row>
    <row r="7970" spans="1:3" x14ac:dyDescent="0.3">
      <c r="A7970">
        <v>70785</v>
      </c>
      <c r="B7970">
        <v>1</v>
      </c>
      <c r="C7970">
        <v>8</v>
      </c>
    </row>
    <row r="7971" spans="1:3" x14ac:dyDescent="0.3">
      <c r="A7971">
        <v>70212</v>
      </c>
      <c r="B7971">
        <v>1</v>
      </c>
      <c r="C7971">
        <v>8</v>
      </c>
    </row>
    <row r="7972" spans="1:3" x14ac:dyDescent="0.3">
      <c r="A7972">
        <v>70098</v>
      </c>
      <c r="B7972">
        <v>1</v>
      </c>
      <c r="C7972">
        <v>8</v>
      </c>
    </row>
    <row r="7973" spans="1:3" x14ac:dyDescent="0.3">
      <c r="A7973">
        <v>67383</v>
      </c>
      <c r="B7973">
        <v>1</v>
      </c>
      <c r="C7973">
        <v>8</v>
      </c>
    </row>
    <row r="7974" spans="1:3" x14ac:dyDescent="0.3">
      <c r="A7974">
        <v>66457</v>
      </c>
      <c r="B7974">
        <v>1</v>
      </c>
      <c r="C7974">
        <v>8</v>
      </c>
    </row>
    <row r="7975" spans="1:3" x14ac:dyDescent="0.3">
      <c r="A7975">
        <v>65649</v>
      </c>
      <c r="B7975">
        <v>3</v>
      </c>
      <c r="C7975">
        <v>16</v>
      </c>
    </row>
    <row r="7976" spans="1:3" x14ac:dyDescent="0.3">
      <c r="A7976">
        <v>65649</v>
      </c>
      <c r="B7976">
        <v>3</v>
      </c>
      <c r="C7976">
        <v>16</v>
      </c>
    </row>
    <row r="7977" spans="1:3" x14ac:dyDescent="0.3">
      <c r="A7977">
        <v>65649</v>
      </c>
      <c r="B7977">
        <v>3</v>
      </c>
      <c r="C7977">
        <v>16</v>
      </c>
    </row>
    <row r="7978" spans="1:3" x14ac:dyDescent="0.3">
      <c r="A7978">
        <v>65328</v>
      </c>
      <c r="B7978">
        <v>1</v>
      </c>
      <c r="C7978">
        <v>8</v>
      </c>
    </row>
    <row r="7979" spans="1:3" x14ac:dyDescent="0.3">
      <c r="A7979">
        <v>65327</v>
      </c>
      <c r="B7979">
        <v>1</v>
      </c>
      <c r="C7979">
        <v>16</v>
      </c>
    </row>
    <row r="7980" spans="1:3" x14ac:dyDescent="0.3">
      <c r="A7980">
        <v>64314</v>
      </c>
      <c r="B7980">
        <v>1</v>
      </c>
      <c r="C7980">
        <v>8</v>
      </c>
    </row>
    <row r="7981" spans="1:3" x14ac:dyDescent="0.3">
      <c r="A7981">
        <v>62204</v>
      </c>
      <c r="B7981">
        <v>1</v>
      </c>
      <c r="C7981">
        <v>8</v>
      </c>
    </row>
    <row r="7982" spans="1:3" x14ac:dyDescent="0.3">
      <c r="A7982">
        <v>61908</v>
      </c>
      <c r="B7982">
        <v>1</v>
      </c>
      <c r="C7982">
        <v>8</v>
      </c>
    </row>
    <row r="7983" spans="1:3" x14ac:dyDescent="0.3">
      <c r="A7983">
        <v>61691</v>
      </c>
      <c r="B7983">
        <v>1</v>
      </c>
      <c r="C7983">
        <v>8</v>
      </c>
    </row>
    <row r="7984" spans="1:3" x14ac:dyDescent="0.3">
      <c r="A7984">
        <v>61689</v>
      </c>
      <c r="B7984">
        <v>1</v>
      </c>
      <c r="C7984">
        <v>8</v>
      </c>
    </row>
    <row r="7985" spans="1:3" x14ac:dyDescent="0.3">
      <c r="A7985">
        <v>60139</v>
      </c>
      <c r="B7985">
        <v>1</v>
      </c>
      <c r="C7985">
        <v>8</v>
      </c>
    </row>
    <row r="7986" spans="1:3" x14ac:dyDescent="0.3">
      <c r="A7986">
        <v>58961</v>
      </c>
      <c r="B7986">
        <v>1</v>
      </c>
      <c r="C7986">
        <v>8</v>
      </c>
    </row>
    <row r="7987" spans="1:3" x14ac:dyDescent="0.3">
      <c r="A7987">
        <v>56929</v>
      </c>
      <c r="B7987">
        <v>1</v>
      </c>
      <c r="C7987">
        <v>16</v>
      </c>
    </row>
    <row r="7988" spans="1:3" x14ac:dyDescent="0.3">
      <c r="A7988">
        <v>56927</v>
      </c>
      <c r="B7988">
        <v>1</v>
      </c>
      <c r="C7988">
        <v>8</v>
      </c>
    </row>
    <row r="7989" spans="1:3" x14ac:dyDescent="0.3">
      <c r="A7989">
        <v>55051</v>
      </c>
      <c r="B7989">
        <v>1</v>
      </c>
      <c r="C7989">
        <v>8</v>
      </c>
    </row>
    <row r="7990" spans="1:3" x14ac:dyDescent="0.3">
      <c r="A7990">
        <v>53387</v>
      </c>
      <c r="B7990">
        <v>1</v>
      </c>
      <c r="C7990">
        <v>8</v>
      </c>
    </row>
    <row r="7991" spans="1:3" x14ac:dyDescent="0.3">
      <c r="A7991">
        <v>52651</v>
      </c>
      <c r="B7991">
        <v>1</v>
      </c>
      <c r="C7991">
        <v>8</v>
      </c>
    </row>
    <row r="7992" spans="1:3" x14ac:dyDescent="0.3">
      <c r="A7992">
        <v>50638</v>
      </c>
      <c r="B7992">
        <v>1</v>
      </c>
      <c r="C7992">
        <v>8</v>
      </c>
    </row>
    <row r="7993" spans="1:3" x14ac:dyDescent="0.3">
      <c r="A7993">
        <v>49976</v>
      </c>
      <c r="B7993">
        <v>1</v>
      </c>
      <c r="C7993">
        <v>8</v>
      </c>
    </row>
    <row r="7994" spans="1:3" x14ac:dyDescent="0.3">
      <c r="A7994">
        <v>49231</v>
      </c>
      <c r="B7994">
        <v>2</v>
      </c>
      <c r="C7994">
        <v>16</v>
      </c>
    </row>
    <row r="7995" spans="1:3" x14ac:dyDescent="0.3">
      <c r="A7995">
        <v>49231</v>
      </c>
      <c r="B7995">
        <v>2</v>
      </c>
      <c r="C7995">
        <v>16</v>
      </c>
    </row>
    <row r="7996" spans="1:3" x14ac:dyDescent="0.3">
      <c r="A7996">
        <v>46674</v>
      </c>
      <c r="B7996">
        <v>1</v>
      </c>
      <c r="C7996">
        <v>8</v>
      </c>
    </row>
    <row r="7997" spans="1:3" x14ac:dyDescent="0.3">
      <c r="A7997">
        <v>43953</v>
      </c>
      <c r="B7997">
        <v>1</v>
      </c>
      <c r="C7997">
        <v>16</v>
      </c>
    </row>
    <row r="7998" spans="1:3" x14ac:dyDescent="0.3">
      <c r="A7998">
        <v>40670</v>
      </c>
      <c r="B7998">
        <v>1</v>
      </c>
      <c r="C7998">
        <v>8</v>
      </c>
    </row>
    <row r="7999" spans="1:3" x14ac:dyDescent="0.3">
      <c r="A7999">
        <v>37760</v>
      </c>
      <c r="B7999">
        <v>1</v>
      </c>
      <c r="C7999">
        <v>16</v>
      </c>
    </row>
    <row r="8000" spans="1:3" x14ac:dyDescent="0.3">
      <c r="A8000">
        <v>37695</v>
      </c>
      <c r="B8000">
        <v>1</v>
      </c>
      <c r="C8000">
        <v>8</v>
      </c>
    </row>
    <row r="8001" spans="1:3" x14ac:dyDescent="0.3">
      <c r="A8001">
        <v>37517</v>
      </c>
      <c r="B8001">
        <v>1</v>
      </c>
      <c r="C8001">
        <v>8</v>
      </c>
    </row>
    <row r="8002" spans="1:3" x14ac:dyDescent="0.3">
      <c r="A8002" s="26">
        <v>36516</v>
      </c>
      <c r="B8002" s="26">
        <v>1</v>
      </c>
      <c r="C8002" s="26">
        <v>16</v>
      </c>
    </row>
    <row r="8003" spans="1:3" x14ac:dyDescent="0.3">
      <c r="A8003">
        <v>35770</v>
      </c>
      <c r="B8003">
        <v>1</v>
      </c>
      <c r="C8003">
        <v>8</v>
      </c>
    </row>
    <row r="8004" spans="1:3" x14ac:dyDescent="0.3">
      <c r="A8004">
        <v>35334</v>
      </c>
      <c r="B8004">
        <v>1</v>
      </c>
      <c r="C8004">
        <v>8</v>
      </c>
    </row>
    <row r="8005" spans="1:3" x14ac:dyDescent="0.3">
      <c r="A8005">
        <v>34913</v>
      </c>
      <c r="B8005">
        <v>2</v>
      </c>
      <c r="C8005">
        <v>16</v>
      </c>
    </row>
    <row r="8006" spans="1:3" x14ac:dyDescent="0.3">
      <c r="A8006">
        <v>34913</v>
      </c>
      <c r="B8006">
        <v>2</v>
      </c>
      <c r="C8006">
        <v>16</v>
      </c>
    </row>
    <row r="8007" spans="1:3" x14ac:dyDescent="0.3">
      <c r="A8007">
        <v>34777</v>
      </c>
      <c r="B8007">
        <v>1</v>
      </c>
      <c r="C8007">
        <v>8</v>
      </c>
    </row>
    <row r="8008" spans="1:3" x14ac:dyDescent="0.3">
      <c r="A8008">
        <v>32849</v>
      </c>
      <c r="B8008">
        <v>1</v>
      </c>
      <c r="C8008">
        <v>8</v>
      </c>
    </row>
    <row r="8009" spans="1:3" x14ac:dyDescent="0.3">
      <c r="A8009">
        <v>31230</v>
      </c>
      <c r="B8009">
        <v>1</v>
      </c>
      <c r="C8009">
        <v>8</v>
      </c>
    </row>
    <row r="8010" spans="1:3" x14ac:dyDescent="0.3">
      <c r="A8010">
        <v>25005</v>
      </c>
      <c r="B8010">
        <v>1</v>
      </c>
      <c r="C8010">
        <v>8</v>
      </c>
    </row>
    <row r="8011" spans="1:3" x14ac:dyDescent="0.3">
      <c r="A8011">
        <v>14664</v>
      </c>
      <c r="B8011">
        <v>1</v>
      </c>
      <c r="C8011">
        <v>16</v>
      </c>
    </row>
    <row r="8012" spans="1:3" x14ac:dyDescent="0.3">
      <c r="A8012">
        <v>29318</v>
      </c>
      <c r="B8012">
        <v>1</v>
      </c>
      <c r="C8012">
        <v>8</v>
      </c>
    </row>
    <row r="8013" spans="1:3" x14ac:dyDescent="0.3">
      <c r="A8013">
        <v>34572</v>
      </c>
      <c r="B8013">
        <v>1</v>
      </c>
      <c r="C8013">
        <v>16</v>
      </c>
    </row>
    <row r="8014" spans="1:3" x14ac:dyDescent="0.3">
      <c r="A8014">
        <v>42518</v>
      </c>
      <c r="B8014">
        <v>1</v>
      </c>
      <c r="C8014">
        <v>8</v>
      </c>
    </row>
    <row r="8015" spans="1:3" x14ac:dyDescent="0.3">
      <c r="A8015">
        <v>52924</v>
      </c>
      <c r="B8015">
        <v>1</v>
      </c>
      <c r="C8015">
        <v>16</v>
      </c>
    </row>
    <row r="8016" spans="1:3" x14ac:dyDescent="0.3">
      <c r="A8016">
        <v>60550</v>
      </c>
      <c r="B8016">
        <v>1</v>
      </c>
      <c r="C8016">
        <v>8</v>
      </c>
    </row>
    <row r="8017" spans="1:3" x14ac:dyDescent="0.3">
      <c r="A8017">
        <v>64072</v>
      </c>
      <c r="B8017">
        <v>1</v>
      </c>
      <c r="C8017">
        <v>8</v>
      </c>
    </row>
    <row r="8018" spans="1:3" x14ac:dyDescent="0.3">
      <c r="A8018">
        <v>69894</v>
      </c>
      <c r="B8018">
        <v>1</v>
      </c>
      <c r="C8018">
        <v>8</v>
      </c>
    </row>
    <row r="8019" spans="1:3" x14ac:dyDescent="0.3">
      <c r="A8019">
        <v>72678</v>
      </c>
      <c r="B8019">
        <v>1</v>
      </c>
      <c r="C8019">
        <v>8</v>
      </c>
    </row>
    <row r="8020" spans="1:3" x14ac:dyDescent="0.3">
      <c r="A8020">
        <v>75438</v>
      </c>
      <c r="B8020">
        <v>1</v>
      </c>
      <c r="C8020">
        <v>8</v>
      </c>
    </row>
    <row r="8021" spans="1:3" x14ac:dyDescent="0.3">
      <c r="A8021">
        <v>17119</v>
      </c>
      <c r="B8021">
        <v>1</v>
      </c>
      <c r="C8021">
        <v>8</v>
      </c>
    </row>
    <row r="8022" spans="1:3" x14ac:dyDescent="0.3">
      <c r="A8022">
        <v>24853</v>
      </c>
      <c r="B8022">
        <v>1</v>
      </c>
      <c r="C8022">
        <v>8</v>
      </c>
    </row>
    <row r="8023" spans="1:3" x14ac:dyDescent="0.3">
      <c r="A8023">
        <v>25124</v>
      </c>
      <c r="B8023">
        <v>1</v>
      </c>
      <c r="C8023">
        <v>16</v>
      </c>
    </row>
    <row r="8024" spans="1:3" x14ac:dyDescent="0.3">
      <c r="A8024">
        <v>28917</v>
      </c>
      <c r="B8024">
        <v>1</v>
      </c>
      <c r="C8024">
        <v>8</v>
      </c>
    </row>
    <row r="8025" spans="1:3" x14ac:dyDescent="0.3">
      <c r="A8025">
        <v>30273</v>
      </c>
      <c r="B8025">
        <v>1</v>
      </c>
      <c r="C8025">
        <v>16</v>
      </c>
    </row>
    <row r="8026" spans="1:3" x14ac:dyDescent="0.3">
      <c r="A8026">
        <v>31909</v>
      </c>
      <c r="B8026">
        <v>1</v>
      </c>
      <c r="C8026">
        <v>8</v>
      </c>
    </row>
    <row r="8027" spans="1:3" x14ac:dyDescent="0.3">
      <c r="A8027">
        <v>38513</v>
      </c>
      <c r="B8027">
        <v>1</v>
      </c>
      <c r="C8027">
        <v>8</v>
      </c>
    </row>
    <row r="8028" spans="1:3" x14ac:dyDescent="0.3">
      <c r="A8028">
        <v>38881</v>
      </c>
      <c r="B8028">
        <v>1</v>
      </c>
      <c r="C8028">
        <v>8</v>
      </c>
    </row>
    <row r="8029" spans="1:3" x14ac:dyDescent="0.3">
      <c r="A8029">
        <v>40449</v>
      </c>
      <c r="B8029">
        <v>1</v>
      </c>
      <c r="C8029">
        <v>8</v>
      </c>
    </row>
    <row r="8030" spans="1:3" x14ac:dyDescent="0.3">
      <c r="A8030">
        <v>41442</v>
      </c>
      <c r="B8030">
        <v>1</v>
      </c>
      <c r="C8030">
        <v>8</v>
      </c>
    </row>
    <row r="8031" spans="1:3" x14ac:dyDescent="0.3">
      <c r="A8031">
        <v>51094</v>
      </c>
      <c r="B8031">
        <v>2</v>
      </c>
      <c r="C8031">
        <v>16</v>
      </c>
    </row>
    <row r="8032" spans="1:3" x14ac:dyDescent="0.3">
      <c r="A8032">
        <v>51094</v>
      </c>
      <c r="B8032">
        <v>2</v>
      </c>
      <c r="C8032">
        <v>16</v>
      </c>
    </row>
    <row r="8033" spans="1:3" x14ac:dyDescent="0.3">
      <c r="A8033">
        <v>56100</v>
      </c>
      <c r="B8033">
        <v>1</v>
      </c>
      <c r="C8033">
        <v>8</v>
      </c>
    </row>
    <row r="8034" spans="1:3" x14ac:dyDescent="0.3">
      <c r="A8034">
        <v>58354</v>
      </c>
      <c r="B8034">
        <v>1</v>
      </c>
      <c r="C8034">
        <v>8</v>
      </c>
    </row>
    <row r="8035" spans="1:3" x14ac:dyDescent="0.3">
      <c r="A8035">
        <v>61148</v>
      </c>
      <c r="B8035">
        <v>1</v>
      </c>
      <c r="C8035">
        <v>8</v>
      </c>
    </row>
    <row r="8036" spans="1:3" x14ac:dyDescent="0.3">
      <c r="A8036">
        <v>64293</v>
      </c>
      <c r="B8036">
        <v>1</v>
      </c>
      <c r="C8036">
        <v>8</v>
      </c>
    </row>
    <row r="8037" spans="1:3" x14ac:dyDescent="0.3">
      <c r="A8037">
        <v>67052</v>
      </c>
      <c r="B8037">
        <v>1</v>
      </c>
      <c r="C8037">
        <v>8</v>
      </c>
    </row>
    <row r="8038" spans="1:3" x14ac:dyDescent="0.3">
      <c r="A8038">
        <v>67106</v>
      </c>
      <c r="B8038">
        <v>1</v>
      </c>
      <c r="C8038">
        <v>8</v>
      </c>
    </row>
    <row r="8039" spans="1:3" x14ac:dyDescent="0.3">
      <c r="A8039">
        <v>69754</v>
      </c>
      <c r="B8039">
        <v>1</v>
      </c>
      <c r="C8039">
        <v>8</v>
      </c>
    </row>
    <row r="8040" spans="1:3" x14ac:dyDescent="0.3">
      <c r="A8040">
        <v>74167</v>
      </c>
      <c r="B8040">
        <v>1</v>
      </c>
      <c r="C8040">
        <v>8</v>
      </c>
    </row>
    <row r="8041" spans="1:3" x14ac:dyDescent="0.3">
      <c r="A8041">
        <v>74226</v>
      </c>
      <c r="B8041">
        <v>1</v>
      </c>
      <c r="C8041">
        <v>8</v>
      </c>
    </row>
    <row r="8042" spans="1:3" x14ac:dyDescent="0.3">
      <c r="A8042">
        <v>76236</v>
      </c>
      <c r="B8042">
        <v>1</v>
      </c>
      <c r="C8042">
        <v>8</v>
      </c>
    </row>
    <row r="8043" spans="1:3" x14ac:dyDescent="0.3">
      <c r="A8043">
        <v>76774</v>
      </c>
      <c r="B8043">
        <v>1</v>
      </c>
      <c r="C8043">
        <v>8</v>
      </c>
    </row>
    <row r="8044" spans="1:3" x14ac:dyDescent="0.3">
      <c r="A8044">
        <v>76859</v>
      </c>
      <c r="B8044">
        <v>1</v>
      </c>
      <c r="C8044">
        <v>8</v>
      </c>
    </row>
    <row r="8045" spans="1:3" x14ac:dyDescent="0.3">
      <c r="A8045">
        <v>77169</v>
      </c>
      <c r="B8045">
        <v>1</v>
      </c>
      <c r="C8045">
        <v>8</v>
      </c>
    </row>
    <row r="8046" spans="1:3" x14ac:dyDescent="0.3">
      <c r="A8046">
        <v>77279</v>
      </c>
      <c r="B8046">
        <v>1</v>
      </c>
      <c r="C8046">
        <v>8</v>
      </c>
    </row>
    <row r="8047" spans="1:3" x14ac:dyDescent="0.3">
      <c r="A8047">
        <v>79088</v>
      </c>
      <c r="B8047">
        <v>1</v>
      </c>
      <c r="C8047">
        <v>8</v>
      </c>
    </row>
    <row r="8048" spans="1:3" x14ac:dyDescent="0.3">
      <c r="A8048">
        <v>80815</v>
      </c>
      <c r="B8048">
        <v>1</v>
      </c>
      <c r="C8048">
        <v>8</v>
      </c>
    </row>
    <row r="8049" spans="1:3" x14ac:dyDescent="0.3">
      <c r="A8049">
        <v>80867</v>
      </c>
      <c r="B8049">
        <v>1</v>
      </c>
      <c r="C8049">
        <v>8</v>
      </c>
    </row>
    <row r="8050" spans="1:3" x14ac:dyDescent="0.3">
      <c r="A8050">
        <v>81201</v>
      </c>
      <c r="B8050">
        <v>1</v>
      </c>
      <c r="C8050">
        <v>8</v>
      </c>
    </row>
    <row r="8051" spans="1:3" x14ac:dyDescent="0.3">
      <c r="A8051">
        <v>10068</v>
      </c>
      <c r="B8051">
        <v>1</v>
      </c>
      <c r="C8051">
        <v>8</v>
      </c>
    </row>
    <row r="8052" spans="1:3" x14ac:dyDescent="0.3">
      <c r="A8052">
        <v>10317</v>
      </c>
      <c r="B8052">
        <v>1</v>
      </c>
      <c r="C8052">
        <v>16</v>
      </c>
    </row>
    <row r="8053" spans="1:3" x14ac:dyDescent="0.3">
      <c r="A8053">
        <v>12028</v>
      </c>
      <c r="B8053">
        <v>1</v>
      </c>
      <c r="C8053">
        <v>8</v>
      </c>
    </row>
    <row r="8054" spans="1:3" x14ac:dyDescent="0.3">
      <c r="A8054">
        <v>13559</v>
      </c>
      <c r="B8054">
        <v>1</v>
      </c>
      <c r="C8054">
        <v>16</v>
      </c>
    </row>
    <row r="8055" spans="1:3" x14ac:dyDescent="0.3">
      <c r="A8055">
        <v>19788</v>
      </c>
      <c r="B8055">
        <v>1</v>
      </c>
      <c r="C8055">
        <v>8</v>
      </c>
    </row>
    <row r="8056" spans="1:3" x14ac:dyDescent="0.3">
      <c r="A8056">
        <v>22033</v>
      </c>
      <c r="B8056">
        <v>1</v>
      </c>
      <c r="C8056">
        <v>8</v>
      </c>
    </row>
    <row r="8057" spans="1:3" x14ac:dyDescent="0.3">
      <c r="A8057">
        <v>23628</v>
      </c>
      <c r="B8057">
        <v>1</v>
      </c>
      <c r="C8057">
        <v>8</v>
      </c>
    </row>
    <row r="8058" spans="1:3" x14ac:dyDescent="0.3">
      <c r="A8058">
        <v>25943</v>
      </c>
      <c r="B8058">
        <v>1</v>
      </c>
      <c r="C8058">
        <v>16</v>
      </c>
    </row>
    <row r="8059" spans="1:3" x14ac:dyDescent="0.3">
      <c r="A8059">
        <v>29040</v>
      </c>
      <c r="B8059">
        <v>1</v>
      </c>
      <c r="C8059">
        <v>16</v>
      </c>
    </row>
    <row r="8060" spans="1:3" x14ac:dyDescent="0.3">
      <c r="A8060">
        <v>29041</v>
      </c>
      <c r="B8060">
        <v>1</v>
      </c>
      <c r="C8060">
        <v>8</v>
      </c>
    </row>
    <row r="8061" spans="1:3" x14ac:dyDescent="0.3">
      <c r="A8061">
        <v>29299</v>
      </c>
      <c r="B8061">
        <v>1</v>
      </c>
      <c r="C8061">
        <v>8</v>
      </c>
    </row>
    <row r="8062" spans="1:3" x14ac:dyDescent="0.3">
      <c r="A8062">
        <v>29831</v>
      </c>
      <c r="B8062">
        <v>1</v>
      </c>
      <c r="C8062">
        <v>16</v>
      </c>
    </row>
    <row r="8063" spans="1:3" x14ac:dyDescent="0.3">
      <c r="A8063">
        <v>29881</v>
      </c>
      <c r="B8063">
        <v>1</v>
      </c>
      <c r="C8063">
        <v>8</v>
      </c>
    </row>
    <row r="8064" spans="1:3" x14ac:dyDescent="0.3">
      <c r="A8064">
        <v>30983</v>
      </c>
      <c r="B8064">
        <v>1</v>
      </c>
      <c r="C8064">
        <v>8</v>
      </c>
    </row>
    <row r="8065" spans="1:3" x14ac:dyDescent="0.3">
      <c r="A8065">
        <v>34343</v>
      </c>
      <c r="B8065">
        <v>1</v>
      </c>
      <c r="C8065">
        <v>8</v>
      </c>
    </row>
    <row r="8066" spans="1:3" x14ac:dyDescent="0.3">
      <c r="A8066">
        <v>38048</v>
      </c>
      <c r="B8066">
        <v>1</v>
      </c>
      <c r="C8066">
        <v>8</v>
      </c>
    </row>
    <row r="8067" spans="1:3" x14ac:dyDescent="0.3">
      <c r="A8067">
        <v>39109</v>
      </c>
      <c r="B8067">
        <v>1</v>
      </c>
      <c r="C8067">
        <v>8</v>
      </c>
    </row>
    <row r="8068" spans="1:3" x14ac:dyDescent="0.3">
      <c r="A8068">
        <v>40163</v>
      </c>
      <c r="B8068">
        <v>1</v>
      </c>
      <c r="C8068">
        <v>16</v>
      </c>
    </row>
    <row r="8069" spans="1:3" x14ac:dyDescent="0.3">
      <c r="A8069">
        <v>40176</v>
      </c>
      <c r="B8069">
        <v>1</v>
      </c>
      <c r="C8069">
        <v>8</v>
      </c>
    </row>
    <row r="8070" spans="1:3" x14ac:dyDescent="0.3">
      <c r="A8070">
        <v>41886</v>
      </c>
      <c r="B8070">
        <v>1</v>
      </c>
      <c r="C8070">
        <v>8</v>
      </c>
    </row>
    <row r="8071" spans="1:3" x14ac:dyDescent="0.3">
      <c r="A8071">
        <v>43082</v>
      </c>
      <c r="B8071">
        <v>1</v>
      </c>
      <c r="C8071">
        <v>8</v>
      </c>
    </row>
    <row r="8072" spans="1:3" x14ac:dyDescent="0.3">
      <c r="A8072">
        <v>45368</v>
      </c>
      <c r="B8072">
        <v>1</v>
      </c>
      <c r="C8072">
        <v>8</v>
      </c>
    </row>
    <row r="8073" spans="1:3" x14ac:dyDescent="0.3">
      <c r="A8073">
        <v>46287</v>
      </c>
      <c r="B8073">
        <v>1</v>
      </c>
      <c r="C8073">
        <v>8</v>
      </c>
    </row>
    <row r="8074" spans="1:3" x14ac:dyDescent="0.3">
      <c r="A8074">
        <v>51628</v>
      </c>
      <c r="B8074">
        <v>1</v>
      </c>
      <c r="C8074">
        <v>8</v>
      </c>
    </row>
    <row r="8075" spans="1:3" x14ac:dyDescent="0.3">
      <c r="A8075">
        <v>52798</v>
      </c>
      <c r="B8075">
        <v>1</v>
      </c>
      <c r="C8075">
        <v>8</v>
      </c>
    </row>
    <row r="8076" spans="1:3" x14ac:dyDescent="0.3">
      <c r="A8076">
        <v>53804</v>
      </c>
      <c r="B8076">
        <v>1</v>
      </c>
      <c r="C8076">
        <v>8</v>
      </c>
    </row>
    <row r="8077" spans="1:3" x14ac:dyDescent="0.3">
      <c r="A8077">
        <v>54464</v>
      </c>
      <c r="B8077">
        <v>1</v>
      </c>
      <c r="C8077">
        <v>8</v>
      </c>
    </row>
    <row r="8078" spans="1:3" x14ac:dyDescent="0.3">
      <c r="A8078">
        <v>57460</v>
      </c>
      <c r="B8078">
        <v>2</v>
      </c>
      <c r="C8078">
        <v>16</v>
      </c>
    </row>
    <row r="8079" spans="1:3" x14ac:dyDescent="0.3">
      <c r="A8079">
        <v>57460</v>
      </c>
      <c r="B8079">
        <v>2</v>
      </c>
      <c r="C8079">
        <v>16</v>
      </c>
    </row>
    <row r="8080" spans="1:3" x14ac:dyDescent="0.3">
      <c r="A8080">
        <v>58929</v>
      </c>
      <c r="B8080">
        <v>1</v>
      </c>
      <c r="C8080">
        <v>8</v>
      </c>
    </row>
    <row r="8081" spans="1:3" x14ac:dyDescent="0.3">
      <c r="A8081">
        <v>60860</v>
      </c>
      <c r="B8081">
        <v>1</v>
      </c>
      <c r="C8081">
        <v>8</v>
      </c>
    </row>
    <row r="8082" spans="1:3" x14ac:dyDescent="0.3">
      <c r="A8082">
        <v>61001</v>
      </c>
      <c r="B8082">
        <v>1</v>
      </c>
      <c r="C8082">
        <v>8</v>
      </c>
    </row>
    <row r="8083" spans="1:3" x14ac:dyDescent="0.3">
      <c r="A8083">
        <v>62770</v>
      </c>
      <c r="B8083">
        <v>1</v>
      </c>
      <c r="C8083">
        <v>8</v>
      </c>
    </row>
    <row r="8084" spans="1:3" x14ac:dyDescent="0.3">
      <c r="A8084">
        <v>64471</v>
      </c>
      <c r="B8084">
        <v>1</v>
      </c>
      <c r="C8084">
        <v>8</v>
      </c>
    </row>
    <row r="8085" spans="1:3" x14ac:dyDescent="0.3">
      <c r="A8085">
        <v>65807</v>
      </c>
      <c r="B8085">
        <v>1</v>
      </c>
      <c r="C8085">
        <v>8</v>
      </c>
    </row>
    <row r="8086" spans="1:3" x14ac:dyDescent="0.3">
      <c r="A8086">
        <v>66102</v>
      </c>
      <c r="B8086">
        <v>1</v>
      </c>
      <c r="C8086">
        <v>8</v>
      </c>
    </row>
    <row r="8087" spans="1:3" x14ac:dyDescent="0.3">
      <c r="A8087">
        <v>67136</v>
      </c>
      <c r="B8087">
        <v>1</v>
      </c>
      <c r="C8087">
        <v>16</v>
      </c>
    </row>
    <row r="8088" spans="1:3" x14ac:dyDescent="0.3">
      <c r="A8088">
        <v>70770</v>
      </c>
      <c r="B8088">
        <v>1</v>
      </c>
      <c r="C8088">
        <v>8</v>
      </c>
    </row>
    <row r="8089" spans="1:3" x14ac:dyDescent="0.3">
      <c r="A8089">
        <v>70846</v>
      </c>
      <c r="B8089">
        <v>1</v>
      </c>
      <c r="C8089">
        <v>8</v>
      </c>
    </row>
    <row r="8090" spans="1:3" x14ac:dyDescent="0.3">
      <c r="A8090">
        <v>70994</v>
      </c>
      <c r="B8090">
        <v>1</v>
      </c>
      <c r="C8090">
        <v>8</v>
      </c>
    </row>
    <row r="8091" spans="1:3" x14ac:dyDescent="0.3">
      <c r="A8091">
        <v>71340</v>
      </c>
      <c r="B8091">
        <v>1</v>
      </c>
      <c r="C8091">
        <v>8</v>
      </c>
    </row>
    <row r="8092" spans="1:3" x14ac:dyDescent="0.3">
      <c r="A8092">
        <v>71681</v>
      </c>
      <c r="B8092">
        <v>1</v>
      </c>
      <c r="C8092">
        <v>8</v>
      </c>
    </row>
    <row r="8093" spans="1:3" x14ac:dyDescent="0.3">
      <c r="A8093">
        <v>71842</v>
      </c>
      <c r="B8093">
        <v>1</v>
      </c>
      <c r="C8093">
        <v>16</v>
      </c>
    </row>
    <row r="8094" spans="1:3" x14ac:dyDescent="0.3">
      <c r="A8094">
        <v>72137</v>
      </c>
      <c r="B8094">
        <v>1</v>
      </c>
      <c r="C8094">
        <v>8</v>
      </c>
    </row>
    <row r="8095" spans="1:3" x14ac:dyDescent="0.3">
      <c r="A8095">
        <v>72489</v>
      </c>
      <c r="B8095">
        <v>1</v>
      </c>
      <c r="C8095">
        <v>8</v>
      </c>
    </row>
    <row r="8096" spans="1:3" x14ac:dyDescent="0.3">
      <c r="A8096">
        <v>73694</v>
      </c>
      <c r="B8096">
        <v>1</v>
      </c>
      <c r="C8096">
        <v>16</v>
      </c>
    </row>
    <row r="8097" spans="1:3" x14ac:dyDescent="0.3">
      <c r="A8097">
        <v>74125</v>
      </c>
      <c r="B8097">
        <v>1</v>
      </c>
      <c r="C8097">
        <v>8</v>
      </c>
    </row>
    <row r="8098" spans="1:3" x14ac:dyDescent="0.3">
      <c r="A8098">
        <v>74547</v>
      </c>
      <c r="B8098">
        <v>1</v>
      </c>
      <c r="C8098">
        <v>8</v>
      </c>
    </row>
    <row r="8099" spans="1:3" x14ac:dyDescent="0.3">
      <c r="A8099">
        <v>75294</v>
      </c>
      <c r="B8099">
        <v>1</v>
      </c>
      <c r="C8099">
        <v>8</v>
      </c>
    </row>
    <row r="8100" spans="1:3" x14ac:dyDescent="0.3">
      <c r="A8100">
        <v>75727</v>
      </c>
      <c r="B8100">
        <v>1</v>
      </c>
      <c r="C8100">
        <v>8</v>
      </c>
    </row>
    <row r="8101" spans="1:3" x14ac:dyDescent="0.3">
      <c r="A8101">
        <v>76133</v>
      </c>
      <c r="B8101">
        <v>1</v>
      </c>
      <c r="C8101">
        <v>16</v>
      </c>
    </row>
    <row r="8102" spans="1:3" x14ac:dyDescent="0.3">
      <c r="A8102">
        <v>77017</v>
      </c>
      <c r="B8102">
        <v>1</v>
      </c>
      <c r="C8102">
        <v>8</v>
      </c>
    </row>
    <row r="8103" spans="1:3" x14ac:dyDescent="0.3">
      <c r="A8103">
        <v>77791</v>
      </c>
      <c r="B8103">
        <v>1</v>
      </c>
      <c r="C8103">
        <v>8</v>
      </c>
    </row>
    <row r="8104" spans="1:3" x14ac:dyDescent="0.3">
      <c r="A8104">
        <v>78277</v>
      </c>
      <c r="B8104">
        <v>1</v>
      </c>
      <c r="C8104">
        <v>8</v>
      </c>
    </row>
    <row r="8105" spans="1:3" x14ac:dyDescent="0.3">
      <c r="A8105">
        <v>78802</v>
      </c>
      <c r="B8105">
        <v>1</v>
      </c>
      <c r="C8105">
        <v>8</v>
      </c>
    </row>
    <row r="8106" spans="1:3" x14ac:dyDescent="0.3">
      <c r="A8106">
        <v>78866</v>
      </c>
      <c r="B8106">
        <v>1</v>
      </c>
      <c r="C8106">
        <v>8</v>
      </c>
    </row>
    <row r="8107" spans="1:3" x14ac:dyDescent="0.3">
      <c r="A8107">
        <v>79740</v>
      </c>
      <c r="B8107">
        <v>1</v>
      </c>
      <c r="C8107">
        <v>8</v>
      </c>
    </row>
    <row r="8108" spans="1:3" x14ac:dyDescent="0.3">
      <c r="A8108">
        <v>79867</v>
      </c>
      <c r="B8108">
        <v>1</v>
      </c>
      <c r="C8108">
        <v>8</v>
      </c>
    </row>
    <row r="8109" spans="1:3" x14ac:dyDescent="0.3">
      <c r="A8109">
        <v>80980</v>
      </c>
      <c r="B8109">
        <v>1</v>
      </c>
      <c r="C8109">
        <v>8</v>
      </c>
    </row>
    <row r="8110" spans="1:3" x14ac:dyDescent="0.3">
      <c r="A8110">
        <v>12153</v>
      </c>
      <c r="B8110">
        <v>1</v>
      </c>
      <c r="C8110">
        <v>8</v>
      </c>
    </row>
    <row r="8111" spans="1:3" x14ac:dyDescent="0.3">
      <c r="A8111">
        <v>14004</v>
      </c>
      <c r="B8111">
        <v>1</v>
      </c>
      <c r="C8111">
        <v>8</v>
      </c>
    </row>
    <row r="8112" spans="1:3" x14ac:dyDescent="0.3">
      <c r="A8112">
        <v>14484</v>
      </c>
      <c r="B8112">
        <v>5</v>
      </c>
      <c r="C8112">
        <v>16</v>
      </c>
    </row>
    <row r="8113" spans="1:3" x14ac:dyDescent="0.3">
      <c r="A8113">
        <v>14484</v>
      </c>
      <c r="B8113">
        <v>5</v>
      </c>
      <c r="C8113">
        <v>16</v>
      </c>
    </row>
    <row r="8114" spans="1:3" x14ac:dyDescent="0.3">
      <c r="A8114">
        <v>14484</v>
      </c>
      <c r="B8114">
        <v>5</v>
      </c>
      <c r="C8114">
        <v>16</v>
      </c>
    </row>
    <row r="8115" spans="1:3" x14ac:dyDescent="0.3">
      <c r="A8115">
        <v>14484</v>
      </c>
      <c r="B8115">
        <v>5</v>
      </c>
      <c r="C8115">
        <v>16</v>
      </c>
    </row>
    <row r="8116" spans="1:3" x14ac:dyDescent="0.3">
      <c r="A8116">
        <v>14484</v>
      </c>
      <c r="B8116">
        <v>5</v>
      </c>
      <c r="C8116">
        <v>16</v>
      </c>
    </row>
    <row r="8117" spans="1:3" x14ac:dyDescent="0.3">
      <c r="A8117">
        <v>15369</v>
      </c>
      <c r="B8117">
        <v>1</v>
      </c>
      <c r="C8117">
        <v>8</v>
      </c>
    </row>
    <row r="8118" spans="1:3" x14ac:dyDescent="0.3">
      <c r="A8118">
        <v>16014</v>
      </c>
      <c r="B8118">
        <v>1</v>
      </c>
      <c r="C8118">
        <v>8</v>
      </c>
    </row>
    <row r="8119" spans="1:3" x14ac:dyDescent="0.3">
      <c r="A8119">
        <v>17257</v>
      </c>
      <c r="B8119">
        <v>1</v>
      </c>
      <c r="C8119">
        <v>8</v>
      </c>
    </row>
    <row r="8120" spans="1:3" x14ac:dyDescent="0.3">
      <c r="A8120">
        <v>17663</v>
      </c>
      <c r="B8120">
        <v>1</v>
      </c>
      <c r="C8120">
        <v>8</v>
      </c>
    </row>
    <row r="8121" spans="1:3" x14ac:dyDescent="0.3">
      <c r="A8121">
        <v>18200</v>
      </c>
      <c r="B8121">
        <v>1</v>
      </c>
      <c r="C8121">
        <v>8</v>
      </c>
    </row>
    <row r="8122" spans="1:3" x14ac:dyDescent="0.3">
      <c r="A8122">
        <v>18334</v>
      </c>
      <c r="B8122">
        <v>1</v>
      </c>
      <c r="C8122">
        <v>16</v>
      </c>
    </row>
    <row r="8123" spans="1:3" x14ac:dyDescent="0.3">
      <c r="A8123">
        <v>23760</v>
      </c>
      <c r="B8123">
        <v>1</v>
      </c>
      <c r="C8123">
        <v>8</v>
      </c>
    </row>
    <row r="8124" spans="1:3" x14ac:dyDescent="0.3">
      <c r="A8124">
        <v>28916</v>
      </c>
      <c r="B8124">
        <v>1</v>
      </c>
      <c r="C8124">
        <v>8</v>
      </c>
    </row>
    <row r="8125" spans="1:3" x14ac:dyDescent="0.3">
      <c r="A8125">
        <v>29316</v>
      </c>
      <c r="B8125">
        <v>1</v>
      </c>
      <c r="C8125">
        <v>8</v>
      </c>
    </row>
    <row r="8126" spans="1:3" x14ac:dyDescent="0.3">
      <c r="A8126">
        <v>29350</v>
      </c>
      <c r="B8126">
        <v>1</v>
      </c>
      <c r="C8126">
        <v>8</v>
      </c>
    </row>
    <row r="8127" spans="1:3" x14ac:dyDescent="0.3">
      <c r="A8127">
        <v>30094</v>
      </c>
      <c r="B8127">
        <v>1</v>
      </c>
      <c r="C8127">
        <v>8</v>
      </c>
    </row>
    <row r="8128" spans="1:3" x14ac:dyDescent="0.3">
      <c r="A8128">
        <v>31589</v>
      </c>
      <c r="B8128">
        <v>1</v>
      </c>
      <c r="C8128">
        <v>8</v>
      </c>
    </row>
    <row r="8129" spans="1:3" x14ac:dyDescent="0.3">
      <c r="A8129">
        <v>33152</v>
      </c>
      <c r="B8129">
        <v>1</v>
      </c>
      <c r="C8129">
        <v>8</v>
      </c>
    </row>
    <row r="8130" spans="1:3" x14ac:dyDescent="0.3">
      <c r="A8130">
        <v>33153</v>
      </c>
      <c r="B8130">
        <v>1</v>
      </c>
      <c r="C8130">
        <v>8</v>
      </c>
    </row>
    <row r="8131" spans="1:3" x14ac:dyDescent="0.3">
      <c r="A8131">
        <v>34202</v>
      </c>
      <c r="B8131">
        <v>1</v>
      </c>
      <c r="C8131">
        <v>8</v>
      </c>
    </row>
    <row r="8132" spans="1:3" x14ac:dyDescent="0.3">
      <c r="A8132">
        <v>34246</v>
      </c>
      <c r="B8132">
        <v>1</v>
      </c>
      <c r="C8132">
        <v>8</v>
      </c>
    </row>
    <row r="8133" spans="1:3" x14ac:dyDescent="0.3">
      <c r="A8133">
        <v>38402</v>
      </c>
      <c r="B8133">
        <v>1</v>
      </c>
      <c r="C8133">
        <v>16</v>
      </c>
    </row>
    <row r="8134" spans="1:3" x14ac:dyDescent="0.3">
      <c r="A8134">
        <v>38879</v>
      </c>
      <c r="B8134">
        <v>1</v>
      </c>
      <c r="C8134">
        <v>8</v>
      </c>
    </row>
    <row r="8135" spans="1:3" x14ac:dyDescent="0.3">
      <c r="A8135">
        <v>40649</v>
      </c>
      <c r="B8135">
        <v>1</v>
      </c>
      <c r="C8135">
        <v>8</v>
      </c>
    </row>
    <row r="8136" spans="1:3" x14ac:dyDescent="0.3">
      <c r="A8136">
        <v>41865</v>
      </c>
      <c r="B8136">
        <v>1</v>
      </c>
      <c r="C8136">
        <v>8</v>
      </c>
    </row>
    <row r="8137" spans="1:3" x14ac:dyDescent="0.3">
      <c r="A8137">
        <v>43210</v>
      </c>
      <c r="B8137">
        <v>1</v>
      </c>
      <c r="C8137">
        <v>8</v>
      </c>
    </row>
    <row r="8138" spans="1:3" x14ac:dyDescent="0.3">
      <c r="A8138">
        <v>43211</v>
      </c>
      <c r="B8138">
        <v>2</v>
      </c>
      <c r="C8138">
        <v>16</v>
      </c>
    </row>
    <row r="8139" spans="1:3" x14ac:dyDescent="0.3">
      <c r="A8139">
        <v>43211</v>
      </c>
      <c r="B8139">
        <v>2</v>
      </c>
      <c r="C8139">
        <v>16</v>
      </c>
    </row>
    <row r="8140" spans="1:3" x14ac:dyDescent="0.3">
      <c r="A8140">
        <v>46221</v>
      </c>
      <c r="B8140">
        <v>1</v>
      </c>
      <c r="C8140">
        <v>8</v>
      </c>
    </row>
    <row r="8141" spans="1:3" x14ac:dyDescent="0.3">
      <c r="A8141">
        <v>47141</v>
      </c>
      <c r="B8141">
        <v>1</v>
      </c>
      <c r="C8141">
        <v>8</v>
      </c>
    </row>
    <row r="8142" spans="1:3" x14ac:dyDescent="0.3">
      <c r="A8142">
        <v>47312</v>
      </c>
      <c r="B8142">
        <v>1</v>
      </c>
      <c r="C8142">
        <v>8</v>
      </c>
    </row>
    <row r="8143" spans="1:3" x14ac:dyDescent="0.3">
      <c r="A8143">
        <v>48100</v>
      </c>
      <c r="B8143">
        <v>1</v>
      </c>
      <c r="C8143">
        <v>8</v>
      </c>
    </row>
    <row r="8144" spans="1:3" x14ac:dyDescent="0.3">
      <c r="A8144">
        <v>48388</v>
      </c>
      <c r="B8144">
        <v>1</v>
      </c>
      <c r="C8144">
        <v>8</v>
      </c>
    </row>
    <row r="8145" spans="1:3" x14ac:dyDescent="0.3">
      <c r="A8145">
        <v>48622</v>
      </c>
      <c r="B8145">
        <v>1</v>
      </c>
      <c r="C8145">
        <v>16</v>
      </c>
    </row>
    <row r="8146" spans="1:3" x14ac:dyDescent="0.3">
      <c r="A8146">
        <v>48764</v>
      </c>
      <c r="B8146">
        <v>1</v>
      </c>
      <c r="C8146">
        <v>8</v>
      </c>
    </row>
    <row r="8147" spans="1:3" x14ac:dyDescent="0.3">
      <c r="A8147">
        <v>50630</v>
      </c>
      <c r="B8147">
        <v>1</v>
      </c>
      <c r="C8147">
        <v>8</v>
      </c>
    </row>
    <row r="8148" spans="1:3" x14ac:dyDescent="0.3">
      <c r="A8148">
        <v>51907</v>
      </c>
      <c r="B8148">
        <v>1</v>
      </c>
      <c r="C8148">
        <v>8</v>
      </c>
    </row>
    <row r="8149" spans="1:3" x14ac:dyDescent="0.3">
      <c r="A8149">
        <v>54084</v>
      </c>
      <c r="B8149">
        <v>1</v>
      </c>
      <c r="C8149">
        <v>8</v>
      </c>
    </row>
    <row r="8150" spans="1:3" x14ac:dyDescent="0.3">
      <c r="A8150">
        <v>55398</v>
      </c>
      <c r="B8150">
        <v>1</v>
      </c>
      <c r="C8150">
        <v>8</v>
      </c>
    </row>
    <row r="8151" spans="1:3" x14ac:dyDescent="0.3">
      <c r="A8151">
        <v>55853</v>
      </c>
      <c r="B8151">
        <v>1</v>
      </c>
      <c r="C8151">
        <v>16</v>
      </c>
    </row>
    <row r="8152" spans="1:3" x14ac:dyDescent="0.3">
      <c r="A8152">
        <v>56151</v>
      </c>
      <c r="B8152">
        <v>1</v>
      </c>
      <c r="C8152">
        <v>8</v>
      </c>
    </row>
    <row r="8153" spans="1:3" x14ac:dyDescent="0.3">
      <c r="A8153">
        <v>57296</v>
      </c>
      <c r="B8153">
        <v>1</v>
      </c>
      <c r="C8153">
        <v>8</v>
      </c>
    </row>
    <row r="8154" spans="1:3" x14ac:dyDescent="0.3">
      <c r="A8154">
        <v>58201</v>
      </c>
      <c r="B8154">
        <v>1</v>
      </c>
      <c r="C8154">
        <v>8</v>
      </c>
    </row>
    <row r="8155" spans="1:3" x14ac:dyDescent="0.3">
      <c r="A8155">
        <v>59858</v>
      </c>
      <c r="B8155">
        <v>1</v>
      </c>
      <c r="C8155">
        <v>8</v>
      </c>
    </row>
    <row r="8156" spans="1:3" x14ac:dyDescent="0.3">
      <c r="A8156">
        <v>60658</v>
      </c>
      <c r="B8156">
        <v>1</v>
      </c>
      <c r="C8156">
        <v>8</v>
      </c>
    </row>
    <row r="8157" spans="1:3" x14ac:dyDescent="0.3">
      <c r="A8157">
        <v>62155</v>
      </c>
      <c r="B8157">
        <v>1</v>
      </c>
      <c r="C8157">
        <v>8</v>
      </c>
    </row>
    <row r="8158" spans="1:3" x14ac:dyDescent="0.3">
      <c r="A8158">
        <v>62345</v>
      </c>
      <c r="B8158">
        <v>1</v>
      </c>
      <c r="C8158">
        <v>8</v>
      </c>
    </row>
    <row r="8159" spans="1:3" x14ac:dyDescent="0.3">
      <c r="A8159">
        <v>63916</v>
      </c>
      <c r="B8159">
        <v>1</v>
      </c>
      <c r="C8159">
        <v>8</v>
      </c>
    </row>
    <row r="8160" spans="1:3" x14ac:dyDescent="0.3">
      <c r="A8160">
        <v>64461</v>
      </c>
      <c r="B8160">
        <v>1</v>
      </c>
      <c r="C8160">
        <v>8</v>
      </c>
    </row>
    <row r="8161" spans="1:3" x14ac:dyDescent="0.3">
      <c r="A8161">
        <v>64604</v>
      </c>
      <c r="B8161">
        <v>1</v>
      </c>
      <c r="C8161">
        <v>8</v>
      </c>
    </row>
    <row r="8162" spans="1:3" x14ac:dyDescent="0.3">
      <c r="A8162">
        <v>64785</v>
      </c>
      <c r="B8162">
        <v>1</v>
      </c>
      <c r="C8162">
        <v>8</v>
      </c>
    </row>
    <row r="8163" spans="1:3" x14ac:dyDescent="0.3">
      <c r="A8163">
        <v>65496</v>
      </c>
      <c r="B8163">
        <v>1</v>
      </c>
      <c r="C8163">
        <v>8</v>
      </c>
    </row>
    <row r="8164" spans="1:3" x14ac:dyDescent="0.3">
      <c r="A8164">
        <v>66491</v>
      </c>
      <c r="B8164">
        <v>1</v>
      </c>
      <c r="C8164">
        <v>8</v>
      </c>
    </row>
    <row r="8165" spans="1:3" x14ac:dyDescent="0.3">
      <c r="A8165">
        <v>67618</v>
      </c>
      <c r="B8165">
        <v>1</v>
      </c>
      <c r="C8165">
        <v>8</v>
      </c>
    </row>
    <row r="8166" spans="1:3" x14ac:dyDescent="0.3">
      <c r="A8166">
        <v>68290</v>
      </c>
      <c r="B8166">
        <v>1</v>
      </c>
      <c r="C8166">
        <v>8</v>
      </c>
    </row>
    <row r="8167" spans="1:3" x14ac:dyDescent="0.3">
      <c r="A8167">
        <v>68843</v>
      </c>
      <c r="B8167">
        <v>1</v>
      </c>
      <c r="C8167">
        <v>8</v>
      </c>
    </row>
    <row r="8168" spans="1:3" x14ac:dyDescent="0.3">
      <c r="A8168">
        <v>69399</v>
      </c>
      <c r="B8168">
        <v>1</v>
      </c>
      <c r="C8168">
        <v>16</v>
      </c>
    </row>
    <row r="8169" spans="1:3" x14ac:dyDescent="0.3">
      <c r="A8169">
        <v>69904</v>
      </c>
      <c r="B8169">
        <v>1</v>
      </c>
      <c r="C8169">
        <v>8</v>
      </c>
    </row>
    <row r="8170" spans="1:3" x14ac:dyDescent="0.3">
      <c r="A8170">
        <v>70254</v>
      </c>
      <c r="B8170">
        <v>1</v>
      </c>
      <c r="C8170">
        <v>8</v>
      </c>
    </row>
    <row r="8171" spans="1:3" x14ac:dyDescent="0.3">
      <c r="A8171">
        <v>70472</v>
      </c>
      <c r="B8171">
        <v>1</v>
      </c>
      <c r="C8171">
        <v>8</v>
      </c>
    </row>
    <row r="8172" spans="1:3" x14ac:dyDescent="0.3">
      <c r="A8172">
        <v>70548</v>
      </c>
      <c r="B8172">
        <v>1</v>
      </c>
      <c r="C8172">
        <v>8</v>
      </c>
    </row>
    <row r="8173" spans="1:3" x14ac:dyDescent="0.3">
      <c r="A8173">
        <v>70671</v>
      </c>
      <c r="B8173">
        <v>1</v>
      </c>
      <c r="C8173">
        <v>16</v>
      </c>
    </row>
    <row r="8174" spans="1:3" x14ac:dyDescent="0.3">
      <c r="A8174">
        <v>72826</v>
      </c>
      <c r="B8174">
        <v>1</v>
      </c>
      <c r="C8174">
        <v>8</v>
      </c>
    </row>
    <row r="8175" spans="1:3" x14ac:dyDescent="0.3">
      <c r="A8175">
        <v>74240</v>
      </c>
      <c r="B8175">
        <v>1</v>
      </c>
      <c r="C8175">
        <v>8</v>
      </c>
    </row>
    <row r="8176" spans="1:3" x14ac:dyDescent="0.3">
      <c r="A8176">
        <v>74548</v>
      </c>
      <c r="B8176">
        <v>1</v>
      </c>
      <c r="C8176">
        <v>8</v>
      </c>
    </row>
    <row r="8177" spans="1:3" x14ac:dyDescent="0.3">
      <c r="A8177">
        <v>75094</v>
      </c>
      <c r="B8177">
        <v>1</v>
      </c>
      <c r="C8177">
        <v>8</v>
      </c>
    </row>
    <row r="8178" spans="1:3" x14ac:dyDescent="0.3">
      <c r="A8178">
        <v>76005</v>
      </c>
      <c r="B8178">
        <v>1</v>
      </c>
      <c r="C8178">
        <v>8</v>
      </c>
    </row>
    <row r="8179" spans="1:3" x14ac:dyDescent="0.3">
      <c r="A8179">
        <v>76779</v>
      </c>
      <c r="B8179">
        <v>1</v>
      </c>
      <c r="C8179">
        <v>8</v>
      </c>
    </row>
    <row r="8180" spans="1:3" x14ac:dyDescent="0.3">
      <c r="A8180">
        <v>76806</v>
      </c>
      <c r="B8180">
        <v>1</v>
      </c>
      <c r="C8180">
        <v>8</v>
      </c>
    </row>
    <row r="8181" spans="1:3" x14ac:dyDescent="0.3">
      <c r="A8181">
        <v>76857</v>
      </c>
      <c r="B8181">
        <v>1</v>
      </c>
      <c r="C8181">
        <v>8</v>
      </c>
    </row>
    <row r="8182" spans="1:3" x14ac:dyDescent="0.3">
      <c r="A8182">
        <v>77259</v>
      </c>
      <c r="B8182">
        <v>1</v>
      </c>
      <c r="C8182">
        <v>8</v>
      </c>
    </row>
    <row r="8183" spans="1:3" x14ac:dyDescent="0.3">
      <c r="A8183">
        <v>77576</v>
      </c>
      <c r="B8183">
        <v>1</v>
      </c>
      <c r="C8183">
        <v>8</v>
      </c>
    </row>
    <row r="8184" spans="1:3" x14ac:dyDescent="0.3">
      <c r="A8184">
        <v>78179</v>
      </c>
      <c r="B8184">
        <v>1</v>
      </c>
      <c r="C8184">
        <v>8</v>
      </c>
    </row>
    <row r="8185" spans="1:3" x14ac:dyDescent="0.3">
      <c r="A8185">
        <v>78205</v>
      </c>
      <c r="B8185">
        <v>1</v>
      </c>
      <c r="C8185">
        <v>8</v>
      </c>
    </row>
    <row r="8186" spans="1:3" x14ac:dyDescent="0.3">
      <c r="A8186">
        <v>78317</v>
      </c>
      <c r="B8186">
        <v>1</v>
      </c>
      <c r="C8186">
        <v>8</v>
      </c>
    </row>
    <row r="8187" spans="1:3" x14ac:dyDescent="0.3">
      <c r="A8187">
        <v>78464</v>
      </c>
      <c r="B8187">
        <v>1</v>
      </c>
      <c r="C8187">
        <v>8</v>
      </c>
    </row>
    <row r="8188" spans="1:3" x14ac:dyDescent="0.3">
      <c r="A8188">
        <v>78583</v>
      </c>
      <c r="B8188">
        <v>1</v>
      </c>
      <c r="C8188">
        <v>16</v>
      </c>
    </row>
    <row r="8189" spans="1:3" x14ac:dyDescent="0.3">
      <c r="A8189">
        <v>80300</v>
      </c>
      <c r="B8189">
        <v>1</v>
      </c>
      <c r="C8189">
        <v>8</v>
      </c>
    </row>
    <row r="8190" spans="1:3" x14ac:dyDescent="0.3">
      <c r="A8190">
        <v>80899</v>
      </c>
      <c r="B8190">
        <v>1</v>
      </c>
      <c r="C8190">
        <v>8</v>
      </c>
    </row>
    <row r="8191" spans="1:3" x14ac:dyDescent="0.3">
      <c r="A8191">
        <v>10351</v>
      </c>
      <c r="B8191">
        <v>2</v>
      </c>
      <c r="C8191">
        <v>16</v>
      </c>
    </row>
    <row r="8192" spans="1:3" x14ac:dyDescent="0.3">
      <c r="A8192">
        <v>10351</v>
      </c>
      <c r="B8192">
        <v>2</v>
      </c>
      <c r="C8192">
        <v>16</v>
      </c>
    </row>
    <row r="8193" spans="1:3" x14ac:dyDescent="0.3">
      <c r="A8193">
        <v>10475</v>
      </c>
      <c r="B8193">
        <v>1</v>
      </c>
      <c r="C8193">
        <v>8</v>
      </c>
    </row>
    <row r="8194" spans="1:3" x14ac:dyDescent="0.3">
      <c r="A8194">
        <v>10594</v>
      </c>
      <c r="B8194">
        <v>1</v>
      </c>
      <c r="C8194">
        <v>8</v>
      </c>
    </row>
    <row r="8195" spans="1:3" x14ac:dyDescent="0.3">
      <c r="A8195">
        <v>10639</v>
      </c>
      <c r="B8195">
        <v>3</v>
      </c>
      <c r="C8195">
        <v>16</v>
      </c>
    </row>
    <row r="8196" spans="1:3" x14ac:dyDescent="0.3">
      <c r="A8196">
        <v>10639</v>
      </c>
      <c r="B8196">
        <v>3</v>
      </c>
      <c r="C8196">
        <v>16</v>
      </c>
    </row>
    <row r="8197" spans="1:3" x14ac:dyDescent="0.3">
      <c r="A8197">
        <v>10639</v>
      </c>
      <c r="B8197">
        <v>3</v>
      </c>
      <c r="C8197">
        <v>16</v>
      </c>
    </row>
    <row r="8198" spans="1:3" x14ac:dyDescent="0.3">
      <c r="A8198">
        <v>13670</v>
      </c>
      <c r="B8198">
        <v>2</v>
      </c>
      <c r="C8198">
        <v>16</v>
      </c>
    </row>
    <row r="8199" spans="1:3" x14ac:dyDescent="0.3">
      <c r="A8199">
        <v>13670</v>
      </c>
      <c r="B8199">
        <v>2</v>
      </c>
      <c r="C8199">
        <v>16</v>
      </c>
    </row>
    <row r="8200" spans="1:3" x14ac:dyDescent="0.3">
      <c r="A8200">
        <v>17539</v>
      </c>
      <c r="B8200">
        <v>2</v>
      </c>
      <c r="C8200">
        <v>16</v>
      </c>
    </row>
    <row r="8201" spans="1:3" x14ac:dyDescent="0.3">
      <c r="A8201">
        <v>17539</v>
      </c>
      <c r="B8201">
        <v>2</v>
      </c>
      <c r="C8201">
        <v>16</v>
      </c>
    </row>
    <row r="8202" spans="1:3" x14ac:dyDescent="0.3">
      <c r="A8202">
        <v>17873</v>
      </c>
      <c r="B8202">
        <v>1</v>
      </c>
      <c r="C8202">
        <v>16</v>
      </c>
    </row>
    <row r="8203" spans="1:3" x14ac:dyDescent="0.3">
      <c r="A8203">
        <v>22634</v>
      </c>
      <c r="B8203">
        <v>1</v>
      </c>
      <c r="C8203">
        <v>8</v>
      </c>
    </row>
    <row r="8204" spans="1:3" x14ac:dyDescent="0.3">
      <c r="A8204">
        <v>23387</v>
      </c>
      <c r="B8204">
        <v>1</v>
      </c>
      <c r="C8204">
        <v>8</v>
      </c>
    </row>
    <row r="8205" spans="1:3" x14ac:dyDescent="0.3">
      <c r="A8205">
        <v>23518</v>
      </c>
      <c r="B8205">
        <v>1</v>
      </c>
      <c r="C8205">
        <v>8</v>
      </c>
    </row>
    <row r="8206" spans="1:3" x14ac:dyDescent="0.3">
      <c r="A8206">
        <v>26486</v>
      </c>
      <c r="B8206">
        <v>1</v>
      </c>
      <c r="C8206">
        <v>8</v>
      </c>
    </row>
    <row r="8207" spans="1:3" x14ac:dyDescent="0.3">
      <c r="A8207">
        <v>26881</v>
      </c>
      <c r="B8207">
        <v>1</v>
      </c>
      <c r="C8207">
        <v>8</v>
      </c>
    </row>
    <row r="8208" spans="1:3" x14ac:dyDescent="0.3">
      <c r="A8208">
        <v>28495</v>
      </c>
      <c r="B8208">
        <v>1</v>
      </c>
      <c r="C8208">
        <v>16</v>
      </c>
    </row>
    <row r="8209" spans="1:3" x14ac:dyDescent="0.3">
      <c r="A8209">
        <v>31675</v>
      </c>
      <c r="B8209">
        <v>1</v>
      </c>
      <c r="C8209">
        <v>8</v>
      </c>
    </row>
    <row r="8210" spans="1:3" x14ac:dyDescent="0.3">
      <c r="A8210">
        <v>33712</v>
      </c>
      <c r="B8210">
        <v>1</v>
      </c>
      <c r="C8210">
        <v>8</v>
      </c>
    </row>
    <row r="8211" spans="1:3" x14ac:dyDescent="0.3">
      <c r="A8211">
        <v>34226</v>
      </c>
      <c r="B8211">
        <v>1</v>
      </c>
      <c r="C8211">
        <v>8</v>
      </c>
    </row>
    <row r="8212" spans="1:3" x14ac:dyDescent="0.3">
      <c r="A8212">
        <v>34245</v>
      </c>
      <c r="B8212">
        <v>1</v>
      </c>
      <c r="C8212">
        <v>8</v>
      </c>
    </row>
    <row r="8213" spans="1:3" x14ac:dyDescent="0.3">
      <c r="A8213">
        <v>36840</v>
      </c>
      <c r="B8213">
        <v>1</v>
      </c>
      <c r="C8213">
        <v>8</v>
      </c>
    </row>
    <row r="8214" spans="1:3" x14ac:dyDescent="0.3">
      <c r="A8214">
        <v>37306</v>
      </c>
      <c r="B8214">
        <v>1</v>
      </c>
      <c r="C8214">
        <v>8</v>
      </c>
    </row>
    <row r="8215" spans="1:3" x14ac:dyDescent="0.3">
      <c r="A8215">
        <v>38260</v>
      </c>
      <c r="B8215">
        <v>1</v>
      </c>
      <c r="C8215">
        <v>8</v>
      </c>
    </row>
    <row r="8216" spans="1:3" x14ac:dyDescent="0.3">
      <c r="A8216">
        <v>39503</v>
      </c>
      <c r="B8216">
        <v>1</v>
      </c>
      <c r="C8216">
        <v>8</v>
      </c>
    </row>
    <row r="8217" spans="1:3" x14ac:dyDescent="0.3">
      <c r="A8217">
        <v>40162</v>
      </c>
      <c r="B8217">
        <v>1</v>
      </c>
      <c r="C8217">
        <v>16</v>
      </c>
    </row>
    <row r="8218" spans="1:3" x14ac:dyDescent="0.3">
      <c r="A8218">
        <v>40348</v>
      </c>
      <c r="B8218">
        <v>1</v>
      </c>
      <c r="C8218">
        <v>8</v>
      </c>
    </row>
    <row r="8219" spans="1:3" x14ac:dyDescent="0.3">
      <c r="A8219">
        <v>41294</v>
      </c>
      <c r="B8219">
        <v>1</v>
      </c>
      <c r="C8219">
        <v>8</v>
      </c>
    </row>
    <row r="8220" spans="1:3" x14ac:dyDescent="0.3">
      <c r="A8220">
        <v>41575</v>
      </c>
      <c r="B8220">
        <v>1</v>
      </c>
      <c r="C8220">
        <v>8</v>
      </c>
    </row>
    <row r="8221" spans="1:3" x14ac:dyDescent="0.3">
      <c r="A8221">
        <v>42440</v>
      </c>
      <c r="B8221">
        <v>1</v>
      </c>
      <c r="C8221">
        <v>16</v>
      </c>
    </row>
    <row r="8222" spans="1:3" x14ac:dyDescent="0.3">
      <c r="A8222">
        <v>42674</v>
      </c>
      <c r="B8222">
        <v>1</v>
      </c>
      <c r="C8222">
        <v>8</v>
      </c>
    </row>
    <row r="8223" spans="1:3" x14ac:dyDescent="0.3">
      <c r="A8223">
        <v>43566</v>
      </c>
      <c r="B8223">
        <v>1</v>
      </c>
      <c r="C8223">
        <v>8</v>
      </c>
    </row>
    <row r="8224" spans="1:3" x14ac:dyDescent="0.3">
      <c r="A8224">
        <v>43963</v>
      </c>
      <c r="B8224">
        <v>1</v>
      </c>
      <c r="C8224">
        <v>8</v>
      </c>
    </row>
    <row r="8225" spans="1:3" x14ac:dyDescent="0.3">
      <c r="A8225">
        <v>44027</v>
      </c>
      <c r="B8225">
        <v>1</v>
      </c>
      <c r="C8225">
        <v>16</v>
      </c>
    </row>
    <row r="8226" spans="1:3" x14ac:dyDescent="0.3">
      <c r="A8226">
        <v>45350</v>
      </c>
      <c r="B8226">
        <v>1</v>
      </c>
      <c r="C8226">
        <v>8</v>
      </c>
    </row>
    <row r="8227" spans="1:3" x14ac:dyDescent="0.3">
      <c r="A8227">
        <v>45646</v>
      </c>
      <c r="B8227">
        <v>1</v>
      </c>
      <c r="C8227">
        <v>8</v>
      </c>
    </row>
    <row r="8228" spans="1:3" x14ac:dyDescent="0.3">
      <c r="A8228">
        <v>46247</v>
      </c>
      <c r="B8228">
        <v>1</v>
      </c>
      <c r="C8228">
        <v>8</v>
      </c>
    </row>
    <row r="8229" spans="1:3" x14ac:dyDescent="0.3">
      <c r="A8229">
        <v>46248</v>
      </c>
      <c r="B8229">
        <v>1</v>
      </c>
      <c r="C8229">
        <v>8</v>
      </c>
    </row>
    <row r="8230" spans="1:3" x14ac:dyDescent="0.3">
      <c r="A8230">
        <v>46402</v>
      </c>
      <c r="B8230">
        <v>1</v>
      </c>
      <c r="C8230">
        <v>8</v>
      </c>
    </row>
    <row r="8231" spans="1:3" x14ac:dyDescent="0.3">
      <c r="A8231">
        <v>50994</v>
      </c>
      <c r="B8231">
        <v>1</v>
      </c>
      <c r="C8231">
        <v>8</v>
      </c>
    </row>
    <row r="8232" spans="1:3" x14ac:dyDescent="0.3">
      <c r="A8232">
        <v>54094</v>
      </c>
      <c r="B8232">
        <v>1</v>
      </c>
      <c r="C8232">
        <v>16</v>
      </c>
    </row>
    <row r="8233" spans="1:3" x14ac:dyDescent="0.3">
      <c r="A8233">
        <v>54527</v>
      </c>
      <c r="B8233">
        <v>1</v>
      </c>
      <c r="C8233">
        <v>8</v>
      </c>
    </row>
    <row r="8234" spans="1:3" x14ac:dyDescent="0.3">
      <c r="A8234">
        <v>54897</v>
      </c>
      <c r="B8234">
        <v>1</v>
      </c>
      <c r="C8234">
        <v>8</v>
      </c>
    </row>
    <row r="8235" spans="1:3" x14ac:dyDescent="0.3">
      <c r="A8235">
        <v>55673</v>
      </c>
      <c r="B8235">
        <v>2</v>
      </c>
      <c r="C8235">
        <v>16</v>
      </c>
    </row>
    <row r="8236" spans="1:3" x14ac:dyDescent="0.3">
      <c r="A8236">
        <v>55673</v>
      </c>
      <c r="B8236">
        <v>2</v>
      </c>
      <c r="C8236">
        <v>16</v>
      </c>
    </row>
    <row r="8237" spans="1:3" x14ac:dyDescent="0.3">
      <c r="A8237">
        <v>56094</v>
      </c>
      <c r="B8237">
        <v>1</v>
      </c>
      <c r="C8237">
        <v>8</v>
      </c>
    </row>
    <row r="8238" spans="1:3" x14ac:dyDescent="0.3">
      <c r="A8238">
        <v>56425</v>
      </c>
      <c r="B8238">
        <v>1</v>
      </c>
      <c r="C8238">
        <v>8</v>
      </c>
    </row>
    <row r="8239" spans="1:3" x14ac:dyDescent="0.3">
      <c r="A8239">
        <v>57115</v>
      </c>
      <c r="B8239">
        <v>1</v>
      </c>
      <c r="C8239">
        <v>8</v>
      </c>
    </row>
    <row r="8240" spans="1:3" x14ac:dyDescent="0.3">
      <c r="A8240">
        <v>58347</v>
      </c>
      <c r="B8240">
        <v>1</v>
      </c>
      <c r="C8240">
        <v>8</v>
      </c>
    </row>
    <row r="8241" spans="1:3" x14ac:dyDescent="0.3">
      <c r="A8241">
        <v>58559</v>
      </c>
      <c r="B8241">
        <v>1</v>
      </c>
      <c r="C8241">
        <v>8</v>
      </c>
    </row>
    <row r="8242" spans="1:3" x14ac:dyDescent="0.3">
      <c r="A8242">
        <v>59184</v>
      </c>
      <c r="B8242">
        <v>1</v>
      </c>
      <c r="C8242">
        <v>8</v>
      </c>
    </row>
    <row r="8243" spans="1:3" x14ac:dyDescent="0.3">
      <c r="A8243">
        <v>59534</v>
      </c>
      <c r="B8243">
        <v>1</v>
      </c>
      <c r="C8243">
        <v>16</v>
      </c>
    </row>
    <row r="8244" spans="1:3" x14ac:dyDescent="0.3">
      <c r="A8244">
        <v>59857</v>
      </c>
      <c r="B8244">
        <v>1</v>
      </c>
      <c r="C8244">
        <v>8</v>
      </c>
    </row>
    <row r="8245" spans="1:3" x14ac:dyDescent="0.3">
      <c r="A8245">
        <v>59877</v>
      </c>
      <c r="B8245">
        <v>1</v>
      </c>
      <c r="C8245">
        <v>8</v>
      </c>
    </row>
    <row r="8246" spans="1:3" x14ac:dyDescent="0.3">
      <c r="A8246">
        <v>60495</v>
      </c>
      <c r="B8246">
        <v>1</v>
      </c>
      <c r="C8246">
        <v>8</v>
      </c>
    </row>
    <row r="8247" spans="1:3" x14ac:dyDescent="0.3">
      <c r="A8247">
        <v>60862</v>
      </c>
      <c r="B8247">
        <v>1</v>
      </c>
      <c r="C8247">
        <v>16</v>
      </c>
    </row>
    <row r="8248" spans="1:3" x14ac:dyDescent="0.3">
      <c r="A8248">
        <v>61191</v>
      </c>
      <c r="B8248">
        <v>1</v>
      </c>
      <c r="C8248">
        <v>8</v>
      </c>
    </row>
    <row r="8249" spans="1:3" x14ac:dyDescent="0.3">
      <c r="A8249">
        <v>62183</v>
      </c>
      <c r="B8249">
        <v>1</v>
      </c>
      <c r="C8249">
        <v>16</v>
      </c>
    </row>
    <row r="8250" spans="1:3" x14ac:dyDescent="0.3">
      <c r="A8250">
        <v>62255</v>
      </c>
      <c r="B8250">
        <v>1</v>
      </c>
      <c r="C8250">
        <v>16</v>
      </c>
    </row>
    <row r="8251" spans="1:3" x14ac:dyDescent="0.3">
      <c r="A8251">
        <v>62407</v>
      </c>
      <c r="B8251">
        <v>1</v>
      </c>
      <c r="C8251">
        <v>8</v>
      </c>
    </row>
    <row r="8252" spans="1:3" x14ac:dyDescent="0.3">
      <c r="A8252">
        <v>62409</v>
      </c>
      <c r="B8252">
        <v>1</v>
      </c>
      <c r="C8252">
        <v>8</v>
      </c>
    </row>
    <row r="8253" spans="1:3" x14ac:dyDescent="0.3">
      <c r="A8253">
        <v>63076</v>
      </c>
      <c r="B8253">
        <v>1</v>
      </c>
      <c r="C8253">
        <v>8</v>
      </c>
    </row>
    <row r="8254" spans="1:3" x14ac:dyDescent="0.3">
      <c r="A8254">
        <v>63274</v>
      </c>
      <c r="B8254">
        <v>1</v>
      </c>
      <c r="C8254">
        <v>8</v>
      </c>
    </row>
    <row r="8255" spans="1:3" x14ac:dyDescent="0.3">
      <c r="A8255">
        <v>63385</v>
      </c>
      <c r="B8255">
        <v>1</v>
      </c>
      <c r="C8255">
        <v>8</v>
      </c>
    </row>
    <row r="8256" spans="1:3" x14ac:dyDescent="0.3">
      <c r="A8256">
        <v>63766</v>
      </c>
      <c r="B8256">
        <v>1</v>
      </c>
      <c r="C8256">
        <v>8</v>
      </c>
    </row>
    <row r="8257" spans="1:3" x14ac:dyDescent="0.3">
      <c r="A8257">
        <v>63939</v>
      </c>
      <c r="B8257">
        <v>1</v>
      </c>
      <c r="C8257">
        <v>8</v>
      </c>
    </row>
    <row r="8258" spans="1:3" x14ac:dyDescent="0.3">
      <c r="A8258">
        <v>65387</v>
      </c>
      <c r="B8258">
        <v>1</v>
      </c>
      <c r="C8258">
        <v>8</v>
      </c>
    </row>
    <row r="8259" spans="1:3" x14ac:dyDescent="0.3">
      <c r="A8259">
        <v>65498</v>
      </c>
      <c r="B8259">
        <v>1</v>
      </c>
      <c r="C8259">
        <v>8</v>
      </c>
    </row>
    <row r="8260" spans="1:3" x14ac:dyDescent="0.3">
      <c r="A8260">
        <v>65764</v>
      </c>
      <c r="B8260">
        <v>1</v>
      </c>
      <c r="C8260">
        <v>8</v>
      </c>
    </row>
    <row r="8261" spans="1:3" x14ac:dyDescent="0.3">
      <c r="A8261">
        <v>65906</v>
      </c>
      <c r="B8261">
        <v>1</v>
      </c>
      <c r="C8261">
        <v>8</v>
      </c>
    </row>
    <row r="8262" spans="1:3" x14ac:dyDescent="0.3">
      <c r="A8262">
        <v>66395</v>
      </c>
      <c r="B8262">
        <v>1</v>
      </c>
      <c r="C8262">
        <v>8</v>
      </c>
    </row>
    <row r="8263" spans="1:3" x14ac:dyDescent="0.3">
      <c r="A8263">
        <v>67058</v>
      </c>
      <c r="B8263">
        <v>1</v>
      </c>
      <c r="C8263">
        <v>8</v>
      </c>
    </row>
    <row r="8264" spans="1:3" x14ac:dyDescent="0.3">
      <c r="A8264">
        <v>67152</v>
      </c>
      <c r="B8264">
        <v>1</v>
      </c>
      <c r="C8264">
        <v>8</v>
      </c>
    </row>
    <row r="8265" spans="1:3" x14ac:dyDescent="0.3">
      <c r="A8265">
        <v>67494</v>
      </c>
      <c r="B8265">
        <v>1</v>
      </c>
      <c r="C8265">
        <v>8</v>
      </c>
    </row>
    <row r="8266" spans="1:3" x14ac:dyDescent="0.3">
      <c r="A8266">
        <v>67830</v>
      </c>
      <c r="B8266">
        <v>1</v>
      </c>
      <c r="C8266">
        <v>8</v>
      </c>
    </row>
    <row r="8267" spans="1:3" x14ac:dyDescent="0.3">
      <c r="A8267">
        <v>67989</v>
      </c>
      <c r="B8267">
        <v>1</v>
      </c>
      <c r="C8267">
        <v>8</v>
      </c>
    </row>
    <row r="8268" spans="1:3" x14ac:dyDescent="0.3">
      <c r="A8268">
        <v>68842</v>
      </c>
      <c r="B8268">
        <v>1</v>
      </c>
      <c r="C8268">
        <v>8</v>
      </c>
    </row>
    <row r="8269" spans="1:3" x14ac:dyDescent="0.3">
      <c r="A8269">
        <v>69534</v>
      </c>
      <c r="B8269">
        <v>1</v>
      </c>
      <c r="C8269">
        <v>8</v>
      </c>
    </row>
    <row r="8270" spans="1:3" x14ac:dyDescent="0.3">
      <c r="A8270">
        <v>69606</v>
      </c>
      <c r="B8270">
        <v>1</v>
      </c>
      <c r="C8270">
        <v>8</v>
      </c>
    </row>
    <row r="8271" spans="1:3" x14ac:dyDescent="0.3">
      <c r="A8271">
        <v>71194</v>
      </c>
      <c r="B8271">
        <v>1</v>
      </c>
      <c r="C8271">
        <v>8</v>
      </c>
    </row>
    <row r="8272" spans="1:3" x14ac:dyDescent="0.3">
      <c r="A8272">
        <v>71227</v>
      </c>
      <c r="B8272">
        <v>1</v>
      </c>
      <c r="C8272">
        <v>8</v>
      </c>
    </row>
    <row r="8273" spans="1:3" x14ac:dyDescent="0.3">
      <c r="A8273">
        <v>71338</v>
      </c>
      <c r="B8273">
        <v>1</v>
      </c>
      <c r="C8273">
        <v>8</v>
      </c>
    </row>
    <row r="8274" spans="1:3" x14ac:dyDescent="0.3">
      <c r="A8274">
        <v>71549</v>
      </c>
      <c r="B8274">
        <v>1</v>
      </c>
      <c r="C8274">
        <v>8</v>
      </c>
    </row>
    <row r="8275" spans="1:3" x14ac:dyDescent="0.3">
      <c r="A8275">
        <v>71813</v>
      </c>
      <c r="B8275">
        <v>1</v>
      </c>
      <c r="C8275">
        <v>8</v>
      </c>
    </row>
    <row r="8276" spans="1:3" x14ac:dyDescent="0.3">
      <c r="A8276">
        <v>71945</v>
      </c>
      <c r="B8276">
        <v>1</v>
      </c>
      <c r="C8276">
        <v>8</v>
      </c>
    </row>
    <row r="8277" spans="1:3" x14ac:dyDescent="0.3">
      <c r="A8277">
        <v>72138</v>
      </c>
      <c r="B8277">
        <v>1</v>
      </c>
      <c r="C8277">
        <v>8</v>
      </c>
    </row>
    <row r="8278" spans="1:3" x14ac:dyDescent="0.3">
      <c r="A8278">
        <v>72253</v>
      </c>
      <c r="B8278">
        <v>1</v>
      </c>
      <c r="C8278">
        <v>8</v>
      </c>
    </row>
    <row r="8279" spans="1:3" x14ac:dyDescent="0.3">
      <c r="A8279">
        <v>73221</v>
      </c>
      <c r="B8279">
        <v>1</v>
      </c>
      <c r="C8279">
        <v>8</v>
      </c>
    </row>
    <row r="8280" spans="1:3" x14ac:dyDescent="0.3">
      <c r="A8280">
        <v>73270</v>
      </c>
      <c r="B8280">
        <v>1</v>
      </c>
      <c r="C8280">
        <v>8</v>
      </c>
    </row>
    <row r="8281" spans="1:3" x14ac:dyDescent="0.3">
      <c r="A8281">
        <v>73318</v>
      </c>
      <c r="B8281">
        <v>1</v>
      </c>
      <c r="C8281">
        <v>8</v>
      </c>
    </row>
    <row r="8282" spans="1:3" x14ac:dyDescent="0.3">
      <c r="A8282">
        <v>73731</v>
      </c>
      <c r="B8282">
        <v>1</v>
      </c>
      <c r="C8282">
        <v>8</v>
      </c>
    </row>
    <row r="8283" spans="1:3" x14ac:dyDescent="0.3">
      <c r="A8283">
        <v>73829</v>
      </c>
      <c r="B8283">
        <v>1</v>
      </c>
      <c r="C8283">
        <v>8</v>
      </c>
    </row>
    <row r="8284" spans="1:3" x14ac:dyDescent="0.3">
      <c r="A8284">
        <v>74114</v>
      </c>
      <c r="B8284">
        <v>1</v>
      </c>
      <c r="C8284">
        <v>8</v>
      </c>
    </row>
    <row r="8285" spans="1:3" x14ac:dyDescent="0.3">
      <c r="A8285">
        <v>74120</v>
      </c>
      <c r="B8285">
        <v>1</v>
      </c>
      <c r="C8285">
        <v>8</v>
      </c>
    </row>
    <row r="8286" spans="1:3" x14ac:dyDescent="0.3">
      <c r="A8286">
        <v>74495</v>
      </c>
      <c r="B8286">
        <v>1</v>
      </c>
      <c r="C8286">
        <v>8</v>
      </c>
    </row>
    <row r="8287" spans="1:3" x14ac:dyDescent="0.3">
      <c r="A8287">
        <v>75280</v>
      </c>
      <c r="B8287">
        <v>1</v>
      </c>
      <c r="C8287">
        <v>8</v>
      </c>
    </row>
    <row r="8288" spans="1:3" x14ac:dyDescent="0.3">
      <c r="A8288">
        <v>75295</v>
      </c>
      <c r="B8288">
        <v>1</v>
      </c>
      <c r="C8288">
        <v>8</v>
      </c>
    </row>
    <row r="8289" spans="1:3" x14ac:dyDescent="0.3">
      <c r="A8289">
        <v>75331</v>
      </c>
      <c r="B8289">
        <v>1</v>
      </c>
      <c r="C8289">
        <v>8</v>
      </c>
    </row>
    <row r="8290" spans="1:3" x14ac:dyDescent="0.3">
      <c r="A8290">
        <v>75611</v>
      </c>
      <c r="B8290">
        <v>1</v>
      </c>
      <c r="C8290">
        <v>8</v>
      </c>
    </row>
    <row r="8291" spans="1:3" x14ac:dyDescent="0.3">
      <c r="A8291">
        <v>75873</v>
      </c>
      <c r="B8291">
        <v>1</v>
      </c>
      <c r="C8291">
        <v>8</v>
      </c>
    </row>
    <row r="8292" spans="1:3" x14ac:dyDescent="0.3">
      <c r="A8292">
        <v>76065</v>
      </c>
      <c r="B8292">
        <v>1</v>
      </c>
      <c r="C8292">
        <v>8</v>
      </c>
    </row>
    <row r="8293" spans="1:3" x14ac:dyDescent="0.3">
      <c r="A8293">
        <v>76299</v>
      </c>
      <c r="B8293">
        <v>1</v>
      </c>
      <c r="C8293">
        <v>8</v>
      </c>
    </row>
    <row r="8294" spans="1:3" x14ac:dyDescent="0.3">
      <c r="A8294">
        <v>76302</v>
      </c>
      <c r="B8294">
        <v>1</v>
      </c>
      <c r="C8294">
        <v>8</v>
      </c>
    </row>
    <row r="8295" spans="1:3" x14ac:dyDescent="0.3">
      <c r="A8295">
        <v>76351</v>
      </c>
      <c r="B8295">
        <v>1</v>
      </c>
      <c r="C8295">
        <v>8</v>
      </c>
    </row>
    <row r="8296" spans="1:3" x14ac:dyDescent="0.3">
      <c r="A8296">
        <v>76794</v>
      </c>
      <c r="B8296">
        <v>1</v>
      </c>
      <c r="C8296">
        <v>8</v>
      </c>
    </row>
    <row r="8297" spans="1:3" x14ac:dyDescent="0.3">
      <c r="A8297">
        <v>76901</v>
      </c>
      <c r="B8297">
        <v>1</v>
      </c>
      <c r="C8297">
        <v>8</v>
      </c>
    </row>
    <row r="8298" spans="1:3" x14ac:dyDescent="0.3">
      <c r="A8298">
        <v>77078</v>
      </c>
      <c r="B8298">
        <v>1</v>
      </c>
      <c r="C8298">
        <v>8</v>
      </c>
    </row>
    <row r="8299" spans="1:3" x14ac:dyDescent="0.3">
      <c r="A8299">
        <v>77318</v>
      </c>
      <c r="B8299">
        <v>1</v>
      </c>
      <c r="C8299">
        <v>8</v>
      </c>
    </row>
    <row r="8300" spans="1:3" x14ac:dyDescent="0.3">
      <c r="A8300">
        <v>77319</v>
      </c>
      <c r="B8300">
        <v>1</v>
      </c>
      <c r="C8300">
        <v>8</v>
      </c>
    </row>
    <row r="8301" spans="1:3" x14ac:dyDescent="0.3">
      <c r="A8301">
        <v>77441</v>
      </c>
      <c r="B8301">
        <v>1</v>
      </c>
      <c r="C8301">
        <v>8</v>
      </c>
    </row>
    <row r="8302" spans="1:3" x14ac:dyDescent="0.3">
      <c r="A8302">
        <v>78155</v>
      </c>
      <c r="B8302">
        <v>1</v>
      </c>
      <c r="C8302">
        <v>8</v>
      </c>
    </row>
    <row r="8303" spans="1:3" x14ac:dyDescent="0.3">
      <c r="A8303">
        <v>78284</v>
      </c>
      <c r="B8303">
        <v>1</v>
      </c>
      <c r="C8303">
        <v>8</v>
      </c>
    </row>
    <row r="8304" spans="1:3" x14ac:dyDescent="0.3">
      <c r="A8304">
        <v>78915</v>
      </c>
      <c r="B8304">
        <v>1</v>
      </c>
      <c r="C8304">
        <v>8</v>
      </c>
    </row>
    <row r="8305" spans="1:3" x14ac:dyDescent="0.3">
      <c r="A8305">
        <v>79443</v>
      </c>
      <c r="B8305">
        <v>1</v>
      </c>
      <c r="C8305">
        <v>8</v>
      </c>
    </row>
    <row r="8306" spans="1:3" x14ac:dyDescent="0.3">
      <c r="A8306">
        <v>79444</v>
      </c>
      <c r="B8306">
        <v>1</v>
      </c>
      <c r="C8306">
        <v>8</v>
      </c>
    </row>
    <row r="8307" spans="1:3" x14ac:dyDescent="0.3">
      <c r="A8307">
        <v>79824</v>
      </c>
      <c r="B8307">
        <v>1</v>
      </c>
      <c r="C8307">
        <v>8</v>
      </c>
    </row>
    <row r="8308" spans="1:3" x14ac:dyDescent="0.3">
      <c r="A8308">
        <v>10052</v>
      </c>
      <c r="B8308">
        <v>1</v>
      </c>
      <c r="C8308">
        <v>8</v>
      </c>
    </row>
    <row r="8309" spans="1:3" x14ac:dyDescent="0.3">
      <c r="A8309">
        <v>10154</v>
      </c>
      <c r="B8309">
        <v>1</v>
      </c>
      <c r="C8309">
        <v>16</v>
      </c>
    </row>
    <row r="8310" spans="1:3" x14ac:dyDescent="0.3">
      <c r="A8310">
        <v>10157</v>
      </c>
      <c r="B8310">
        <v>1</v>
      </c>
      <c r="C8310">
        <v>8</v>
      </c>
    </row>
    <row r="8311" spans="1:3" x14ac:dyDescent="0.3">
      <c r="A8311">
        <v>10241</v>
      </c>
      <c r="B8311">
        <v>1</v>
      </c>
      <c r="C8311">
        <v>16</v>
      </c>
    </row>
    <row r="8312" spans="1:3" x14ac:dyDescent="0.3">
      <c r="A8312">
        <v>10312</v>
      </c>
      <c r="B8312">
        <v>1</v>
      </c>
      <c r="C8312">
        <v>8</v>
      </c>
    </row>
    <row r="8313" spans="1:3" x14ac:dyDescent="0.3">
      <c r="A8313">
        <v>10346</v>
      </c>
      <c r="B8313">
        <v>1</v>
      </c>
      <c r="C8313">
        <v>8</v>
      </c>
    </row>
    <row r="8314" spans="1:3" x14ac:dyDescent="0.3">
      <c r="A8314">
        <v>10361</v>
      </c>
      <c r="B8314">
        <v>2</v>
      </c>
      <c r="C8314">
        <v>16</v>
      </c>
    </row>
    <row r="8315" spans="1:3" x14ac:dyDescent="0.3">
      <c r="A8315">
        <v>10361</v>
      </c>
      <c r="B8315">
        <v>2</v>
      </c>
      <c r="C8315">
        <v>16</v>
      </c>
    </row>
    <row r="8316" spans="1:3" x14ac:dyDescent="0.3">
      <c r="A8316">
        <v>10377</v>
      </c>
      <c r="B8316">
        <v>1</v>
      </c>
      <c r="C8316">
        <v>8</v>
      </c>
    </row>
    <row r="8317" spans="1:3" x14ac:dyDescent="0.3">
      <c r="A8317">
        <v>10438</v>
      </c>
      <c r="B8317">
        <v>1</v>
      </c>
      <c r="C8317">
        <v>8</v>
      </c>
    </row>
    <row r="8318" spans="1:3" x14ac:dyDescent="0.3">
      <c r="A8318">
        <v>10566</v>
      </c>
      <c r="B8318">
        <v>1</v>
      </c>
      <c r="C8318">
        <v>8</v>
      </c>
    </row>
    <row r="8319" spans="1:3" x14ac:dyDescent="0.3">
      <c r="A8319">
        <v>10589</v>
      </c>
      <c r="B8319">
        <v>1</v>
      </c>
      <c r="C8319">
        <v>8</v>
      </c>
    </row>
    <row r="8320" spans="1:3" x14ac:dyDescent="0.3">
      <c r="A8320">
        <v>10659</v>
      </c>
      <c r="B8320">
        <v>1</v>
      </c>
      <c r="C8320">
        <v>8</v>
      </c>
    </row>
    <row r="8321" spans="1:3" x14ac:dyDescent="0.3">
      <c r="A8321">
        <v>10938</v>
      </c>
      <c r="B8321">
        <v>1</v>
      </c>
      <c r="C8321">
        <v>8</v>
      </c>
    </row>
    <row r="8322" spans="1:3" x14ac:dyDescent="0.3">
      <c r="A8322">
        <v>10988</v>
      </c>
      <c r="B8322">
        <v>1</v>
      </c>
      <c r="C8322">
        <v>8</v>
      </c>
    </row>
    <row r="8323" spans="1:3" x14ac:dyDescent="0.3">
      <c r="A8323">
        <v>11052</v>
      </c>
      <c r="B8323">
        <v>1</v>
      </c>
      <c r="C8323">
        <v>16</v>
      </c>
    </row>
    <row r="8324" spans="1:3" x14ac:dyDescent="0.3">
      <c r="A8324">
        <v>11090</v>
      </c>
      <c r="B8324">
        <v>1</v>
      </c>
      <c r="C8324">
        <v>8</v>
      </c>
    </row>
    <row r="8325" spans="1:3" x14ac:dyDescent="0.3">
      <c r="A8325">
        <v>11096</v>
      </c>
      <c r="B8325">
        <v>1</v>
      </c>
      <c r="C8325">
        <v>8</v>
      </c>
    </row>
    <row r="8326" spans="1:3" x14ac:dyDescent="0.3">
      <c r="A8326">
        <v>11416</v>
      </c>
      <c r="B8326">
        <v>1</v>
      </c>
      <c r="C8326">
        <v>16</v>
      </c>
    </row>
    <row r="8327" spans="1:3" x14ac:dyDescent="0.3">
      <c r="A8327">
        <v>11447</v>
      </c>
      <c r="B8327">
        <v>1</v>
      </c>
      <c r="C8327">
        <v>8</v>
      </c>
    </row>
    <row r="8328" spans="1:3" x14ac:dyDescent="0.3">
      <c r="A8328">
        <v>11703</v>
      </c>
      <c r="B8328">
        <v>1</v>
      </c>
      <c r="C8328">
        <v>8</v>
      </c>
    </row>
    <row r="8329" spans="1:3" x14ac:dyDescent="0.3">
      <c r="A8329">
        <v>11706</v>
      </c>
      <c r="B8329">
        <v>2</v>
      </c>
      <c r="C8329">
        <v>16</v>
      </c>
    </row>
    <row r="8330" spans="1:3" x14ac:dyDescent="0.3">
      <c r="A8330">
        <v>11706</v>
      </c>
      <c r="B8330">
        <v>2</v>
      </c>
      <c r="C8330">
        <v>16</v>
      </c>
    </row>
    <row r="8331" spans="1:3" x14ac:dyDescent="0.3">
      <c r="A8331">
        <v>11989</v>
      </c>
      <c r="B8331">
        <v>1</v>
      </c>
      <c r="C8331">
        <v>16</v>
      </c>
    </row>
    <row r="8332" spans="1:3" x14ac:dyDescent="0.3">
      <c r="A8332">
        <v>12050</v>
      </c>
      <c r="B8332">
        <v>2</v>
      </c>
      <c r="C8332">
        <v>16</v>
      </c>
    </row>
    <row r="8333" spans="1:3" x14ac:dyDescent="0.3">
      <c r="A8333">
        <v>12050</v>
      </c>
      <c r="B8333">
        <v>2</v>
      </c>
      <c r="C8333">
        <v>16</v>
      </c>
    </row>
    <row r="8334" spans="1:3" x14ac:dyDescent="0.3">
      <c r="A8334">
        <v>12206</v>
      </c>
      <c r="B8334">
        <v>1</v>
      </c>
      <c r="C8334">
        <v>16</v>
      </c>
    </row>
    <row r="8335" spans="1:3" x14ac:dyDescent="0.3">
      <c r="A8335">
        <v>12490</v>
      </c>
      <c r="B8335">
        <v>1</v>
      </c>
      <c r="C8335">
        <v>8</v>
      </c>
    </row>
    <row r="8336" spans="1:3" x14ac:dyDescent="0.3">
      <c r="A8336">
        <v>12508</v>
      </c>
      <c r="B8336">
        <v>1</v>
      </c>
      <c r="C8336">
        <v>8</v>
      </c>
    </row>
    <row r="8337" spans="1:3" x14ac:dyDescent="0.3">
      <c r="A8337">
        <v>12717</v>
      </c>
      <c r="B8337">
        <v>1</v>
      </c>
      <c r="C8337">
        <v>8</v>
      </c>
    </row>
    <row r="8338" spans="1:3" x14ac:dyDescent="0.3">
      <c r="A8338">
        <v>12879</v>
      </c>
      <c r="B8338">
        <v>1</v>
      </c>
      <c r="C8338">
        <v>16</v>
      </c>
    </row>
    <row r="8339" spans="1:3" x14ac:dyDescent="0.3">
      <c r="A8339">
        <v>12911</v>
      </c>
      <c r="B8339">
        <v>1</v>
      </c>
      <c r="C8339">
        <v>8</v>
      </c>
    </row>
    <row r="8340" spans="1:3" x14ac:dyDescent="0.3">
      <c r="A8340">
        <v>13055</v>
      </c>
      <c r="B8340">
        <v>2</v>
      </c>
      <c r="C8340">
        <v>16</v>
      </c>
    </row>
    <row r="8341" spans="1:3" x14ac:dyDescent="0.3">
      <c r="A8341">
        <v>13055</v>
      </c>
      <c r="B8341">
        <v>2</v>
      </c>
      <c r="C8341">
        <v>16</v>
      </c>
    </row>
    <row r="8342" spans="1:3" x14ac:dyDescent="0.3">
      <c r="A8342">
        <v>13276</v>
      </c>
      <c r="B8342">
        <v>1</v>
      </c>
      <c r="C8342">
        <v>8</v>
      </c>
    </row>
    <row r="8343" spans="1:3" x14ac:dyDescent="0.3">
      <c r="A8343">
        <v>13341</v>
      </c>
      <c r="B8343">
        <v>1</v>
      </c>
      <c r="C8343">
        <v>8</v>
      </c>
    </row>
    <row r="8344" spans="1:3" x14ac:dyDescent="0.3">
      <c r="A8344">
        <v>13556</v>
      </c>
      <c r="B8344">
        <v>1</v>
      </c>
      <c r="C8344">
        <v>8</v>
      </c>
    </row>
    <row r="8345" spans="1:3" x14ac:dyDescent="0.3">
      <c r="A8345">
        <v>13610</v>
      </c>
      <c r="B8345">
        <v>1</v>
      </c>
      <c r="C8345">
        <v>16</v>
      </c>
    </row>
    <row r="8346" spans="1:3" x14ac:dyDescent="0.3">
      <c r="A8346">
        <v>13633</v>
      </c>
      <c r="B8346">
        <v>4</v>
      </c>
      <c r="C8346">
        <v>16</v>
      </c>
    </row>
    <row r="8347" spans="1:3" x14ac:dyDescent="0.3">
      <c r="A8347">
        <v>13633</v>
      </c>
      <c r="B8347">
        <v>4</v>
      </c>
      <c r="C8347">
        <v>16</v>
      </c>
    </row>
    <row r="8348" spans="1:3" x14ac:dyDescent="0.3">
      <c r="A8348">
        <v>13633</v>
      </c>
      <c r="B8348">
        <v>4</v>
      </c>
      <c r="C8348">
        <v>16</v>
      </c>
    </row>
    <row r="8349" spans="1:3" x14ac:dyDescent="0.3">
      <c r="A8349">
        <v>13633</v>
      </c>
      <c r="B8349">
        <v>4</v>
      </c>
      <c r="C8349">
        <v>16</v>
      </c>
    </row>
    <row r="8350" spans="1:3" x14ac:dyDescent="0.3">
      <c r="A8350">
        <v>13980</v>
      </c>
      <c r="B8350">
        <v>1</v>
      </c>
      <c r="C8350">
        <v>16</v>
      </c>
    </row>
    <row r="8351" spans="1:3" x14ac:dyDescent="0.3">
      <c r="A8351">
        <v>13988</v>
      </c>
      <c r="B8351">
        <v>2</v>
      </c>
      <c r="C8351">
        <v>16</v>
      </c>
    </row>
    <row r="8352" spans="1:3" x14ac:dyDescent="0.3">
      <c r="A8352">
        <v>13988</v>
      </c>
      <c r="B8352">
        <v>2</v>
      </c>
      <c r="C8352">
        <v>16</v>
      </c>
    </row>
    <row r="8353" spans="1:3" x14ac:dyDescent="0.3">
      <c r="A8353">
        <v>14421</v>
      </c>
      <c r="B8353">
        <v>1</v>
      </c>
      <c r="C8353">
        <v>8</v>
      </c>
    </row>
    <row r="8354" spans="1:3" x14ac:dyDescent="0.3">
      <c r="A8354">
        <v>15237</v>
      </c>
      <c r="B8354">
        <v>1</v>
      </c>
      <c r="C8354">
        <v>8</v>
      </c>
    </row>
    <row r="8355" spans="1:3" x14ac:dyDescent="0.3">
      <c r="A8355">
        <v>15348</v>
      </c>
      <c r="B8355">
        <v>2</v>
      </c>
      <c r="C8355">
        <v>16</v>
      </c>
    </row>
    <row r="8356" spans="1:3" x14ac:dyDescent="0.3">
      <c r="A8356">
        <v>15348</v>
      </c>
      <c r="B8356">
        <v>2</v>
      </c>
      <c r="C8356">
        <v>16</v>
      </c>
    </row>
    <row r="8357" spans="1:3" x14ac:dyDescent="0.3">
      <c r="A8357">
        <v>15355</v>
      </c>
      <c r="B8357">
        <v>1</v>
      </c>
      <c r="C8357">
        <v>8</v>
      </c>
    </row>
    <row r="8358" spans="1:3" x14ac:dyDescent="0.3">
      <c r="A8358">
        <v>15658</v>
      </c>
      <c r="B8358">
        <v>1</v>
      </c>
      <c r="C8358">
        <v>8</v>
      </c>
    </row>
    <row r="8359" spans="1:3" x14ac:dyDescent="0.3">
      <c r="A8359">
        <v>15718</v>
      </c>
      <c r="B8359">
        <v>1</v>
      </c>
      <c r="C8359">
        <v>16</v>
      </c>
    </row>
    <row r="8360" spans="1:3" x14ac:dyDescent="0.3">
      <c r="A8360">
        <v>15725</v>
      </c>
      <c r="B8360">
        <v>1</v>
      </c>
      <c r="C8360">
        <v>8</v>
      </c>
    </row>
    <row r="8361" spans="1:3" x14ac:dyDescent="0.3">
      <c r="A8361">
        <v>38429</v>
      </c>
      <c r="B8361">
        <v>2</v>
      </c>
      <c r="C8361">
        <v>16</v>
      </c>
    </row>
    <row r="8362" spans="1:3" x14ac:dyDescent="0.3">
      <c r="A8362">
        <v>39525</v>
      </c>
      <c r="B8362">
        <v>2</v>
      </c>
      <c r="C8362">
        <v>16</v>
      </c>
    </row>
    <row r="8363" spans="1:3" x14ac:dyDescent="0.3">
      <c r="A8363">
        <v>16441</v>
      </c>
      <c r="B8363">
        <v>2</v>
      </c>
      <c r="C8363">
        <v>16</v>
      </c>
    </row>
    <row r="8364" spans="1:3" x14ac:dyDescent="0.3">
      <c r="A8364">
        <v>16441</v>
      </c>
      <c r="B8364">
        <v>2</v>
      </c>
      <c r="C8364">
        <v>16</v>
      </c>
    </row>
    <row r="8365" spans="1:3" x14ac:dyDescent="0.3">
      <c r="A8365">
        <v>16452</v>
      </c>
      <c r="B8365">
        <v>1</v>
      </c>
      <c r="C8365">
        <v>16</v>
      </c>
    </row>
    <row r="8366" spans="1:3" x14ac:dyDescent="0.3">
      <c r="A8366">
        <v>16564</v>
      </c>
      <c r="B8366">
        <v>1</v>
      </c>
      <c r="C8366">
        <v>8</v>
      </c>
    </row>
    <row r="8367" spans="1:3" x14ac:dyDescent="0.3">
      <c r="A8367">
        <v>16808</v>
      </c>
      <c r="B8367">
        <v>1</v>
      </c>
      <c r="C8367">
        <v>8</v>
      </c>
    </row>
    <row r="8368" spans="1:3" x14ac:dyDescent="0.3">
      <c r="A8368">
        <v>16873</v>
      </c>
      <c r="B8368">
        <v>1</v>
      </c>
      <c r="C8368">
        <v>8</v>
      </c>
    </row>
    <row r="8369" spans="1:3" x14ac:dyDescent="0.3">
      <c r="A8369">
        <v>17186</v>
      </c>
      <c r="B8369">
        <v>1</v>
      </c>
      <c r="C8369">
        <v>8</v>
      </c>
    </row>
    <row r="8370" spans="1:3" x14ac:dyDescent="0.3">
      <c r="A8370">
        <v>17302</v>
      </c>
      <c r="B8370">
        <v>1</v>
      </c>
      <c r="C8370">
        <v>16</v>
      </c>
    </row>
    <row r="8371" spans="1:3" x14ac:dyDescent="0.3">
      <c r="A8371">
        <v>17613</v>
      </c>
      <c r="B8371">
        <v>1</v>
      </c>
      <c r="C8371">
        <v>16</v>
      </c>
    </row>
    <row r="8372" spans="1:3" x14ac:dyDescent="0.3">
      <c r="A8372">
        <v>17623</v>
      </c>
      <c r="B8372">
        <v>2</v>
      </c>
      <c r="C8372">
        <v>16</v>
      </c>
    </row>
    <row r="8373" spans="1:3" x14ac:dyDescent="0.3">
      <c r="A8373">
        <v>17623</v>
      </c>
      <c r="B8373">
        <v>2</v>
      </c>
      <c r="C8373">
        <v>16</v>
      </c>
    </row>
    <row r="8374" spans="1:3" x14ac:dyDescent="0.3">
      <c r="A8374">
        <v>17702</v>
      </c>
      <c r="B8374">
        <v>2</v>
      </c>
      <c r="C8374">
        <v>16</v>
      </c>
    </row>
    <row r="8375" spans="1:3" x14ac:dyDescent="0.3">
      <c r="A8375">
        <v>17702</v>
      </c>
      <c r="B8375">
        <v>2</v>
      </c>
      <c r="C8375">
        <v>16</v>
      </c>
    </row>
    <row r="8376" spans="1:3" x14ac:dyDescent="0.3">
      <c r="A8376">
        <v>17890</v>
      </c>
      <c r="B8376">
        <v>3</v>
      </c>
      <c r="C8376">
        <v>16</v>
      </c>
    </row>
    <row r="8377" spans="1:3" x14ac:dyDescent="0.3">
      <c r="A8377">
        <v>17890</v>
      </c>
      <c r="B8377">
        <v>3</v>
      </c>
      <c r="C8377">
        <v>16</v>
      </c>
    </row>
    <row r="8378" spans="1:3" x14ac:dyDescent="0.3">
      <c r="A8378">
        <v>17890</v>
      </c>
      <c r="B8378">
        <v>3</v>
      </c>
      <c r="C8378">
        <v>16</v>
      </c>
    </row>
    <row r="8379" spans="1:3" x14ac:dyDescent="0.3">
      <c r="A8379">
        <v>17993</v>
      </c>
      <c r="B8379">
        <v>1</v>
      </c>
      <c r="C8379">
        <v>8</v>
      </c>
    </row>
    <row r="8380" spans="1:3" x14ac:dyDescent="0.3">
      <c r="A8380">
        <v>18084</v>
      </c>
      <c r="B8380">
        <v>2</v>
      </c>
      <c r="C8380">
        <v>8</v>
      </c>
    </row>
    <row r="8381" spans="1:3" x14ac:dyDescent="0.3">
      <c r="A8381">
        <v>18084</v>
      </c>
      <c r="B8381">
        <v>2</v>
      </c>
      <c r="C8381">
        <v>8</v>
      </c>
    </row>
    <row r="8382" spans="1:3" x14ac:dyDescent="0.3">
      <c r="A8382">
        <v>18129</v>
      </c>
      <c r="B8382">
        <v>1</v>
      </c>
      <c r="C8382">
        <v>8</v>
      </c>
    </row>
    <row r="8383" spans="1:3" x14ac:dyDescent="0.3">
      <c r="A8383">
        <v>18175</v>
      </c>
      <c r="B8383">
        <v>1</v>
      </c>
      <c r="C8383">
        <v>8</v>
      </c>
    </row>
    <row r="8384" spans="1:3" x14ac:dyDescent="0.3">
      <c r="A8384">
        <v>18460</v>
      </c>
      <c r="B8384">
        <v>1</v>
      </c>
      <c r="C8384">
        <v>16</v>
      </c>
    </row>
    <row r="8385" spans="1:3" x14ac:dyDescent="0.3">
      <c r="A8385">
        <v>18539</v>
      </c>
      <c r="B8385">
        <v>2</v>
      </c>
      <c r="C8385">
        <v>16</v>
      </c>
    </row>
    <row r="8386" spans="1:3" x14ac:dyDescent="0.3">
      <c r="A8386">
        <v>18539</v>
      </c>
      <c r="B8386">
        <v>2</v>
      </c>
      <c r="C8386">
        <v>16</v>
      </c>
    </row>
    <row r="8387" spans="1:3" x14ac:dyDescent="0.3">
      <c r="A8387">
        <v>18545</v>
      </c>
      <c r="B8387">
        <v>1</v>
      </c>
      <c r="C8387">
        <v>16</v>
      </c>
    </row>
    <row r="8388" spans="1:3" x14ac:dyDescent="0.3">
      <c r="A8388">
        <v>18562</v>
      </c>
      <c r="B8388">
        <v>2</v>
      </c>
      <c r="C8388">
        <v>16</v>
      </c>
    </row>
    <row r="8389" spans="1:3" x14ac:dyDescent="0.3">
      <c r="A8389">
        <v>18562</v>
      </c>
      <c r="B8389">
        <v>2</v>
      </c>
      <c r="C8389">
        <v>16</v>
      </c>
    </row>
    <row r="8390" spans="1:3" x14ac:dyDescent="0.3">
      <c r="A8390">
        <v>18726</v>
      </c>
      <c r="B8390">
        <v>2</v>
      </c>
      <c r="C8390">
        <v>16</v>
      </c>
    </row>
    <row r="8391" spans="1:3" x14ac:dyDescent="0.3">
      <c r="A8391">
        <v>18726</v>
      </c>
      <c r="B8391">
        <v>2</v>
      </c>
      <c r="C8391">
        <v>16</v>
      </c>
    </row>
    <row r="8392" spans="1:3" x14ac:dyDescent="0.3">
      <c r="A8392">
        <v>18884</v>
      </c>
      <c r="B8392">
        <v>1</v>
      </c>
      <c r="C8392">
        <v>16</v>
      </c>
    </row>
    <row r="8393" spans="1:3" x14ac:dyDescent="0.3">
      <c r="A8393">
        <v>19069</v>
      </c>
      <c r="B8393">
        <v>1</v>
      </c>
      <c r="C8393">
        <v>8</v>
      </c>
    </row>
    <row r="8394" spans="1:3" x14ac:dyDescent="0.3">
      <c r="A8394">
        <v>19230</v>
      </c>
      <c r="B8394">
        <v>1</v>
      </c>
      <c r="C8394">
        <v>8</v>
      </c>
    </row>
    <row r="8395" spans="1:3" x14ac:dyDescent="0.3">
      <c r="A8395">
        <v>19441</v>
      </c>
      <c r="B8395">
        <v>1</v>
      </c>
      <c r="C8395">
        <v>16</v>
      </c>
    </row>
    <row r="8396" spans="1:3" x14ac:dyDescent="0.3">
      <c r="A8396">
        <v>19652</v>
      </c>
      <c r="B8396">
        <v>1</v>
      </c>
      <c r="C8396">
        <v>8</v>
      </c>
    </row>
    <row r="8397" spans="1:3" x14ac:dyDescent="0.3">
      <c r="A8397">
        <v>19722</v>
      </c>
      <c r="B8397">
        <v>1</v>
      </c>
      <c r="C8397">
        <v>16</v>
      </c>
    </row>
    <row r="8398" spans="1:3" x14ac:dyDescent="0.3">
      <c r="A8398">
        <v>19805</v>
      </c>
      <c r="B8398">
        <v>1</v>
      </c>
      <c r="C8398">
        <v>8</v>
      </c>
    </row>
    <row r="8399" spans="1:3" x14ac:dyDescent="0.3">
      <c r="A8399">
        <v>20490</v>
      </c>
      <c r="B8399">
        <v>1</v>
      </c>
      <c r="C8399">
        <v>8</v>
      </c>
    </row>
    <row r="8400" spans="1:3" x14ac:dyDescent="0.3">
      <c r="A8400">
        <v>20491</v>
      </c>
      <c r="B8400">
        <v>1</v>
      </c>
      <c r="C8400">
        <v>8</v>
      </c>
    </row>
    <row r="8401" spans="1:3" x14ac:dyDescent="0.3">
      <c r="A8401">
        <v>20587</v>
      </c>
      <c r="B8401">
        <v>1</v>
      </c>
      <c r="C8401">
        <v>8</v>
      </c>
    </row>
    <row r="8402" spans="1:3" x14ac:dyDescent="0.3">
      <c r="A8402" s="26">
        <v>20799</v>
      </c>
      <c r="B8402" s="26">
        <v>1</v>
      </c>
      <c r="C8402" s="26">
        <v>8</v>
      </c>
    </row>
    <row r="8403" spans="1:3" x14ac:dyDescent="0.3">
      <c r="A8403">
        <v>21442</v>
      </c>
      <c r="B8403">
        <v>1</v>
      </c>
      <c r="C8403">
        <v>16</v>
      </c>
    </row>
    <row r="8404" spans="1:3" x14ac:dyDescent="0.3">
      <c r="A8404">
        <v>21444</v>
      </c>
      <c r="B8404">
        <v>2</v>
      </c>
      <c r="C8404">
        <v>16</v>
      </c>
    </row>
    <row r="8405" spans="1:3" x14ac:dyDescent="0.3">
      <c r="A8405">
        <v>21444</v>
      </c>
      <c r="B8405">
        <v>2</v>
      </c>
      <c r="C8405">
        <v>16</v>
      </c>
    </row>
    <row r="8406" spans="1:3" x14ac:dyDescent="0.3">
      <c r="A8406">
        <v>21718</v>
      </c>
      <c r="B8406">
        <v>1</v>
      </c>
      <c r="C8406">
        <v>8</v>
      </c>
    </row>
    <row r="8407" spans="1:3" x14ac:dyDescent="0.3">
      <c r="A8407">
        <v>22184</v>
      </c>
      <c r="B8407">
        <v>1</v>
      </c>
      <c r="C8407">
        <v>16</v>
      </c>
    </row>
    <row r="8408" spans="1:3" x14ac:dyDescent="0.3">
      <c r="A8408">
        <v>22203</v>
      </c>
      <c r="B8408">
        <v>1</v>
      </c>
      <c r="C8408">
        <v>16</v>
      </c>
    </row>
    <row r="8409" spans="1:3" x14ac:dyDescent="0.3">
      <c r="A8409">
        <v>22306</v>
      </c>
      <c r="B8409">
        <v>2</v>
      </c>
      <c r="C8409">
        <v>16</v>
      </c>
    </row>
    <row r="8410" spans="1:3" x14ac:dyDescent="0.3">
      <c r="A8410">
        <v>22306</v>
      </c>
      <c r="B8410">
        <v>2</v>
      </c>
      <c r="C8410">
        <v>16</v>
      </c>
    </row>
    <row r="8411" spans="1:3" x14ac:dyDescent="0.3">
      <c r="A8411">
        <v>22466</v>
      </c>
      <c r="B8411">
        <v>2</v>
      </c>
      <c r="C8411">
        <v>16</v>
      </c>
    </row>
    <row r="8412" spans="1:3" x14ac:dyDescent="0.3">
      <c r="A8412">
        <v>22466</v>
      </c>
      <c r="B8412">
        <v>2</v>
      </c>
      <c r="C8412">
        <v>16</v>
      </c>
    </row>
    <row r="8413" spans="1:3" x14ac:dyDescent="0.3">
      <c r="A8413">
        <v>22622</v>
      </c>
      <c r="B8413">
        <v>1</v>
      </c>
      <c r="C8413">
        <v>8</v>
      </c>
    </row>
    <row r="8414" spans="1:3" x14ac:dyDescent="0.3">
      <c r="A8414">
        <v>22624</v>
      </c>
      <c r="B8414">
        <v>1</v>
      </c>
      <c r="C8414">
        <v>16</v>
      </c>
    </row>
    <row r="8415" spans="1:3" x14ac:dyDescent="0.3">
      <c r="A8415">
        <v>22890</v>
      </c>
      <c r="B8415">
        <v>2</v>
      </c>
      <c r="C8415">
        <v>16</v>
      </c>
    </row>
    <row r="8416" spans="1:3" x14ac:dyDescent="0.3">
      <c r="A8416">
        <v>22890</v>
      </c>
      <c r="B8416">
        <v>2</v>
      </c>
      <c r="C8416">
        <v>16</v>
      </c>
    </row>
    <row r="8417" spans="1:3" x14ac:dyDescent="0.3">
      <c r="A8417">
        <v>22931</v>
      </c>
      <c r="B8417">
        <v>1</v>
      </c>
      <c r="C8417">
        <v>8</v>
      </c>
    </row>
    <row r="8418" spans="1:3" x14ac:dyDescent="0.3">
      <c r="A8418">
        <v>23016</v>
      </c>
      <c r="B8418">
        <v>1</v>
      </c>
      <c r="C8418">
        <v>8</v>
      </c>
    </row>
    <row r="8419" spans="1:3" x14ac:dyDescent="0.3">
      <c r="A8419">
        <v>23046</v>
      </c>
      <c r="B8419">
        <v>1</v>
      </c>
      <c r="C8419">
        <v>8</v>
      </c>
    </row>
    <row r="8420" spans="1:3" x14ac:dyDescent="0.3">
      <c r="A8420">
        <v>23363</v>
      </c>
      <c r="B8420">
        <v>1</v>
      </c>
      <c r="C8420">
        <v>8</v>
      </c>
    </row>
    <row r="8421" spans="1:3" x14ac:dyDescent="0.3">
      <c r="A8421">
        <v>23459</v>
      </c>
      <c r="B8421">
        <v>1</v>
      </c>
      <c r="C8421">
        <v>8</v>
      </c>
    </row>
    <row r="8422" spans="1:3" x14ac:dyDescent="0.3">
      <c r="A8422">
        <v>23483</v>
      </c>
      <c r="B8422">
        <v>1</v>
      </c>
      <c r="C8422">
        <v>16</v>
      </c>
    </row>
    <row r="8423" spans="1:3" x14ac:dyDescent="0.3">
      <c r="A8423">
        <v>23547</v>
      </c>
      <c r="B8423">
        <v>1</v>
      </c>
      <c r="C8423">
        <v>8</v>
      </c>
    </row>
    <row r="8424" spans="1:3" x14ac:dyDescent="0.3">
      <c r="A8424">
        <v>23814</v>
      </c>
      <c r="B8424">
        <v>1</v>
      </c>
      <c r="C8424">
        <v>8</v>
      </c>
    </row>
    <row r="8425" spans="1:3" x14ac:dyDescent="0.3">
      <c r="A8425">
        <v>24461</v>
      </c>
      <c r="B8425">
        <v>1</v>
      </c>
      <c r="C8425">
        <v>8</v>
      </c>
    </row>
    <row r="8426" spans="1:3" x14ac:dyDescent="0.3">
      <c r="A8426">
        <v>24501</v>
      </c>
      <c r="B8426">
        <v>1</v>
      </c>
      <c r="C8426">
        <v>16</v>
      </c>
    </row>
    <row r="8427" spans="1:3" x14ac:dyDescent="0.3">
      <c r="A8427">
        <v>24556</v>
      </c>
      <c r="B8427">
        <v>4</v>
      </c>
      <c r="C8427">
        <v>16</v>
      </c>
    </row>
    <row r="8428" spans="1:3" x14ac:dyDescent="0.3">
      <c r="A8428">
        <v>24556</v>
      </c>
      <c r="B8428">
        <v>4</v>
      </c>
      <c r="C8428">
        <v>16</v>
      </c>
    </row>
    <row r="8429" spans="1:3" x14ac:dyDescent="0.3">
      <c r="A8429">
        <v>24556</v>
      </c>
      <c r="B8429">
        <v>4</v>
      </c>
      <c r="C8429">
        <v>16</v>
      </c>
    </row>
    <row r="8430" spans="1:3" x14ac:dyDescent="0.3">
      <c r="A8430">
        <v>24556</v>
      </c>
      <c r="B8430">
        <v>4</v>
      </c>
      <c r="C8430">
        <v>16</v>
      </c>
    </row>
    <row r="8431" spans="1:3" x14ac:dyDescent="0.3">
      <c r="A8431">
        <v>24607</v>
      </c>
      <c r="B8431">
        <v>1</v>
      </c>
      <c r="C8431">
        <v>8</v>
      </c>
    </row>
    <row r="8432" spans="1:3" x14ac:dyDescent="0.3">
      <c r="A8432">
        <v>24641</v>
      </c>
      <c r="B8432">
        <v>1</v>
      </c>
      <c r="C8432">
        <v>16</v>
      </c>
    </row>
    <row r="8433" spans="1:3" x14ac:dyDescent="0.3">
      <c r="A8433">
        <v>24764</v>
      </c>
      <c r="B8433">
        <v>1</v>
      </c>
      <c r="C8433">
        <v>16</v>
      </c>
    </row>
    <row r="8434" spans="1:3" x14ac:dyDescent="0.3">
      <c r="A8434">
        <v>24835</v>
      </c>
      <c r="B8434">
        <v>1</v>
      </c>
      <c r="C8434">
        <v>8</v>
      </c>
    </row>
    <row r="8435" spans="1:3" x14ac:dyDescent="0.3">
      <c r="A8435">
        <v>24970</v>
      </c>
      <c r="B8435">
        <v>1</v>
      </c>
      <c r="C8435">
        <v>8</v>
      </c>
    </row>
    <row r="8436" spans="1:3" x14ac:dyDescent="0.3">
      <c r="A8436">
        <v>25031</v>
      </c>
      <c r="B8436">
        <v>1</v>
      </c>
      <c r="C8436">
        <v>8</v>
      </c>
    </row>
    <row r="8437" spans="1:3" x14ac:dyDescent="0.3">
      <c r="A8437">
        <v>25055</v>
      </c>
      <c r="B8437">
        <v>1</v>
      </c>
      <c r="C8437">
        <v>8</v>
      </c>
    </row>
    <row r="8438" spans="1:3" x14ac:dyDescent="0.3">
      <c r="A8438">
        <v>25119</v>
      </c>
      <c r="B8438">
        <v>1</v>
      </c>
      <c r="C8438">
        <v>16</v>
      </c>
    </row>
    <row r="8439" spans="1:3" x14ac:dyDescent="0.3">
      <c r="A8439">
        <v>25472</v>
      </c>
      <c r="B8439">
        <v>1</v>
      </c>
      <c r="C8439">
        <v>8</v>
      </c>
    </row>
    <row r="8440" spans="1:3" x14ac:dyDescent="0.3">
      <c r="A8440">
        <v>25537</v>
      </c>
      <c r="B8440">
        <v>1</v>
      </c>
      <c r="C8440">
        <v>16</v>
      </c>
    </row>
    <row r="8441" spans="1:3" x14ac:dyDescent="0.3">
      <c r="A8441">
        <v>25596</v>
      </c>
      <c r="B8441">
        <v>1</v>
      </c>
      <c r="C8441">
        <v>8</v>
      </c>
    </row>
    <row r="8442" spans="1:3" x14ac:dyDescent="0.3">
      <c r="A8442">
        <v>25690</v>
      </c>
      <c r="B8442">
        <v>1</v>
      </c>
      <c r="C8442">
        <v>8</v>
      </c>
    </row>
    <row r="8443" spans="1:3" x14ac:dyDescent="0.3">
      <c r="A8443">
        <v>25762</v>
      </c>
      <c r="B8443">
        <v>1</v>
      </c>
      <c r="C8443">
        <v>16</v>
      </c>
    </row>
    <row r="8444" spans="1:3" x14ac:dyDescent="0.3">
      <c r="A8444">
        <v>25843</v>
      </c>
      <c r="B8444">
        <v>1</v>
      </c>
      <c r="C8444">
        <v>8</v>
      </c>
    </row>
    <row r="8445" spans="1:3" x14ac:dyDescent="0.3">
      <c r="A8445">
        <v>25984</v>
      </c>
      <c r="B8445">
        <v>1</v>
      </c>
      <c r="C8445">
        <v>8</v>
      </c>
    </row>
    <row r="8446" spans="1:3" x14ac:dyDescent="0.3">
      <c r="A8446">
        <v>25991</v>
      </c>
      <c r="B8446">
        <v>2</v>
      </c>
      <c r="C8446">
        <v>16</v>
      </c>
    </row>
    <row r="8447" spans="1:3" x14ac:dyDescent="0.3">
      <c r="A8447">
        <v>25991</v>
      </c>
      <c r="B8447">
        <v>2</v>
      </c>
      <c r="C8447">
        <v>16</v>
      </c>
    </row>
    <row r="8448" spans="1:3" x14ac:dyDescent="0.3">
      <c r="A8448">
        <v>26454</v>
      </c>
      <c r="B8448">
        <v>2</v>
      </c>
      <c r="C8448">
        <v>16</v>
      </c>
    </row>
    <row r="8449" spans="1:3" x14ac:dyDescent="0.3">
      <c r="A8449">
        <v>26454</v>
      </c>
      <c r="B8449">
        <v>2</v>
      </c>
      <c r="C8449">
        <v>16</v>
      </c>
    </row>
    <row r="8450" spans="1:3" x14ac:dyDescent="0.3">
      <c r="A8450">
        <v>26546</v>
      </c>
      <c r="B8450">
        <v>1</v>
      </c>
      <c r="C8450">
        <v>16</v>
      </c>
    </row>
    <row r="8451" spans="1:3" x14ac:dyDescent="0.3">
      <c r="A8451">
        <v>26704</v>
      </c>
      <c r="B8451">
        <v>2</v>
      </c>
      <c r="C8451">
        <v>16</v>
      </c>
    </row>
    <row r="8452" spans="1:3" x14ac:dyDescent="0.3">
      <c r="A8452">
        <v>26704</v>
      </c>
      <c r="B8452">
        <v>2</v>
      </c>
      <c r="C8452">
        <v>16</v>
      </c>
    </row>
    <row r="8453" spans="1:3" x14ac:dyDescent="0.3">
      <c r="A8453">
        <v>26751</v>
      </c>
      <c r="B8453">
        <v>1</v>
      </c>
      <c r="C8453">
        <v>8</v>
      </c>
    </row>
    <row r="8454" spans="1:3" x14ac:dyDescent="0.3">
      <c r="A8454">
        <v>26929</v>
      </c>
      <c r="B8454">
        <v>1</v>
      </c>
      <c r="C8454">
        <v>8</v>
      </c>
    </row>
    <row r="8455" spans="1:3" x14ac:dyDescent="0.3">
      <c r="A8455">
        <v>27014</v>
      </c>
      <c r="B8455">
        <v>1</v>
      </c>
      <c r="C8455">
        <v>16</v>
      </c>
    </row>
    <row r="8456" spans="1:3" x14ac:dyDescent="0.3">
      <c r="A8456">
        <v>27239</v>
      </c>
      <c r="B8456">
        <v>1</v>
      </c>
      <c r="C8456">
        <v>16</v>
      </c>
    </row>
    <row r="8457" spans="1:3" x14ac:dyDescent="0.3">
      <c r="A8457">
        <v>27241</v>
      </c>
      <c r="B8457">
        <v>2</v>
      </c>
      <c r="C8457">
        <v>16</v>
      </c>
    </row>
    <row r="8458" spans="1:3" x14ac:dyDescent="0.3">
      <c r="A8458">
        <v>27241</v>
      </c>
      <c r="B8458">
        <v>2</v>
      </c>
      <c r="C8458">
        <v>16</v>
      </c>
    </row>
    <row r="8459" spans="1:3" x14ac:dyDescent="0.3">
      <c r="A8459">
        <v>27256</v>
      </c>
      <c r="B8459">
        <v>1</v>
      </c>
      <c r="C8459">
        <v>8</v>
      </c>
    </row>
    <row r="8460" spans="1:3" x14ac:dyDescent="0.3">
      <c r="A8460">
        <v>27429</v>
      </c>
      <c r="B8460">
        <v>1</v>
      </c>
      <c r="C8460">
        <v>16</v>
      </c>
    </row>
    <row r="8461" spans="1:3" x14ac:dyDescent="0.3">
      <c r="A8461">
        <v>27448</v>
      </c>
      <c r="B8461">
        <v>1</v>
      </c>
      <c r="C8461">
        <v>8</v>
      </c>
    </row>
    <row r="8462" spans="1:3" x14ac:dyDescent="0.3">
      <c r="A8462">
        <v>27455</v>
      </c>
      <c r="B8462">
        <v>3</v>
      </c>
      <c r="C8462">
        <v>16</v>
      </c>
    </row>
    <row r="8463" spans="1:3" x14ac:dyDescent="0.3">
      <c r="A8463">
        <v>27455</v>
      </c>
      <c r="B8463">
        <v>3</v>
      </c>
      <c r="C8463">
        <v>16</v>
      </c>
    </row>
    <row r="8464" spans="1:3" x14ac:dyDescent="0.3">
      <c r="A8464">
        <v>27455</v>
      </c>
      <c r="B8464">
        <v>3</v>
      </c>
      <c r="C8464">
        <v>16</v>
      </c>
    </row>
    <row r="8465" spans="1:3" x14ac:dyDescent="0.3">
      <c r="A8465">
        <v>27511</v>
      </c>
      <c r="B8465">
        <v>1</v>
      </c>
      <c r="C8465">
        <v>8</v>
      </c>
    </row>
    <row r="8466" spans="1:3" x14ac:dyDescent="0.3">
      <c r="A8466">
        <v>39525</v>
      </c>
      <c r="B8466">
        <v>2</v>
      </c>
      <c r="C8466">
        <v>16</v>
      </c>
    </row>
    <row r="8467" spans="1:3" x14ac:dyDescent="0.3">
      <c r="A8467">
        <v>27575</v>
      </c>
      <c r="B8467">
        <v>2</v>
      </c>
      <c r="C8467">
        <v>16</v>
      </c>
    </row>
    <row r="8468" spans="1:3" x14ac:dyDescent="0.3">
      <c r="A8468">
        <v>27575</v>
      </c>
      <c r="B8468">
        <v>2</v>
      </c>
      <c r="C8468">
        <v>16</v>
      </c>
    </row>
    <row r="8469" spans="1:3" x14ac:dyDescent="0.3">
      <c r="A8469">
        <v>27592</v>
      </c>
      <c r="B8469">
        <v>2</v>
      </c>
      <c r="C8469">
        <v>16</v>
      </c>
    </row>
    <row r="8470" spans="1:3" x14ac:dyDescent="0.3">
      <c r="A8470">
        <v>27592</v>
      </c>
      <c r="B8470">
        <v>2</v>
      </c>
      <c r="C8470">
        <v>16</v>
      </c>
    </row>
    <row r="8471" spans="1:3" x14ac:dyDescent="0.3">
      <c r="A8471">
        <v>27622</v>
      </c>
      <c r="B8471">
        <v>2</v>
      </c>
      <c r="C8471">
        <v>16</v>
      </c>
    </row>
    <row r="8472" spans="1:3" x14ac:dyDescent="0.3">
      <c r="A8472">
        <v>27622</v>
      </c>
      <c r="B8472">
        <v>2</v>
      </c>
      <c r="C8472">
        <v>16</v>
      </c>
    </row>
    <row r="8473" spans="1:3" x14ac:dyDescent="0.3">
      <c r="A8473">
        <v>27754</v>
      </c>
      <c r="B8473">
        <v>1</v>
      </c>
      <c r="C8473">
        <v>8</v>
      </c>
    </row>
    <row r="8474" spans="1:3" x14ac:dyDescent="0.3">
      <c r="A8474">
        <v>27996</v>
      </c>
      <c r="B8474">
        <v>2</v>
      </c>
      <c r="C8474">
        <v>16</v>
      </c>
    </row>
    <row r="8475" spans="1:3" x14ac:dyDescent="0.3">
      <c r="A8475">
        <v>27996</v>
      </c>
      <c r="B8475">
        <v>2</v>
      </c>
      <c r="C8475">
        <v>16</v>
      </c>
    </row>
    <row r="8476" spans="1:3" x14ac:dyDescent="0.3">
      <c r="A8476">
        <v>28002</v>
      </c>
      <c r="B8476">
        <v>1</v>
      </c>
      <c r="C8476">
        <v>16</v>
      </c>
    </row>
    <row r="8477" spans="1:3" x14ac:dyDescent="0.3">
      <c r="A8477">
        <v>28152</v>
      </c>
      <c r="B8477">
        <v>1</v>
      </c>
      <c r="C8477">
        <v>8</v>
      </c>
    </row>
    <row r="8478" spans="1:3" x14ac:dyDescent="0.3">
      <c r="A8478">
        <v>28208</v>
      </c>
      <c r="B8478">
        <v>1</v>
      </c>
      <c r="C8478">
        <v>8</v>
      </c>
    </row>
    <row r="8479" spans="1:3" x14ac:dyDescent="0.3">
      <c r="A8479">
        <v>28364</v>
      </c>
      <c r="B8479">
        <v>1</v>
      </c>
      <c r="C8479">
        <v>16</v>
      </c>
    </row>
    <row r="8480" spans="1:3" x14ac:dyDescent="0.3">
      <c r="A8480">
        <v>28458</v>
      </c>
      <c r="B8480">
        <v>1</v>
      </c>
      <c r="C8480">
        <v>8</v>
      </c>
    </row>
    <row r="8481" spans="1:3" x14ac:dyDescent="0.3">
      <c r="A8481">
        <v>28542</v>
      </c>
      <c r="B8481">
        <v>1</v>
      </c>
      <c r="C8481">
        <v>8</v>
      </c>
    </row>
    <row r="8482" spans="1:3" x14ac:dyDescent="0.3">
      <c r="A8482">
        <v>28611</v>
      </c>
      <c r="B8482">
        <v>1</v>
      </c>
      <c r="C8482">
        <v>16</v>
      </c>
    </row>
    <row r="8483" spans="1:3" x14ac:dyDescent="0.3">
      <c r="A8483">
        <v>28626</v>
      </c>
      <c r="B8483">
        <v>1</v>
      </c>
      <c r="C8483">
        <v>8</v>
      </c>
    </row>
    <row r="8484" spans="1:3" x14ac:dyDescent="0.3">
      <c r="A8484">
        <v>28856</v>
      </c>
      <c r="B8484">
        <v>1</v>
      </c>
      <c r="C8484">
        <v>16</v>
      </c>
    </row>
    <row r="8485" spans="1:3" x14ac:dyDescent="0.3">
      <c r="A8485">
        <v>28954</v>
      </c>
      <c r="B8485">
        <v>1</v>
      </c>
      <c r="C8485">
        <v>8</v>
      </c>
    </row>
    <row r="8486" spans="1:3" x14ac:dyDescent="0.3">
      <c r="A8486">
        <v>28969</v>
      </c>
      <c r="B8486">
        <v>2</v>
      </c>
      <c r="C8486">
        <v>16</v>
      </c>
    </row>
    <row r="8487" spans="1:3" x14ac:dyDescent="0.3">
      <c r="A8487">
        <v>28969</v>
      </c>
      <c r="B8487">
        <v>2</v>
      </c>
      <c r="C8487">
        <v>16</v>
      </c>
    </row>
    <row r="8488" spans="1:3" x14ac:dyDescent="0.3">
      <c r="A8488">
        <v>28981</v>
      </c>
      <c r="B8488">
        <v>1</v>
      </c>
      <c r="C8488">
        <v>8</v>
      </c>
    </row>
    <row r="8489" spans="1:3" x14ac:dyDescent="0.3">
      <c r="A8489">
        <v>29043</v>
      </c>
      <c r="B8489">
        <v>1</v>
      </c>
      <c r="C8489">
        <v>8</v>
      </c>
    </row>
    <row r="8490" spans="1:3" x14ac:dyDescent="0.3">
      <c r="A8490">
        <v>29144</v>
      </c>
      <c r="B8490">
        <v>1</v>
      </c>
      <c r="C8490">
        <v>16</v>
      </c>
    </row>
    <row r="8491" spans="1:3" x14ac:dyDescent="0.3">
      <c r="A8491">
        <v>29150</v>
      </c>
      <c r="B8491">
        <v>2</v>
      </c>
      <c r="C8491">
        <v>16</v>
      </c>
    </row>
    <row r="8492" spans="1:3" x14ac:dyDescent="0.3">
      <c r="A8492">
        <v>29150</v>
      </c>
      <c r="B8492">
        <v>2</v>
      </c>
      <c r="C8492">
        <v>16</v>
      </c>
    </row>
    <row r="8493" spans="1:3" x14ac:dyDescent="0.3">
      <c r="A8493">
        <v>29240</v>
      </c>
      <c r="B8493">
        <v>1</v>
      </c>
      <c r="C8493">
        <v>8</v>
      </c>
    </row>
    <row r="8494" spans="1:3" x14ac:dyDescent="0.3">
      <c r="A8494">
        <v>29241</v>
      </c>
      <c r="B8494">
        <v>2</v>
      </c>
      <c r="C8494">
        <v>8</v>
      </c>
    </row>
    <row r="8495" spans="1:3" x14ac:dyDescent="0.3">
      <c r="A8495">
        <v>29241</v>
      </c>
      <c r="B8495">
        <v>2</v>
      </c>
      <c r="C8495">
        <v>8</v>
      </c>
    </row>
    <row r="8496" spans="1:3" x14ac:dyDescent="0.3">
      <c r="A8496">
        <v>29329</v>
      </c>
      <c r="B8496">
        <v>1</v>
      </c>
      <c r="C8496">
        <v>8</v>
      </c>
    </row>
    <row r="8497" spans="1:3" x14ac:dyDescent="0.3">
      <c r="A8497">
        <v>29492</v>
      </c>
      <c r="B8497">
        <v>1</v>
      </c>
      <c r="C8497">
        <v>8</v>
      </c>
    </row>
    <row r="8498" spans="1:3" x14ac:dyDescent="0.3">
      <c r="A8498">
        <v>29773</v>
      </c>
      <c r="B8498">
        <v>1</v>
      </c>
      <c r="C8498">
        <v>8</v>
      </c>
    </row>
    <row r="8499" spans="1:3" x14ac:dyDescent="0.3">
      <c r="A8499">
        <v>29778</v>
      </c>
      <c r="B8499">
        <v>2</v>
      </c>
      <c r="C8499">
        <v>16</v>
      </c>
    </row>
    <row r="8500" spans="1:3" x14ac:dyDescent="0.3">
      <c r="A8500">
        <v>29778</v>
      </c>
      <c r="B8500">
        <v>2</v>
      </c>
      <c r="C8500">
        <v>16</v>
      </c>
    </row>
    <row r="8501" spans="1:3" x14ac:dyDescent="0.3">
      <c r="A8501">
        <v>29794</v>
      </c>
      <c r="B8501">
        <v>2</v>
      </c>
      <c r="C8501">
        <v>16</v>
      </c>
    </row>
    <row r="8502" spans="1:3" x14ac:dyDescent="0.3">
      <c r="A8502">
        <v>29794</v>
      </c>
      <c r="B8502">
        <v>2</v>
      </c>
      <c r="C8502">
        <v>16</v>
      </c>
    </row>
    <row r="8503" spans="1:3" x14ac:dyDescent="0.3">
      <c r="A8503">
        <v>29923</v>
      </c>
      <c r="B8503">
        <v>1</v>
      </c>
      <c r="C8503">
        <v>16</v>
      </c>
    </row>
    <row r="8504" spans="1:3" x14ac:dyDescent="0.3">
      <c r="A8504">
        <v>30091</v>
      </c>
      <c r="B8504">
        <v>1</v>
      </c>
      <c r="C8504">
        <v>8</v>
      </c>
    </row>
    <row r="8505" spans="1:3" x14ac:dyDescent="0.3">
      <c r="A8505">
        <v>30108</v>
      </c>
      <c r="B8505">
        <v>1</v>
      </c>
      <c r="C8505">
        <v>8</v>
      </c>
    </row>
    <row r="8506" spans="1:3" x14ac:dyDescent="0.3">
      <c r="A8506">
        <v>30343</v>
      </c>
      <c r="B8506">
        <v>1</v>
      </c>
      <c r="C8506">
        <v>8</v>
      </c>
    </row>
    <row r="8507" spans="1:3" x14ac:dyDescent="0.3">
      <c r="A8507">
        <v>30344</v>
      </c>
      <c r="B8507">
        <v>1</v>
      </c>
      <c r="C8507">
        <v>8</v>
      </c>
    </row>
    <row r="8508" spans="1:3" x14ac:dyDescent="0.3">
      <c r="A8508">
        <v>30351</v>
      </c>
      <c r="B8508">
        <v>2</v>
      </c>
      <c r="C8508">
        <v>16</v>
      </c>
    </row>
    <row r="8509" spans="1:3" x14ac:dyDescent="0.3">
      <c r="A8509">
        <v>30351</v>
      </c>
      <c r="B8509">
        <v>2</v>
      </c>
      <c r="C8509">
        <v>16</v>
      </c>
    </row>
    <row r="8510" spans="1:3" x14ac:dyDescent="0.3">
      <c r="A8510">
        <v>30504</v>
      </c>
      <c r="B8510">
        <v>1</v>
      </c>
      <c r="C8510">
        <v>16</v>
      </c>
    </row>
    <row r="8511" spans="1:3" x14ac:dyDescent="0.3">
      <c r="A8511">
        <v>30586</v>
      </c>
      <c r="B8511">
        <v>1</v>
      </c>
      <c r="C8511">
        <v>8</v>
      </c>
    </row>
    <row r="8512" spans="1:3" x14ac:dyDescent="0.3">
      <c r="A8512">
        <v>30610</v>
      </c>
      <c r="B8512">
        <v>1</v>
      </c>
      <c r="C8512">
        <v>8</v>
      </c>
    </row>
    <row r="8513" spans="1:3" x14ac:dyDescent="0.3">
      <c r="A8513">
        <v>30617</v>
      </c>
      <c r="B8513">
        <v>1</v>
      </c>
      <c r="C8513">
        <v>8</v>
      </c>
    </row>
    <row r="8514" spans="1:3" x14ac:dyDescent="0.3">
      <c r="A8514">
        <v>30746</v>
      </c>
      <c r="B8514">
        <v>1</v>
      </c>
      <c r="C8514">
        <v>16</v>
      </c>
    </row>
    <row r="8515" spans="1:3" x14ac:dyDescent="0.3">
      <c r="A8515">
        <v>30800</v>
      </c>
      <c r="B8515">
        <v>1</v>
      </c>
      <c r="C8515">
        <v>8</v>
      </c>
    </row>
    <row r="8516" spans="1:3" x14ac:dyDescent="0.3">
      <c r="A8516">
        <v>31008</v>
      </c>
      <c r="B8516">
        <v>2</v>
      </c>
      <c r="C8516">
        <v>16</v>
      </c>
    </row>
    <row r="8517" spans="1:3" x14ac:dyDescent="0.3">
      <c r="A8517">
        <v>31008</v>
      </c>
      <c r="B8517">
        <v>2</v>
      </c>
      <c r="C8517">
        <v>16</v>
      </c>
    </row>
    <row r="8518" spans="1:3" x14ac:dyDescent="0.3">
      <c r="A8518">
        <v>31044</v>
      </c>
      <c r="B8518">
        <v>1</v>
      </c>
      <c r="C8518">
        <v>8</v>
      </c>
    </row>
    <row r="8519" spans="1:3" x14ac:dyDescent="0.3">
      <c r="A8519">
        <v>31073</v>
      </c>
      <c r="B8519">
        <v>1</v>
      </c>
      <c r="C8519">
        <v>8</v>
      </c>
    </row>
    <row r="8520" spans="1:3" x14ac:dyDescent="0.3">
      <c r="A8520">
        <v>31177</v>
      </c>
      <c r="B8520">
        <v>1</v>
      </c>
      <c r="C8520">
        <v>8</v>
      </c>
    </row>
    <row r="8521" spans="1:3" x14ac:dyDescent="0.3">
      <c r="A8521">
        <v>31204</v>
      </c>
      <c r="B8521">
        <v>1</v>
      </c>
      <c r="C8521">
        <v>8</v>
      </c>
    </row>
    <row r="8522" spans="1:3" x14ac:dyDescent="0.3">
      <c r="A8522">
        <v>31217</v>
      </c>
      <c r="B8522">
        <v>1</v>
      </c>
      <c r="C8522">
        <v>8</v>
      </c>
    </row>
    <row r="8523" spans="1:3" x14ac:dyDescent="0.3">
      <c r="A8523">
        <v>31283</v>
      </c>
      <c r="B8523">
        <v>1</v>
      </c>
      <c r="C8523">
        <v>8</v>
      </c>
    </row>
    <row r="8524" spans="1:3" x14ac:dyDescent="0.3">
      <c r="A8524">
        <v>31305</v>
      </c>
      <c r="B8524">
        <v>1</v>
      </c>
      <c r="C8524">
        <v>16</v>
      </c>
    </row>
    <row r="8525" spans="1:3" x14ac:dyDescent="0.3">
      <c r="A8525">
        <v>31364</v>
      </c>
      <c r="B8525">
        <v>1</v>
      </c>
      <c r="C8525">
        <v>16</v>
      </c>
    </row>
    <row r="8526" spans="1:3" x14ac:dyDescent="0.3">
      <c r="A8526">
        <v>31372</v>
      </c>
      <c r="B8526">
        <v>1</v>
      </c>
      <c r="C8526">
        <v>16</v>
      </c>
    </row>
    <row r="8527" spans="1:3" x14ac:dyDescent="0.3">
      <c r="A8527">
        <v>31395</v>
      </c>
      <c r="B8527">
        <v>1</v>
      </c>
      <c r="C8527">
        <v>8</v>
      </c>
    </row>
    <row r="8528" spans="1:3" x14ac:dyDescent="0.3">
      <c r="A8528">
        <v>31774</v>
      </c>
      <c r="B8528">
        <v>1</v>
      </c>
      <c r="C8528">
        <v>16</v>
      </c>
    </row>
    <row r="8529" spans="1:3" x14ac:dyDescent="0.3">
      <c r="A8529">
        <v>31793</v>
      </c>
      <c r="B8529">
        <v>1</v>
      </c>
      <c r="C8529">
        <v>8</v>
      </c>
    </row>
    <row r="8530" spans="1:3" x14ac:dyDescent="0.3">
      <c r="A8530">
        <v>31875</v>
      </c>
      <c r="B8530">
        <v>1</v>
      </c>
      <c r="C8530">
        <v>16</v>
      </c>
    </row>
    <row r="8531" spans="1:3" x14ac:dyDescent="0.3">
      <c r="A8531">
        <v>31897</v>
      </c>
      <c r="B8531">
        <v>1</v>
      </c>
      <c r="C8531">
        <v>8</v>
      </c>
    </row>
    <row r="8532" spans="1:3" x14ac:dyDescent="0.3">
      <c r="A8532">
        <v>31935</v>
      </c>
      <c r="B8532">
        <v>1</v>
      </c>
      <c r="C8532">
        <v>16</v>
      </c>
    </row>
    <row r="8533" spans="1:3" x14ac:dyDescent="0.3">
      <c r="A8533">
        <v>32062</v>
      </c>
      <c r="B8533">
        <v>1</v>
      </c>
      <c r="C8533">
        <v>16</v>
      </c>
    </row>
    <row r="8534" spans="1:3" x14ac:dyDescent="0.3">
      <c r="A8534">
        <v>32309</v>
      </c>
      <c r="B8534">
        <v>2</v>
      </c>
      <c r="C8534">
        <v>16</v>
      </c>
    </row>
    <row r="8535" spans="1:3" x14ac:dyDescent="0.3">
      <c r="A8535">
        <v>32309</v>
      </c>
      <c r="B8535">
        <v>2</v>
      </c>
      <c r="C8535">
        <v>16</v>
      </c>
    </row>
    <row r="8536" spans="1:3" x14ac:dyDescent="0.3">
      <c r="A8536">
        <v>32319</v>
      </c>
      <c r="B8536">
        <v>1</v>
      </c>
      <c r="C8536">
        <v>16</v>
      </c>
    </row>
    <row r="8537" spans="1:3" x14ac:dyDescent="0.3">
      <c r="A8537">
        <v>32401</v>
      </c>
      <c r="B8537">
        <v>1</v>
      </c>
      <c r="C8537">
        <v>8</v>
      </c>
    </row>
    <row r="8538" spans="1:3" x14ac:dyDescent="0.3">
      <c r="A8538">
        <v>32414</v>
      </c>
      <c r="B8538">
        <v>2</v>
      </c>
      <c r="C8538">
        <v>16</v>
      </c>
    </row>
    <row r="8539" spans="1:3" x14ac:dyDescent="0.3">
      <c r="A8539">
        <v>32414</v>
      </c>
      <c r="B8539">
        <v>2</v>
      </c>
      <c r="C8539">
        <v>16</v>
      </c>
    </row>
    <row r="8540" spans="1:3" x14ac:dyDescent="0.3">
      <c r="A8540">
        <v>32449</v>
      </c>
      <c r="B8540">
        <v>1</v>
      </c>
      <c r="C8540">
        <v>16</v>
      </c>
    </row>
    <row r="8541" spans="1:3" x14ac:dyDescent="0.3">
      <c r="A8541">
        <v>32482</v>
      </c>
      <c r="B8541">
        <v>1</v>
      </c>
      <c r="C8541">
        <v>8</v>
      </c>
    </row>
    <row r="8542" spans="1:3" x14ac:dyDescent="0.3">
      <c r="A8542">
        <v>32647</v>
      </c>
      <c r="B8542">
        <v>1</v>
      </c>
      <c r="C8542">
        <v>8</v>
      </c>
    </row>
    <row r="8543" spans="1:3" x14ac:dyDescent="0.3">
      <c r="A8543">
        <v>32943</v>
      </c>
      <c r="B8543">
        <v>1</v>
      </c>
      <c r="C8543">
        <v>8</v>
      </c>
    </row>
    <row r="8544" spans="1:3" x14ac:dyDescent="0.3">
      <c r="A8544">
        <v>32946</v>
      </c>
      <c r="B8544">
        <v>2</v>
      </c>
      <c r="C8544">
        <v>16</v>
      </c>
    </row>
    <row r="8545" spans="1:3" x14ac:dyDescent="0.3">
      <c r="A8545">
        <v>32946</v>
      </c>
      <c r="B8545">
        <v>2</v>
      </c>
      <c r="C8545">
        <v>16</v>
      </c>
    </row>
    <row r="8546" spans="1:3" x14ac:dyDescent="0.3">
      <c r="A8546">
        <v>33013</v>
      </c>
      <c r="B8546">
        <v>1</v>
      </c>
      <c r="C8546">
        <v>16</v>
      </c>
    </row>
    <row r="8547" spans="1:3" x14ac:dyDescent="0.3">
      <c r="A8547">
        <v>33163</v>
      </c>
      <c r="B8547">
        <v>1</v>
      </c>
      <c r="C8547">
        <v>8</v>
      </c>
    </row>
    <row r="8548" spans="1:3" x14ac:dyDescent="0.3">
      <c r="A8548">
        <v>33174</v>
      </c>
      <c r="B8548">
        <v>1</v>
      </c>
      <c r="C8548">
        <v>8</v>
      </c>
    </row>
    <row r="8549" spans="1:3" x14ac:dyDescent="0.3">
      <c r="A8549">
        <v>33394</v>
      </c>
      <c r="B8549">
        <v>1</v>
      </c>
      <c r="C8549">
        <v>8</v>
      </c>
    </row>
    <row r="8550" spans="1:3" x14ac:dyDescent="0.3">
      <c r="A8550">
        <v>33395</v>
      </c>
      <c r="B8550">
        <v>1</v>
      </c>
      <c r="C8550">
        <v>16</v>
      </c>
    </row>
    <row r="8551" spans="1:3" x14ac:dyDescent="0.3">
      <c r="A8551">
        <v>33426</v>
      </c>
      <c r="B8551">
        <v>1</v>
      </c>
      <c r="C8551">
        <v>8</v>
      </c>
    </row>
    <row r="8552" spans="1:3" x14ac:dyDescent="0.3">
      <c r="A8552">
        <v>33434</v>
      </c>
      <c r="B8552">
        <v>1</v>
      </c>
      <c r="C8552">
        <v>16</v>
      </c>
    </row>
    <row r="8553" spans="1:3" x14ac:dyDescent="0.3">
      <c r="A8553">
        <v>33448</v>
      </c>
      <c r="B8553">
        <v>1</v>
      </c>
      <c r="C8553">
        <v>8</v>
      </c>
    </row>
    <row r="8554" spans="1:3" x14ac:dyDescent="0.3">
      <c r="A8554">
        <v>33469</v>
      </c>
      <c r="B8554">
        <v>1</v>
      </c>
      <c r="C8554">
        <v>16</v>
      </c>
    </row>
    <row r="8555" spans="1:3" x14ac:dyDescent="0.3">
      <c r="A8555">
        <v>33503</v>
      </c>
      <c r="B8555">
        <v>1</v>
      </c>
      <c r="C8555">
        <v>8</v>
      </c>
    </row>
    <row r="8556" spans="1:3" x14ac:dyDescent="0.3">
      <c r="A8556">
        <v>33639</v>
      </c>
      <c r="B8556">
        <v>1</v>
      </c>
      <c r="C8556">
        <v>8</v>
      </c>
    </row>
    <row r="8557" spans="1:3" x14ac:dyDescent="0.3">
      <c r="A8557">
        <v>33654</v>
      </c>
      <c r="B8557">
        <v>1</v>
      </c>
      <c r="C8557">
        <v>8</v>
      </c>
    </row>
    <row r="8558" spans="1:3" x14ac:dyDescent="0.3">
      <c r="A8558">
        <v>33690</v>
      </c>
      <c r="B8558">
        <v>1</v>
      </c>
      <c r="C8558">
        <v>16</v>
      </c>
    </row>
    <row r="8559" spans="1:3" x14ac:dyDescent="0.3">
      <c r="A8559">
        <v>33894</v>
      </c>
      <c r="B8559">
        <v>1</v>
      </c>
      <c r="C8559">
        <v>8</v>
      </c>
    </row>
    <row r="8560" spans="1:3" x14ac:dyDescent="0.3">
      <c r="A8560">
        <v>34304</v>
      </c>
      <c r="B8560">
        <v>1</v>
      </c>
      <c r="C8560">
        <v>8</v>
      </c>
    </row>
    <row r="8561" spans="1:3" x14ac:dyDescent="0.3">
      <c r="A8561">
        <v>34342</v>
      </c>
      <c r="B8561">
        <v>1</v>
      </c>
      <c r="C8561">
        <v>8</v>
      </c>
    </row>
    <row r="8562" spans="1:3" x14ac:dyDescent="0.3">
      <c r="A8562">
        <v>34543</v>
      </c>
      <c r="B8562">
        <v>1</v>
      </c>
      <c r="C8562">
        <v>16</v>
      </c>
    </row>
    <row r="8563" spans="1:3" x14ac:dyDescent="0.3">
      <c r="A8563">
        <v>34587</v>
      </c>
      <c r="B8563">
        <v>1</v>
      </c>
      <c r="C8563">
        <v>8</v>
      </c>
    </row>
    <row r="8564" spans="1:3" x14ac:dyDescent="0.3">
      <c r="A8564">
        <v>34641</v>
      </c>
      <c r="B8564">
        <v>1</v>
      </c>
      <c r="C8564">
        <v>8</v>
      </c>
    </row>
    <row r="8565" spans="1:3" x14ac:dyDescent="0.3">
      <c r="A8565">
        <v>34949</v>
      </c>
      <c r="B8565">
        <v>1</v>
      </c>
      <c r="C8565">
        <v>8</v>
      </c>
    </row>
    <row r="8566" spans="1:3" x14ac:dyDescent="0.3">
      <c r="A8566">
        <v>35045</v>
      </c>
      <c r="B8566">
        <v>1</v>
      </c>
      <c r="C8566">
        <v>8</v>
      </c>
    </row>
    <row r="8567" spans="1:3" x14ac:dyDescent="0.3">
      <c r="A8567">
        <v>35305</v>
      </c>
      <c r="B8567">
        <v>1</v>
      </c>
      <c r="C8567">
        <v>8</v>
      </c>
    </row>
    <row r="8568" spans="1:3" x14ac:dyDescent="0.3">
      <c r="A8568">
        <v>35625</v>
      </c>
      <c r="B8568">
        <v>1</v>
      </c>
      <c r="C8568">
        <v>8</v>
      </c>
    </row>
    <row r="8569" spans="1:3" x14ac:dyDescent="0.3">
      <c r="A8569">
        <v>35835</v>
      </c>
      <c r="B8569">
        <v>1</v>
      </c>
      <c r="C8569">
        <v>8</v>
      </c>
    </row>
    <row r="8570" spans="1:3" x14ac:dyDescent="0.3">
      <c r="A8570">
        <v>35846</v>
      </c>
      <c r="B8570">
        <v>1</v>
      </c>
      <c r="C8570">
        <v>8</v>
      </c>
    </row>
    <row r="8571" spans="1:3" x14ac:dyDescent="0.3">
      <c r="A8571">
        <v>35857</v>
      </c>
      <c r="B8571">
        <v>1</v>
      </c>
      <c r="C8571">
        <v>8</v>
      </c>
    </row>
    <row r="8572" spans="1:3" x14ac:dyDescent="0.3">
      <c r="A8572">
        <v>35868</v>
      </c>
      <c r="B8572">
        <v>1</v>
      </c>
      <c r="C8572">
        <v>16</v>
      </c>
    </row>
    <row r="8573" spans="1:3" x14ac:dyDescent="0.3">
      <c r="A8573">
        <v>36241</v>
      </c>
      <c r="B8573">
        <v>1</v>
      </c>
      <c r="C8573">
        <v>8</v>
      </c>
    </row>
    <row r="8574" spans="1:3" x14ac:dyDescent="0.3">
      <c r="A8574">
        <v>36370</v>
      </c>
      <c r="B8574">
        <v>1</v>
      </c>
      <c r="C8574">
        <v>8</v>
      </c>
    </row>
    <row r="8575" spans="1:3" x14ac:dyDescent="0.3">
      <c r="A8575">
        <v>36442</v>
      </c>
      <c r="B8575">
        <v>1</v>
      </c>
      <c r="C8575">
        <v>16</v>
      </c>
    </row>
    <row r="8576" spans="1:3" x14ac:dyDescent="0.3">
      <c r="A8576">
        <v>36457</v>
      </c>
      <c r="B8576">
        <v>1</v>
      </c>
      <c r="C8576">
        <v>16</v>
      </c>
    </row>
    <row r="8577" spans="1:3" x14ac:dyDescent="0.3">
      <c r="A8577">
        <v>36867</v>
      </c>
      <c r="B8577">
        <v>1</v>
      </c>
      <c r="C8577">
        <v>16</v>
      </c>
    </row>
    <row r="8578" spans="1:3" x14ac:dyDescent="0.3">
      <c r="A8578">
        <v>36889</v>
      </c>
      <c r="B8578">
        <v>1</v>
      </c>
      <c r="C8578">
        <v>8</v>
      </c>
    </row>
    <row r="8579" spans="1:3" x14ac:dyDescent="0.3">
      <c r="A8579">
        <v>36988</v>
      </c>
      <c r="B8579">
        <v>1</v>
      </c>
      <c r="C8579">
        <v>8</v>
      </c>
    </row>
    <row r="8580" spans="1:3" x14ac:dyDescent="0.3">
      <c r="A8580">
        <v>37019</v>
      </c>
      <c r="B8580">
        <v>1</v>
      </c>
      <c r="C8580">
        <v>8</v>
      </c>
    </row>
    <row r="8581" spans="1:3" x14ac:dyDescent="0.3">
      <c r="A8581">
        <v>37137</v>
      </c>
      <c r="B8581">
        <v>1</v>
      </c>
      <c r="C8581">
        <v>8</v>
      </c>
    </row>
    <row r="8582" spans="1:3" x14ac:dyDescent="0.3">
      <c r="A8582">
        <v>37170</v>
      </c>
      <c r="B8582">
        <v>1</v>
      </c>
      <c r="C8582">
        <v>16</v>
      </c>
    </row>
    <row r="8583" spans="1:3" x14ac:dyDescent="0.3">
      <c r="A8583">
        <v>37337</v>
      </c>
      <c r="B8583">
        <v>1</v>
      </c>
      <c r="C8583">
        <v>8</v>
      </c>
    </row>
    <row r="8584" spans="1:3" x14ac:dyDescent="0.3">
      <c r="A8584">
        <v>37403</v>
      </c>
      <c r="B8584">
        <v>2</v>
      </c>
      <c r="C8584">
        <v>16</v>
      </c>
    </row>
    <row r="8585" spans="1:3" x14ac:dyDescent="0.3">
      <c r="A8585">
        <v>37403</v>
      </c>
      <c r="B8585">
        <v>2</v>
      </c>
      <c r="C8585">
        <v>16</v>
      </c>
    </row>
    <row r="8586" spans="1:3" x14ac:dyDescent="0.3">
      <c r="A8586">
        <v>37505</v>
      </c>
      <c r="B8586">
        <v>1</v>
      </c>
      <c r="C8586">
        <v>16</v>
      </c>
    </row>
    <row r="8587" spans="1:3" x14ac:dyDescent="0.3">
      <c r="A8587">
        <v>37706</v>
      </c>
      <c r="B8587">
        <v>1</v>
      </c>
      <c r="C8587">
        <v>8</v>
      </c>
    </row>
    <row r="8588" spans="1:3" x14ac:dyDescent="0.3">
      <c r="A8588">
        <v>37742</v>
      </c>
      <c r="B8588">
        <v>2</v>
      </c>
      <c r="C8588">
        <v>16</v>
      </c>
    </row>
    <row r="8589" spans="1:3" x14ac:dyDescent="0.3">
      <c r="A8589">
        <v>37742</v>
      </c>
      <c r="B8589">
        <v>2</v>
      </c>
      <c r="C8589">
        <v>16</v>
      </c>
    </row>
    <row r="8590" spans="1:3" x14ac:dyDescent="0.3">
      <c r="A8590">
        <v>37746</v>
      </c>
      <c r="B8590">
        <v>1</v>
      </c>
      <c r="C8590">
        <v>8</v>
      </c>
    </row>
    <row r="8591" spans="1:3" x14ac:dyDescent="0.3">
      <c r="A8591">
        <v>37789</v>
      </c>
      <c r="B8591">
        <v>1</v>
      </c>
      <c r="C8591">
        <v>8</v>
      </c>
    </row>
    <row r="8592" spans="1:3" x14ac:dyDescent="0.3">
      <c r="A8592">
        <v>37791</v>
      </c>
      <c r="B8592">
        <v>1</v>
      </c>
      <c r="C8592">
        <v>8</v>
      </c>
    </row>
    <row r="8593" spans="1:3" x14ac:dyDescent="0.3">
      <c r="A8593">
        <v>37908</v>
      </c>
      <c r="B8593">
        <v>1</v>
      </c>
      <c r="C8593">
        <v>16</v>
      </c>
    </row>
    <row r="8594" spans="1:3" x14ac:dyDescent="0.3">
      <c r="A8594">
        <v>37977</v>
      </c>
      <c r="B8594">
        <v>1</v>
      </c>
      <c r="C8594">
        <v>8</v>
      </c>
    </row>
    <row r="8595" spans="1:3" x14ac:dyDescent="0.3">
      <c r="A8595">
        <v>37986</v>
      </c>
      <c r="B8595">
        <v>1</v>
      </c>
      <c r="C8595">
        <v>8</v>
      </c>
    </row>
    <row r="8596" spans="1:3" x14ac:dyDescent="0.3">
      <c r="A8596">
        <v>38141</v>
      </c>
      <c r="B8596">
        <v>1</v>
      </c>
      <c r="C8596">
        <v>8</v>
      </c>
    </row>
    <row r="8597" spans="1:3" x14ac:dyDescent="0.3">
      <c r="A8597">
        <v>38176</v>
      </c>
      <c r="B8597">
        <v>2</v>
      </c>
      <c r="C8597">
        <v>16</v>
      </c>
    </row>
    <row r="8598" spans="1:3" x14ac:dyDescent="0.3">
      <c r="A8598">
        <v>38176</v>
      </c>
      <c r="B8598">
        <v>2</v>
      </c>
      <c r="C8598">
        <v>16</v>
      </c>
    </row>
    <row r="8599" spans="1:3" x14ac:dyDescent="0.3">
      <c r="A8599">
        <v>38246</v>
      </c>
      <c r="B8599">
        <v>1</v>
      </c>
      <c r="C8599">
        <v>8</v>
      </c>
    </row>
    <row r="8600" spans="1:3" x14ac:dyDescent="0.3">
      <c r="A8600">
        <v>38305</v>
      </c>
      <c r="B8600">
        <v>1</v>
      </c>
      <c r="C8600">
        <v>16</v>
      </c>
    </row>
    <row r="8601" spans="1:3" x14ac:dyDescent="0.3">
      <c r="A8601">
        <v>38396</v>
      </c>
      <c r="B8601">
        <v>1</v>
      </c>
      <c r="C8601">
        <v>8</v>
      </c>
    </row>
    <row r="8602" spans="1:3" x14ac:dyDescent="0.3">
      <c r="A8602">
        <v>46669</v>
      </c>
      <c r="B8602">
        <v>2</v>
      </c>
      <c r="C8602">
        <v>16</v>
      </c>
    </row>
    <row r="8603" spans="1:3" x14ac:dyDescent="0.3">
      <c r="A8603">
        <v>46669</v>
      </c>
      <c r="B8603">
        <v>2</v>
      </c>
      <c r="C8603">
        <v>16</v>
      </c>
    </row>
    <row r="8604" spans="1:3" x14ac:dyDescent="0.3">
      <c r="A8604">
        <v>38613</v>
      </c>
      <c r="B8604">
        <v>1</v>
      </c>
      <c r="C8604">
        <v>8</v>
      </c>
    </row>
    <row r="8605" spans="1:3" x14ac:dyDescent="0.3">
      <c r="A8605">
        <v>38616</v>
      </c>
      <c r="B8605">
        <v>1</v>
      </c>
      <c r="C8605">
        <v>16</v>
      </c>
    </row>
    <row r="8606" spans="1:3" x14ac:dyDescent="0.3">
      <c r="A8606">
        <v>38710</v>
      </c>
      <c r="B8606">
        <v>1</v>
      </c>
      <c r="C8606">
        <v>8</v>
      </c>
    </row>
    <row r="8607" spans="1:3" x14ac:dyDescent="0.3">
      <c r="A8607">
        <v>38883</v>
      </c>
      <c r="B8607">
        <v>1</v>
      </c>
      <c r="C8607">
        <v>8</v>
      </c>
    </row>
    <row r="8608" spans="1:3" x14ac:dyDescent="0.3">
      <c r="A8608">
        <v>38885</v>
      </c>
      <c r="B8608">
        <v>2</v>
      </c>
      <c r="C8608">
        <v>16</v>
      </c>
    </row>
    <row r="8609" spans="1:3" x14ac:dyDescent="0.3">
      <c r="A8609">
        <v>38885</v>
      </c>
      <c r="B8609">
        <v>2</v>
      </c>
      <c r="C8609">
        <v>16</v>
      </c>
    </row>
    <row r="8610" spans="1:3" x14ac:dyDescent="0.3">
      <c r="A8610">
        <v>38942</v>
      </c>
      <c r="B8610">
        <v>1</v>
      </c>
      <c r="C8610">
        <v>8</v>
      </c>
    </row>
    <row r="8611" spans="1:3" x14ac:dyDescent="0.3">
      <c r="A8611">
        <v>39120</v>
      </c>
      <c r="B8611">
        <v>1</v>
      </c>
      <c r="C8611">
        <v>16</v>
      </c>
    </row>
    <row r="8612" spans="1:3" x14ac:dyDescent="0.3">
      <c r="A8612">
        <v>39130</v>
      </c>
      <c r="B8612">
        <v>1</v>
      </c>
      <c r="C8612">
        <v>8</v>
      </c>
    </row>
    <row r="8613" spans="1:3" x14ac:dyDescent="0.3">
      <c r="A8613">
        <v>39231</v>
      </c>
      <c r="B8613">
        <v>2</v>
      </c>
      <c r="C8613">
        <v>16</v>
      </c>
    </row>
    <row r="8614" spans="1:3" x14ac:dyDescent="0.3">
      <c r="A8614">
        <v>39231</v>
      </c>
      <c r="B8614">
        <v>2</v>
      </c>
      <c r="C8614">
        <v>16</v>
      </c>
    </row>
    <row r="8615" spans="1:3" x14ac:dyDescent="0.3">
      <c r="A8615">
        <v>39243</v>
      </c>
      <c r="B8615">
        <v>1</v>
      </c>
      <c r="C8615">
        <v>8</v>
      </c>
    </row>
    <row r="8616" spans="1:3" x14ac:dyDescent="0.3">
      <c r="A8616">
        <v>39649</v>
      </c>
      <c r="B8616">
        <v>1</v>
      </c>
      <c r="C8616">
        <v>8</v>
      </c>
    </row>
    <row r="8617" spans="1:3" x14ac:dyDescent="0.3">
      <c r="A8617">
        <v>39679</v>
      </c>
      <c r="B8617">
        <v>1</v>
      </c>
      <c r="C8617">
        <v>8</v>
      </c>
    </row>
    <row r="8618" spans="1:3" x14ac:dyDescent="0.3">
      <c r="A8618">
        <v>39686</v>
      </c>
      <c r="B8618">
        <v>1</v>
      </c>
      <c r="C8618">
        <v>8</v>
      </c>
    </row>
    <row r="8619" spans="1:3" x14ac:dyDescent="0.3">
      <c r="A8619">
        <v>39701</v>
      </c>
      <c r="B8619">
        <v>2</v>
      </c>
      <c r="C8619">
        <v>16</v>
      </c>
    </row>
    <row r="8620" spans="1:3" x14ac:dyDescent="0.3">
      <c r="A8620">
        <v>39701</v>
      </c>
      <c r="B8620">
        <v>2</v>
      </c>
      <c r="C8620">
        <v>16</v>
      </c>
    </row>
    <row r="8621" spans="1:3" x14ac:dyDescent="0.3">
      <c r="A8621">
        <v>39708</v>
      </c>
      <c r="B8621">
        <v>1</v>
      </c>
      <c r="C8621">
        <v>8</v>
      </c>
    </row>
    <row r="8622" spans="1:3" x14ac:dyDescent="0.3">
      <c r="A8622">
        <v>39909</v>
      </c>
      <c r="B8622">
        <v>1</v>
      </c>
      <c r="C8622">
        <v>8</v>
      </c>
    </row>
    <row r="8623" spans="1:3" x14ac:dyDescent="0.3">
      <c r="A8623">
        <v>39954</v>
      </c>
      <c r="B8623">
        <v>1</v>
      </c>
      <c r="C8623">
        <v>16</v>
      </c>
    </row>
    <row r="8624" spans="1:3" x14ac:dyDescent="0.3">
      <c r="A8624">
        <v>40021</v>
      </c>
      <c r="B8624">
        <v>1</v>
      </c>
      <c r="C8624">
        <v>8</v>
      </c>
    </row>
    <row r="8625" spans="1:3" x14ac:dyDescent="0.3">
      <c r="A8625">
        <v>40211</v>
      </c>
      <c r="B8625">
        <v>1</v>
      </c>
      <c r="C8625">
        <v>8</v>
      </c>
    </row>
    <row r="8626" spans="1:3" x14ac:dyDescent="0.3">
      <c r="A8626">
        <v>40287</v>
      </c>
      <c r="B8626">
        <v>1</v>
      </c>
      <c r="C8626">
        <v>16</v>
      </c>
    </row>
    <row r="8627" spans="1:3" x14ac:dyDescent="0.3">
      <c r="A8627">
        <v>40297</v>
      </c>
      <c r="B8627">
        <v>1</v>
      </c>
      <c r="C8627">
        <v>8</v>
      </c>
    </row>
    <row r="8628" spans="1:3" x14ac:dyDescent="0.3">
      <c r="A8628">
        <v>40331</v>
      </c>
      <c r="B8628">
        <v>1</v>
      </c>
      <c r="C8628">
        <v>8</v>
      </c>
    </row>
    <row r="8629" spans="1:3" x14ac:dyDescent="0.3">
      <c r="A8629">
        <v>40365</v>
      </c>
      <c r="B8629">
        <v>2</v>
      </c>
      <c r="C8629">
        <v>16</v>
      </c>
    </row>
    <row r="8630" spans="1:3" x14ac:dyDescent="0.3">
      <c r="A8630">
        <v>40365</v>
      </c>
      <c r="B8630">
        <v>2</v>
      </c>
      <c r="C8630">
        <v>16</v>
      </c>
    </row>
    <row r="8631" spans="1:3" x14ac:dyDescent="0.3">
      <c r="A8631">
        <v>40387</v>
      </c>
      <c r="B8631">
        <v>1</v>
      </c>
      <c r="C8631">
        <v>8</v>
      </c>
    </row>
    <row r="8632" spans="1:3" x14ac:dyDescent="0.3">
      <c r="A8632">
        <v>40406</v>
      </c>
      <c r="B8632">
        <v>1</v>
      </c>
      <c r="C8632">
        <v>8</v>
      </c>
    </row>
    <row r="8633" spans="1:3" x14ac:dyDescent="0.3">
      <c r="A8633">
        <v>40417</v>
      </c>
      <c r="B8633">
        <v>1</v>
      </c>
      <c r="C8633">
        <v>8</v>
      </c>
    </row>
    <row r="8634" spans="1:3" x14ac:dyDescent="0.3">
      <c r="A8634">
        <v>40566</v>
      </c>
      <c r="B8634">
        <v>1</v>
      </c>
      <c r="C8634">
        <v>8</v>
      </c>
    </row>
    <row r="8635" spans="1:3" x14ac:dyDescent="0.3">
      <c r="A8635">
        <v>40653</v>
      </c>
      <c r="B8635">
        <v>1</v>
      </c>
      <c r="C8635">
        <v>8</v>
      </c>
    </row>
    <row r="8636" spans="1:3" x14ac:dyDescent="0.3">
      <c r="A8636">
        <v>40913</v>
      </c>
      <c r="B8636">
        <v>1</v>
      </c>
      <c r="C8636">
        <v>8</v>
      </c>
    </row>
    <row r="8637" spans="1:3" x14ac:dyDescent="0.3">
      <c r="A8637">
        <v>40916</v>
      </c>
      <c r="B8637">
        <v>1</v>
      </c>
      <c r="C8637">
        <v>8</v>
      </c>
    </row>
    <row r="8638" spans="1:3" x14ac:dyDescent="0.3">
      <c r="A8638">
        <v>41104</v>
      </c>
      <c r="B8638">
        <v>2</v>
      </c>
      <c r="C8638">
        <v>16</v>
      </c>
    </row>
    <row r="8639" spans="1:3" x14ac:dyDescent="0.3">
      <c r="A8639">
        <v>41104</v>
      </c>
      <c r="B8639">
        <v>2</v>
      </c>
      <c r="C8639">
        <v>16</v>
      </c>
    </row>
    <row r="8640" spans="1:3" x14ac:dyDescent="0.3">
      <c r="A8640">
        <v>41128</v>
      </c>
      <c r="B8640">
        <v>2</v>
      </c>
      <c r="C8640">
        <v>8</v>
      </c>
    </row>
    <row r="8641" spans="1:3" x14ac:dyDescent="0.3">
      <c r="A8641">
        <v>41128</v>
      </c>
      <c r="B8641">
        <v>2</v>
      </c>
      <c r="C8641">
        <v>8</v>
      </c>
    </row>
    <row r="8642" spans="1:3" x14ac:dyDescent="0.3">
      <c r="A8642">
        <v>41149</v>
      </c>
      <c r="B8642">
        <v>1</v>
      </c>
      <c r="C8642">
        <v>8</v>
      </c>
    </row>
    <row r="8643" spans="1:3" x14ac:dyDescent="0.3">
      <c r="A8643">
        <v>41250</v>
      </c>
      <c r="B8643">
        <v>1</v>
      </c>
      <c r="C8643">
        <v>8</v>
      </c>
    </row>
    <row r="8644" spans="1:3" x14ac:dyDescent="0.3">
      <c r="A8644">
        <v>41280</v>
      </c>
      <c r="B8644">
        <v>1</v>
      </c>
      <c r="C8644">
        <v>8</v>
      </c>
    </row>
    <row r="8645" spans="1:3" x14ac:dyDescent="0.3">
      <c r="A8645">
        <v>41283</v>
      </c>
      <c r="B8645">
        <v>2</v>
      </c>
      <c r="C8645">
        <v>16</v>
      </c>
    </row>
    <row r="8646" spans="1:3" x14ac:dyDescent="0.3">
      <c r="A8646">
        <v>41283</v>
      </c>
      <c r="B8646">
        <v>2</v>
      </c>
      <c r="C8646">
        <v>16</v>
      </c>
    </row>
    <row r="8647" spans="1:3" x14ac:dyDescent="0.3">
      <c r="A8647">
        <v>41309</v>
      </c>
      <c r="B8647">
        <v>2</v>
      </c>
      <c r="C8647">
        <v>8</v>
      </c>
    </row>
    <row r="8648" spans="1:3" x14ac:dyDescent="0.3">
      <c r="A8648">
        <v>41309</v>
      </c>
      <c r="B8648">
        <v>2</v>
      </c>
      <c r="C8648">
        <v>8</v>
      </c>
    </row>
    <row r="8649" spans="1:3" x14ac:dyDescent="0.3">
      <c r="A8649">
        <v>41444</v>
      </c>
      <c r="B8649">
        <v>1</v>
      </c>
      <c r="C8649">
        <v>8</v>
      </c>
    </row>
    <row r="8650" spans="1:3" x14ac:dyDescent="0.3">
      <c r="A8650">
        <v>41623</v>
      </c>
      <c r="B8650">
        <v>1</v>
      </c>
      <c r="C8650">
        <v>16</v>
      </c>
    </row>
    <row r="8651" spans="1:3" x14ac:dyDescent="0.3">
      <c r="A8651">
        <v>41628</v>
      </c>
      <c r="B8651">
        <v>1</v>
      </c>
      <c r="C8651">
        <v>8</v>
      </c>
    </row>
    <row r="8652" spans="1:3" x14ac:dyDescent="0.3">
      <c r="A8652">
        <v>41693</v>
      </c>
      <c r="B8652">
        <v>1</v>
      </c>
      <c r="C8652">
        <v>16</v>
      </c>
    </row>
    <row r="8653" spans="1:3" x14ac:dyDescent="0.3">
      <c r="A8653">
        <v>41719</v>
      </c>
      <c r="B8653">
        <v>1</v>
      </c>
      <c r="C8653">
        <v>8</v>
      </c>
    </row>
    <row r="8654" spans="1:3" x14ac:dyDescent="0.3">
      <c r="A8654">
        <v>41823</v>
      </c>
      <c r="B8654">
        <v>1</v>
      </c>
      <c r="C8654">
        <v>8</v>
      </c>
    </row>
    <row r="8655" spans="1:3" x14ac:dyDescent="0.3">
      <c r="A8655">
        <v>41853</v>
      </c>
      <c r="B8655">
        <v>1</v>
      </c>
      <c r="C8655">
        <v>8</v>
      </c>
    </row>
    <row r="8656" spans="1:3" x14ac:dyDescent="0.3">
      <c r="A8656">
        <v>41856</v>
      </c>
      <c r="B8656">
        <v>1</v>
      </c>
      <c r="C8656">
        <v>16</v>
      </c>
    </row>
    <row r="8657" spans="1:3" x14ac:dyDescent="0.3">
      <c r="A8657">
        <v>42211</v>
      </c>
      <c r="B8657">
        <v>1</v>
      </c>
      <c r="C8657">
        <v>16</v>
      </c>
    </row>
    <row r="8658" spans="1:3" x14ac:dyDescent="0.3">
      <c r="A8658">
        <v>42237</v>
      </c>
      <c r="B8658">
        <v>2</v>
      </c>
      <c r="C8658">
        <v>16</v>
      </c>
    </row>
    <row r="8659" spans="1:3" x14ac:dyDescent="0.3">
      <c r="A8659">
        <v>42237</v>
      </c>
      <c r="B8659">
        <v>2</v>
      </c>
      <c r="C8659">
        <v>16</v>
      </c>
    </row>
    <row r="8660" spans="1:3" x14ac:dyDescent="0.3">
      <c r="A8660">
        <v>42378</v>
      </c>
      <c r="B8660">
        <v>1</v>
      </c>
      <c r="C8660">
        <v>8</v>
      </c>
    </row>
    <row r="8661" spans="1:3" x14ac:dyDescent="0.3">
      <c r="A8661">
        <v>42478</v>
      </c>
      <c r="B8661">
        <v>1</v>
      </c>
      <c r="C8661">
        <v>8</v>
      </c>
    </row>
    <row r="8662" spans="1:3" x14ac:dyDescent="0.3">
      <c r="A8662">
        <v>42904</v>
      </c>
      <c r="B8662">
        <v>1</v>
      </c>
      <c r="C8662">
        <v>8</v>
      </c>
    </row>
    <row r="8663" spans="1:3" x14ac:dyDescent="0.3">
      <c r="A8663">
        <v>43028</v>
      </c>
      <c r="B8663">
        <v>1</v>
      </c>
      <c r="C8663">
        <v>16</v>
      </c>
    </row>
    <row r="8664" spans="1:3" x14ac:dyDescent="0.3">
      <c r="A8664">
        <v>43043</v>
      </c>
      <c r="B8664">
        <v>1</v>
      </c>
      <c r="C8664">
        <v>8</v>
      </c>
    </row>
    <row r="8665" spans="1:3" x14ac:dyDescent="0.3">
      <c r="A8665">
        <v>43075</v>
      </c>
      <c r="B8665">
        <v>1</v>
      </c>
      <c r="C8665">
        <v>8</v>
      </c>
    </row>
    <row r="8666" spans="1:3" x14ac:dyDescent="0.3">
      <c r="A8666">
        <v>43076</v>
      </c>
      <c r="B8666">
        <v>1</v>
      </c>
      <c r="C8666">
        <v>8</v>
      </c>
    </row>
    <row r="8667" spans="1:3" x14ac:dyDescent="0.3">
      <c r="A8667">
        <v>43077</v>
      </c>
      <c r="B8667">
        <v>1</v>
      </c>
      <c r="C8667">
        <v>8</v>
      </c>
    </row>
    <row r="8668" spans="1:3" x14ac:dyDescent="0.3">
      <c r="A8668">
        <v>43161</v>
      </c>
      <c r="B8668">
        <v>1</v>
      </c>
      <c r="C8668">
        <v>8</v>
      </c>
    </row>
    <row r="8669" spans="1:3" x14ac:dyDescent="0.3">
      <c r="A8669">
        <v>43215</v>
      </c>
      <c r="B8669">
        <v>1</v>
      </c>
      <c r="C8669">
        <v>8</v>
      </c>
    </row>
    <row r="8670" spans="1:3" x14ac:dyDescent="0.3">
      <c r="A8670">
        <v>43269</v>
      </c>
      <c r="B8670">
        <v>1</v>
      </c>
      <c r="C8670">
        <v>8</v>
      </c>
    </row>
    <row r="8671" spans="1:3" x14ac:dyDescent="0.3">
      <c r="A8671">
        <v>43326</v>
      </c>
      <c r="B8671">
        <v>1</v>
      </c>
      <c r="C8671">
        <v>8</v>
      </c>
    </row>
    <row r="8672" spans="1:3" x14ac:dyDescent="0.3">
      <c r="A8672">
        <v>43560</v>
      </c>
      <c r="B8672">
        <v>1</v>
      </c>
      <c r="C8672">
        <v>8</v>
      </c>
    </row>
    <row r="8673" spans="1:3" x14ac:dyDescent="0.3">
      <c r="A8673">
        <v>43745</v>
      </c>
      <c r="B8673">
        <v>1</v>
      </c>
      <c r="C8673">
        <v>8</v>
      </c>
    </row>
    <row r="8674" spans="1:3" x14ac:dyDescent="0.3">
      <c r="A8674">
        <v>43991</v>
      </c>
      <c r="B8674">
        <v>1</v>
      </c>
      <c r="C8674">
        <v>8</v>
      </c>
    </row>
    <row r="8675" spans="1:3" x14ac:dyDescent="0.3">
      <c r="A8675">
        <v>43993</v>
      </c>
      <c r="B8675">
        <v>1</v>
      </c>
      <c r="C8675">
        <v>8</v>
      </c>
    </row>
    <row r="8676" spans="1:3" x14ac:dyDescent="0.3">
      <c r="A8676">
        <v>44029</v>
      </c>
      <c r="B8676">
        <v>1</v>
      </c>
      <c r="C8676">
        <v>16</v>
      </c>
    </row>
    <row r="8677" spans="1:3" x14ac:dyDescent="0.3">
      <c r="A8677">
        <v>45370</v>
      </c>
      <c r="B8677">
        <v>3</v>
      </c>
      <c r="C8677">
        <v>16</v>
      </c>
    </row>
    <row r="8678" spans="1:3" x14ac:dyDescent="0.3">
      <c r="A8678">
        <v>45370</v>
      </c>
      <c r="B8678">
        <v>3</v>
      </c>
      <c r="C8678">
        <v>16</v>
      </c>
    </row>
    <row r="8679" spans="1:3" x14ac:dyDescent="0.3">
      <c r="A8679">
        <v>45370</v>
      </c>
      <c r="B8679">
        <v>3</v>
      </c>
      <c r="C8679">
        <v>16</v>
      </c>
    </row>
    <row r="8680" spans="1:3" x14ac:dyDescent="0.3">
      <c r="A8680">
        <v>45639</v>
      </c>
      <c r="B8680">
        <v>1</v>
      </c>
      <c r="C8680">
        <v>8</v>
      </c>
    </row>
    <row r="8681" spans="1:3" x14ac:dyDescent="0.3">
      <c r="A8681">
        <v>45648</v>
      </c>
      <c r="B8681">
        <v>1</v>
      </c>
      <c r="C8681">
        <v>8</v>
      </c>
    </row>
    <row r="8682" spans="1:3" x14ac:dyDescent="0.3">
      <c r="A8682">
        <v>45684</v>
      </c>
      <c r="B8682">
        <v>1</v>
      </c>
      <c r="C8682">
        <v>8</v>
      </c>
    </row>
    <row r="8683" spans="1:3" x14ac:dyDescent="0.3">
      <c r="A8683">
        <v>45911</v>
      </c>
      <c r="B8683">
        <v>1</v>
      </c>
      <c r="C8683">
        <v>8</v>
      </c>
    </row>
    <row r="8684" spans="1:3" x14ac:dyDescent="0.3">
      <c r="A8684">
        <v>45912</v>
      </c>
      <c r="B8684">
        <v>1</v>
      </c>
      <c r="C8684">
        <v>8</v>
      </c>
    </row>
    <row r="8685" spans="1:3" x14ac:dyDescent="0.3">
      <c r="A8685">
        <v>46021</v>
      </c>
      <c r="B8685">
        <v>1</v>
      </c>
      <c r="C8685">
        <v>8</v>
      </c>
    </row>
    <row r="8686" spans="1:3" x14ac:dyDescent="0.3">
      <c r="A8686">
        <v>46057</v>
      </c>
      <c r="B8686">
        <v>1</v>
      </c>
      <c r="C8686">
        <v>8</v>
      </c>
    </row>
    <row r="8687" spans="1:3" x14ac:dyDescent="0.3">
      <c r="A8687">
        <v>46423</v>
      </c>
      <c r="B8687">
        <v>2</v>
      </c>
      <c r="C8687">
        <v>16</v>
      </c>
    </row>
    <row r="8688" spans="1:3" x14ac:dyDescent="0.3">
      <c r="A8688">
        <v>46423</v>
      </c>
      <c r="B8688">
        <v>2</v>
      </c>
      <c r="C8688">
        <v>16</v>
      </c>
    </row>
    <row r="8689" spans="1:3" x14ac:dyDescent="0.3">
      <c r="A8689">
        <v>46463</v>
      </c>
      <c r="B8689">
        <v>1</v>
      </c>
      <c r="C8689">
        <v>8</v>
      </c>
    </row>
    <row r="8690" spans="1:3" x14ac:dyDescent="0.3">
      <c r="A8690">
        <v>50515</v>
      </c>
      <c r="B8690">
        <v>2</v>
      </c>
      <c r="C8690">
        <v>8</v>
      </c>
    </row>
    <row r="8691" spans="1:3" x14ac:dyDescent="0.3">
      <c r="A8691">
        <v>50515</v>
      </c>
      <c r="B8691">
        <v>2</v>
      </c>
      <c r="C8691">
        <v>8</v>
      </c>
    </row>
    <row r="8692" spans="1:3" x14ac:dyDescent="0.3">
      <c r="A8692">
        <v>46882</v>
      </c>
      <c r="B8692">
        <v>1</v>
      </c>
      <c r="C8692">
        <v>8</v>
      </c>
    </row>
    <row r="8693" spans="1:3" x14ac:dyDescent="0.3">
      <c r="A8693">
        <v>46908</v>
      </c>
      <c r="B8693">
        <v>1</v>
      </c>
      <c r="C8693">
        <v>8</v>
      </c>
    </row>
    <row r="8694" spans="1:3" x14ac:dyDescent="0.3">
      <c r="A8694">
        <v>46946</v>
      </c>
      <c r="B8694">
        <v>1</v>
      </c>
      <c r="C8694">
        <v>8</v>
      </c>
    </row>
    <row r="8695" spans="1:3" x14ac:dyDescent="0.3">
      <c r="A8695">
        <v>47001</v>
      </c>
      <c r="B8695">
        <v>1</v>
      </c>
      <c r="C8695">
        <v>8</v>
      </c>
    </row>
    <row r="8696" spans="1:3" x14ac:dyDescent="0.3">
      <c r="A8696">
        <v>47003</v>
      </c>
      <c r="B8696">
        <v>1</v>
      </c>
      <c r="C8696">
        <v>8</v>
      </c>
    </row>
    <row r="8697" spans="1:3" x14ac:dyDescent="0.3">
      <c r="A8697">
        <v>47017</v>
      </c>
      <c r="B8697">
        <v>1</v>
      </c>
      <c r="C8697">
        <v>8</v>
      </c>
    </row>
    <row r="8698" spans="1:3" x14ac:dyDescent="0.3">
      <c r="A8698">
        <v>47020</v>
      </c>
      <c r="B8698">
        <v>1</v>
      </c>
      <c r="C8698">
        <v>16</v>
      </c>
    </row>
    <row r="8699" spans="1:3" x14ac:dyDescent="0.3">
      <c r="A8699">
        <v>47144</v>
      </c>
      <c r="B8699">
        <v>1</v>
      </c>
      <c r="C8699">
        <v>16</v>
      </c>
    </row>
    <row r="8700" spans="1:3" x14ac:dyDescent="0.3">
      <c r="A8700">
        <v>47326</v>
      </c>
      <c r="B8700">
        <v>1</v>
      </c>
      <c r="C8700">
        <v>8</v>
      </c>
    </row>
    <row r="8701" spans="1:3" x14ac:dyDescent="0.3">
      <c r="A8701">
        <v>47379</v>
      </c>
      <c r="B8701">
        <v>1</v>
      </c>
      <c r="C8701">
        <v>8</v>
      </c>
    </row>
    <row r="8702" spans="1:3" x14ac:dyDescent="0.3">
      <c r="A8702">
        <v>47381</v>
      </c>
      <c r="B8702">
        <v>1</v>
      </c>
      <c r="C8702">
        <v>8</v>
      </c>
    </row>
    <row r="8703" spans="1:3" x14ac:dyDescent="0.3">
      <c r="A8703">
        <v>47383</v>
      </c>
      <c r="B8703">
        <v>1</v>
      </c>
      <c r="C8703">
        <v>16</v>
      </c>
    </row>
    <row r="8704" spans="1:3" x14ac:dyDescent="0.3">
      <c r="A8704">
        <v>47545</v>
      </c>
      <c r="B8704">
        <v>1</v>
      </c>
      <c r="C8704">
        <v>8</v>
      </c>
    </row>
    <row r="8705" spans="1:3" x14ac:dyDescent="0.3">
      <c r="A8705">
        <v>47941</v>
      </c>
      <c r="B8705">
        <v>1</v>
      </c>
      <c r="C8705">
        <v>8</v>
      </c>
    </row>
    <row r="8706" spans="1:3" x14ac:dyDescent="0.3">
      <c r="A8706">
        <v>48260</v>
      </c>
      <c r="B8706">
        <v>1</v>
      </c>
      <c r="C8706">
        <v>16</v>
      </c>
    </row>
    <row r="8707" spans="1:3" x14ac:dyDescent="0.3">
      <c r="A8707">
        <v>48289</v>
      </c>
      <c r="B8707">
        <v>1</v>
      </c>
      <c r="C8707">
        <v>8</v>
      </c>
    </row>
    <row r="8708" spans="1:3" x14ac:dyDescent="0.3">
      <c r="A8708">
        <v>48345</v>
      </c>
      <c r="B8708">
        <v>1</v>
      </c>
      <c r="C8708">
        <v>8</v>
      </c>
    </row>
    <row r="8709" spans="1:3" x14ac:dyDescent="0.3">
      <c r="A8709">
        <v>48369</v>
      </c>
      <c r="B8709">
        <v>1</v>
      </c>
      <c r="C8709">
        <v>16</v>
      </c>
    </row>
    <row r="8710" spans="1:3" x14ac:dyDescent="0.3">
      <c r="A8710">
        <v>48499</v>
      </c>
      <c r="B8710">
        <v>1</v>
      </c>
      <c r="C8710">
        <v>8</v>
      </c>
    </row>
    <row r="8711" spans="1:3" x14ac:dyDescent="0.3">
      <c r="A8711">
        <v>48501</v>
      </c>
      <c r="B8711">
        <v>1</v>
      </c>
      <c r="C8711">
        <v>8</v>
      </c>
    </row>
    <row r="8712" spans="1:3" x14ac:dyDescent="0.3">
      <c r="A8712">
        <v>48871</v>
      </c>
      <c r="B8712">
        <v>1</v>
      </c>
      <c r="C8712">
        <v>8</v>
      </c>
    </row>
    <row r="8713" spans="1:3" x14ac:dyDescent="0.3">
      <c r="A8713">
        <v>49076</v>
      </c>
      <c r="B8713">
        <v>1</v>
      </c>
      <c r="C8713">
        <v>16</v>
      </c>
    </row>
    <row r="8714" spans="1:3" x14ac:dyDescent="0.3">
      <c r="A8714">
        <v>49199</v>
      </c>
      <c r="B8714">
        <v>2</v>
      </c>
      <c r="C8714">
        <v>16</v>
      </c>
    </row>
    <row r="8715" spans="1:3" x14ac:dyDescent="0.3">
      <c r="A8715">
        <v>49199</v>
      </c>
      <c r="B8715">
        <v>2</v>
      </c>
      <c r="C8715">
        <v>16</v>
      </c>
    </row>
    <row r="8716" spans="1:3" x14ac:dyDescent="0.3">
      <c r="A8716">
        <v>49217</v>
      </c>
      <c r="B8716">
        <v>1</v>
      </c>
      <c r="C8716">
        <v>8</v>
      </c>
    </row>
    <row r="8717" spans="1:3" x14ac:dyDescent="0.3">
      <c r="A8717">
        <v>49435</v>
      </c>
      <c r="B8717">
        <v>1</v>
      </c>
      <c r="C8717">
        <v>8</v>
      </c>
    </row>
    <row r="8718" spans="1:3" x14ac:dyDescent="0.3">
      <c r="A8718">
        <v>49440</v>
      </c>
      <c r="B8718">
        <v>1</v>
      </c>
      <c r="C8718">
        <v>16</v>
      </c>
    </row>
    <row r="8719" spans="1:3" x14ac:dyDescent="0.3">
      <c r="A8719">
        <v>49559</v>
      </c>
      <c r="B8719">
        <v>1</v>
      </c>
      <c r="C8719">
        <v>8</v>
      </c>
    </row>
    <row r="8720" spans="1:3" x14ac:dyDescent="0.3">
      <c r="A8720">
        <v>49659</v>
      </c>
      <c r="B8720">
        <v>1</v>
      </c>
      <c r="C8720">
        <v>8</v>
      </c>
    </row>
    <row r="8721" spans="1:3" x14ac:dyDescent="0.3">
      <c r="A8721">
        <v>49781</v>
      </c>
      <c r="B8721">
        <v>1</v>
      </c>
      <c r="C8721">
        <v>8</v>
      </c>
    </row>
    <row r="8722" spans="1:3" x14ac:dyDescent="0.3">
      <c r="A8722">
        <v>49801</v>
      </c>
      <c r="B8722">
        <v>1</v>
      </c>
      <c r="C8722">
        <v>8</v>
      </c>
    </row>
    <row r="8723" spans="1:3" x14ac:dyDescent="0.3">
      <c r="A8723">
        <v>49937</v>
      </c>
      <c r="B8723">
        <v>1</v>
      </c>
      <c r="C8723">
        <v>8</v>
      </c>
    </row>
    <row r="8724" spans="1:3" x14ac:dyDescent="0.3">
      <c r="A8724">
        <v>49939</v>
      </c>
      <c r="B8724">
        <v>1</v>
      </c>
      <c r="C8724">
        <v>8</v>
      </c>
    </row>
    <row r="8725" spans="1:3" x14ac:dyDescent="0.3">
      <c r="A8725">
        <v>49942</v>
      </c>
      <c r="B8725">
        <v>1</v>
      </c>
      <c r="C8725">
        <v>8</v>
      </c>
    </row>
    <row r="8726" spans="1:3" x14ac:dyDescent="0.3">
      <c r="A8726">
        <v>49957</v>
      </c>
      <c r="B8726">
        <v>1</v>
      </c>
      <c r="C8726">
        <v>8</v>
      </c>
    </row>
    <row r="8727" spans="1:3" x14ac:dyDescent="0.3">
      <c r="A8727">
        <v>50028</v>
      </c>
      <c r="B8727">
        <v>2</v>
      </c>
      <c r="C8727">
        <v>16</v>
      </c>
    </row>
    <row r="8728" spans="1:3" x14ac:dyDescent="0.3">
      <c r="A8728">
        <v>50028</v>
      </c>
      <c r="B8728">
        <v>2</v>
      </c>
      <c r="C8728">
        <v>16</v>
      </c>
    </row>
    <row r="8729" spans="1:3" x14ac:dyDescent="0.3">
      <c r="A8729">
        <v>50236</v>
      </c>
      <c r="B8729">
        <v>1</v>
      </c>
      <c r="C8729">
        <v>8</v>
      </c>
    </row>
    <row r="8730" spans="1:3" x14ac:dyDescent="0.3">
      <c r="A8730">
        <v>50316</v>
      </c>
      <c r="B8730">
        <v>1</v>
      </c>
      <c r="C8730">
        <v>8</v>
      </c>
    </row>
    <row r="8731" spans="1:3" x14ac:dyDescent="0.3">
      <c r="A8731">
        <v>50339</v>
      </c>
      <c r="B8731">
        <v>1</v>
      </c>
      <c r="C8731">
        <v>8</v>
      </c>
    </row>
    <row r="8732" spans="1:3" x14ac:dyDescent="0.3">
      <c r="A8732">
        <v>50347</v>
      </c>
      <c r="B8732">
        <v>1</v>
      </c>
      <c r="C8732">
        <v>8</v>
      </c>
    </row>
    <row r="8733" spans="1:3" x14ac:dyDescent="0.3">
      <c r="A8733">
        <v>50392</v>
      </c>
      <c r="B8733">
        <v>1</v>
      </c>
      <c r="C8733">
        <v>8</v>
      </c>
    </row>
    <row r="8734" spans="1:3" x14ac:dyDescent="0.3">
      <c r="A8734">
        <v>50444</v>
      </c>
      <c r="B8734">
        <v>1</v>
      </c>
      <c r="C8734">
        <v>16</v>
      </c>
    </row>
    <row r="8735" spans="1:3" x14ac:dyDescent="0.3">
      <c r="A8735">
        <v>51547</v>
      </c>
      <c r="B8735">
        <v>2</v>
      </c>
      <c r="C8735">
        <v>16</v>
      </c>
    </row>
    <row r="8736" spans="1:3" x14ac:dyDescent="0.3">
      <c r="A8736">
        <v>51547</v>
      </c>
      <c r="B8736">
        <v>2</v>
      </c>
      <c r="C8736">
        <v>16</v>
      </c>
    </row>
    <row r="8737" spans="1:3" x14ac:dyDescent="0.3">
      <c r="A8737">
        <v>50527</v>
      </c>
      <c r="B8737">
        <v>1</v>
      </c>
      <c r="C8737">
        <v>8</v>
      </c>
    </row>
    <row r="8738" spans="1:3" x14ac:dyDescent="0.3">
      <c r="A8738">
        <v>50529</v>
      </c>
      <c r="B8738">
        <v>1</v>
      </c>
      <c r="C8738">
        <v>8</v>
      </c>
    </row>
    <row r="8739" spans="1:3" x14ac:dyDescent="0.3">
      <c r="A8739">
        <v>50615</v>
      </c>
      <c r="B8739">
        <v>1</v>
      </c>
      <c r="C8739">
        <v>8</v>
      </c>
    </row>
    <row r="8740" spans="1:3" x14ac:dyDescent="0.3">
      <c r="A8740">
        <v>50617</v>
      </c>
      <c r="B8740">
        <v>1</v>
      </c>
      <c r="C8740">
        <v>8</v>
      </c>
    </row>
    <row r="8741" spans="1:3" x14ac:dyDescent="0.3">
      <c r="A8741">
        <v>50674</v>
      </c>
      <c r="B8741">
        <v>1</v>
      </c>
      <c r="C8741">
        <v>8</v>
      </c>
    </row>
    <row r="8742" spans="1:3" x14ac:dyDescent="0.3">
      <c r="A8742">
        <v>50722</v>
      </c>
      <c r="B8742">
        <v>1</v>
      </c>
      <c r="C8742">
        <v>8</v>
      </c>
    </row>
    <row r="8743" spans="1:3" x14ac:dyDescent="0.3">
      <c r="A8743">
        <v>50734</v>
      </c>
      <c r="B8743">
        <v>1</v>
      </c>
      <c r="C8743">
        <v>8</v>
      </c>
    </row>
    <row r="8744" spans="1:3" x14ac:dyDescent="0.3">
      <c r="A8744">
        <v>50737</v>
      </c>
      <c r="B8744">
        <v>2</v>
      </c>
      <c r="C8744">
        <v>16</v>
      </c>
    </row>
    <row r="8745" spans="1:3" x14ac:dyDescent="0.3">
      <c r="A8745">
        <v>50737</v>
      </c>
      <c r="B8745">
        <v>2</v>
      </c>
      <c r="C8745">
        <v>16</v>
      </c>
    </row>
    <row r="8746" spans="1:3" x14ac:dyDescent="0.3">
      <c r="A8746">
        <v>50832</v>
      </c>
      <c r="B8746">
        <v>1</v>
      </c>
      <c r="C8746">
        <v>8</v>
      </c>
    </row>
    <row r="8747" spans="1:3" x14ac:dyDescent="0.3">
      <c r="A8747">
        <v>50837</v>
      </c>
      <c r="B8747">
        <v>1</v>
      </c>
      <c r="C8747">
        <v>16</v>
      </c>
    </row>
    <row r="8748" spans="1:3" x14ac:dyDescent="0.3">
      <c r="A8748">
        <v>50889</v>
      </c>
      <c r="B8748">
        <v>1</v>
      </c>
      <c r="C8748">
        <v>8</v>
      </c>
    </row>
    <row r="8749" spans="1:3" x14ac:dyDescent="0.3">
      <c r="A8749">
        <v>51006</v>
      </c>
      <c r="B8749">
        <v>1</v>
      </c>
      <c r="C8749">
        <v>8</v>
      </c>
    </row>
    <row r="8750" spans="1:3" x14ac:dyDescent="0.3">
      <c r="A8750">
        <v>51013</v>
      </c>
      <c r="B8750">
        <v>2</v>
      </c>
      <c r="C8750">
        <v>16</v>
      </c>
    </row>
    <row r="8751" spans="1:3" x14ac:dyDescent="0.3">
      <c r="A8751">
        <v>51013</v>
      </c>
      <c r="B8751">
        <v>2</v>
      </c>
      <c r="C8751">
        <v>16</v>
      </c>
    </row>
    <row r="8752" spans="1:3" x14ac:dyDescent="0.3">
      <c r="A8752">
        <v>51073</v>
      </c>
      <c r="B8752">
        <v>1</v>
      </c>
      <c r="C8752">
        <v>8</v>
      </c>
    </row>
    <row r="8753" spans="1:3" x14ac:dyDescent="0.3">
      <c r="A8753">
        <v>51079</v>
      </c>
      <c r="B8753">
        <v>1</v>
      </c>
      <c r="C8753">
        <v>8</v>
      </c>
    </row>
    <row r="8754" spans="1:3" x14ac:dyDescent="0.3">
      <c r="A8754">
        <v>51206</v>
      </c>
      <c r="B8754">
        <v>1</v>
      </c>
      <c r="C8754">
        <v>8</v>
      </c>
    </row>
    <row r="8755" spans="1:3" x14ac:dyDescent="0.3">
      <c r="A8755">
        <v>51395</v>
      </c>
      <c r="B8755">
        <v>2</v>
      </c>
      <c r="C8755">
        <v>16</v>
      </c>
    </row>
    <row r="8756" spans="1:3" x14ac:dyDescent="0.3">
      <c r="A8756">
        <v>51395</v>
      </c>
      <c r="B8756">
        <v>2</v>
      </c>
      <c r="C8756">
        <v>16</v>
      </c>
    </row>
    <row r="8757" spans="1:3" x14ac:dyDescent="0.3">
      <c r="A8757">
        <v>51468</v>
      </c>
      <c r="B8757">
        <v>1</v>
      </c>
      <c r="C8757">
        <v>8</v>
      </c>
    </row>
    <row r="8758" spans="1:3" x14ac:dyDescent="0.3">
      <c r="A8758">
        <v>51513</v>
      </c>
      <c r="B8758">
        <v>1</v>
      </c>
      <c r="C8758">
        <v>8</v>
      </c>
    </row>
    <row r="8759" spans="1:3" x14ac:dyDescent="0.3">
      <c r="A8759">
        <v>66117</v>
      </c>
      <c r="B8759">
        <v>2</v>
      </c>
      <c r="C8759">
        <v>16</v>
      </c>
    </row>
    <row r="8760" spans="1:3" x14ac:dyDescent="0.3">
      <c r="A8760">
        <v>66117</v>
      </c>
      <c r="B8760">
        <v>2</v>
      </c>
      <c r="C8760">
        <v>16</v>
      </c>
    </row>
    <row r="8761" spans="1:3" x14ac:dyDescent="0.3">
      <c r="A8761">
        <v>51951</v>
      </c>
      <c r="B8761">
        <v>1</v>
      </c>
      <c r="C8761">
        <v>8</v>
      </c>
    </row>
    <row r="8762" spans="1:3" x14ac:dyDescent="0.3">
      <c r="A8762">
        <v>51967</v>
      </c>
      <c r="B8762">
        <v>1</v>
      </c>
      <c r="C8762">
        <v>8</v>
      </c>
    </row>
    <row r="8763" spans="1:3" x14ac:dyDescent="0.3">
      <c r="A8763">
        <v>52004</v>
      </c>
      <c r="B8763">
        <v>1</v>
      </c>
      <c r="C8763">
        <v>8</v>
      </c>
    </row>
    <row r="8764" spans="1:3" x14ac:dyDescent="0.3">
      <c r="A8764">
        <v>52034</v>
      </c>
      <c r="B8764">
        <v>1</v>
      </c>
      <c r="C8764">
        <v>16</v>
      </c>
    </row>
    <row r="8765" spans="1:3" x14ac:dyDescent="0.3">
      <c r="A8765">
        <v>52225</v>
      </c>
      <c r="B8765">
        <v>1</v>
      </c>
      <c r="C8765">
        <v>16</v>
      </c>
    </row>
    <row r="8766" spans="1:3" x14ac:dyDescent="0.3">
      <c r="A8766">
        <v>52238</v>
      </c>
      <c r="B8766">
        <v>1</v>
      </c>
      <c r="C8766">
        <v>8</v>
      </c>
    </row>
    <row r="8767" spans="1:3" x14ac:dyDescent="0.3">
      <c r="A8767">
        <v>52290</v>
      </c>
      <c r="B8767">
        <v>1</v>
      </c>
      <c r="C8767">
        <v>8</v>
      </c>
    </row>
    <row r="8768" spans="1:3" x14ac:dyDescent="0.3">
      <c r="A8768">
        <v>52292</v>
      </c>
      <c r="B8768">
        <v>1</v>
      </c>
      <c r="C8768">
        <v>8</v>
      </c>
    </row>
    <row r="8769" spans="1:3" x14ac:dyDescent="0.3">
      <c r="A8769">
        <v>52330</v>
      </c>
      <c r="B8769">
        <v>2</v>
      </c>
      <c r="C8769">
        <v>16</v>
      </c>
    </row>
    <row r="8770" spans="1:3" x14ac:dyDescent="0.3">
      <c r="A8770">
        <v>52330</v>
      </c>
      <c r="B8770">
        <v>2</v>
      </c>
      <c r="C8770">
        <v>16</v>
      </c>
    </row>
    <row r="8771" spans="1:3" x14ac:dyDescent="0.3">
      <c r="A8771">
        <v>52368</v>
      </c>
      <c r="B8771">
        <v>1</v>
      </c>
      <c r="C8771">
        <v>8</v>
      </c>
    </row>
    <row r="8772" spans="1:3" x14ac:dyDescent="0.3">
      <c r="A8772">
        <v>52383</v>
      </c>
      <c r="B8772">
        <v>1</v>
      </c>
      <c r="C8772">
        <v>8</v>
      </c>
    </row>
    <row r="8773" spans="1:3" x14ac:dyDescent="0.3">
      <c r="A8773">
        <v>52403</v>
      </c>
      <c r="B8773">
        <v>1</v>
      </c>
      <c r="C8773">
        <v>16</v>
      </c>
    </row>
    <row r="8774" spans="1:3" x14ac:dyDescent="0.3">
      <c r="A8774">
        <v>52411</v>
      </c>
      <c r="B8774">
        <v>1</v>
      </c>
      <c r="C8774">
        <v>8</v>
      </c>
    </row>
    <row r="8775" spans="1:3" x14ac:dyDescent="0.3">
      <c r="A8775">
        <v>52423</v>
      </c>
      <c r="B8775">
        <v>1</v>
      </c>
      <c r="C8775">
        <v>16</v>
      </c>
    </row>
    <row r="8776" spans="1:3" x14ac:dyDescent="0.3">
      <c r="A8776">
        <v>52434</v>
      </c>
      <c r="B8776">
        <v>1</v>
      </c>
      <c r="C8776">
        <v>8</v>
      </c>
    </row>
    <row r="8777" spans="1:3" x14ac:dyDescent="0.3">
      <c r="A8777">
        <v>52523</v>
      </c>
      <c r="B8777">
        <v>1</v>
      </c>
      <c r="C8777">
        <v>8</v>
      </c>
    </row>
    <row r="8778" spans="1:3" x14ac:dyDescent="0.3">
      <c r="A8778">
        <v>52534</v>
      </c>
      <c r="B8778">
        <v>1</v>
      </c>
      <c r="C8778">
        <v>8</v>
      </c>
    </row>
    <row r="8779" spans="1:3" x14ac:dyDescent="0.3">
      <c r="A8779">
        <v>52558</v>
      </c>
      <c r="B8779">
        <v>1</v>
      </c>
      <c r="C8779">
        <v>8</v>
      </c>
    </row>
    <row r="8780" spans="1:3" x14ac:dyDescent="0.3">
      <c r="A8780">
        <v>52607</v>
      </c>
      <c r="B8780">
        <v>1</v>
      </c>
      <c r="C8780">
        <v>8</v>
      </c>
    </row>
    <row r="8781" spans="1:3" x14ac:dyDescent="0.3">
      <c r="A8781">
        <v>52610</v>
      </c>
      <c r="B8781">
        <v>1</v>
      </c>
      <c r="C8781">
        <v>8</v>
      </c>
    </row>
    <row r="8782" spans="1:3" x14ac:dyDescent="0.3">
      <c r="A8782">
        <v>52626</v>
      </c>
      <c r="B8782">
        <v>1</v>
      </c>
      <c r="C8782">
        <v>8</v>
      </c>
    </row>
    <row r="8783" spans="1:3" x14ac:dyDescent="0.3">
      <c r="A8783">
        <v>52891</v>
      </c>
      <c r="B8783">
        <v>1</v>
      </c>
      <c r="C8783">
        <v>8</v>
      </c>
    </row>
    <row r="8784" spans="1:3" x14ac:dyDescent="0.3">
      <c r="A8784">
        <v>52897</v>
      </c>
      <c r="B8784">
        <v>1</v>
      </c>
      <c r="C8784">
        <v>16</v>
      </c>
    </row>
    <row r="8785" spans="1:3" x14ac:dyDescent="0.3">
      <c r="A8785">
        <v>52936</v>
      </c>
      <c r="B8785">
        <v>1</v>
      </c>
      <c r="C8785">
        <v>8</v>
      </c>
    </row>
    <row r="8786" spans="1:3" x14ac:dyDescent="0.3">
      <c r="A8786">
        <v>52971</v>
      </c>
      <c r="B8786">
        <v>1</v>
      </c>
      <c r="C8786">
        <v>8</v>
      </c>
    </row>
    <row r="8787" spans="1:3" x14ac:dyDescent="0.3">
      <c r="A8787">
        <v>52976</v>
      </c>
      <c r="B8787">
        <v>1</v>
      </c>
      <c r="C8787">
        <v>8</v>
      </c>
    </row>
    <row r="8788" spans="1:3" x14ac:dyDescent="0.3">
      <c r="A8788">
        <v>52988</v>
      </c>
      <c r="B8788">
        <v>1</v>
      </c>
      <c r="C8788">
        <v>8</v>
      </c>
    </row>
    <row r="8789" spans="1:3" x14ac:dyDescent="0.3">
      <c r="A8789">
        <v>53011</v>
      </c>
      <c r="B8789">
        <v>1</v>
      </c>
      <c r="C8789">
        <v>8</v>
      </c>
    </row>
    <row r="8790" spans="1:3" x14ac:dyDescent="0.3">
      <c r="A8790">
        <v>53025</v>
      </c>
      <c r="B8790">
        <v>1</v>
      </c>
      <c r="C8790">
        <v>16</v>
      </c>
    </row>
    <row r="8791" spans="1:3" x14ac:dyDescent="0.3">
      <c r="A8791">
        <v>53437</v>
      </c>
      <c r="B8791">
        <v>1</v>
      </c>
      <c r="C8791">
        <v>8</v>
      </c>
    </row>
    <row r="8792" spans="1:3" x14ac:dyDescent="0.3">
      <c r="A8792">
        <v>53460</v>
      </c>
      <c r="B8792">
        <v>1</v>
      </c>
      <c r="C8792">
        <v>8</v>
      </c>
    </row>
    <row r="8793" spans="1:3" x14ac:dyDescent="0.3">
      <c r="A8793">
        <v>53522</v>
      </c>
      <c r="B8793">
        <v>1</v>
      </c>
      <c r="C8793">
        <v>8</v>
      </c>
    </row>
    <row r="8794" spans="1:3" x14ac:dyDescent="0.3">
      <c r="A8794">
        <v>53706</v>
      </c>
      <c r="B8794">
        <v>1</v>
      </c>
      <c r="C8794">
        <v>8</v>
      </c>
    </row>
    <row r="8795" spans="1:3" x14ac:dyDescent="0.3">
      <c r="A8795">
        <v>53856</v>
      </c>
      <c r="B8795">
        <v>1</v>
      </c>
      <c r="C8795">
        <v>16</v>
      </c>
    </row>
    <row r="8796" spans="1:3" x14ac:dyDescent="0.3">
      <c r="A8796">
        <v>54140</v>
      </c>
      <c r="B8796">
        <v>1</v>
      </c>
      <c r="C8796">
        <v>8</v>
      </c>
    </row>
    <row r="8797" spans="1:3" x14ac:dyDescent="0.3">
      <c r="A8797">
        <v>54158</v>
      </c>
      <c r="B8797">
        <v>1</v>
      </c>
      <c r="C8797">
        <v>8</v>
      </c>
    </row>
    <row r="8798" spans="1:3" x14ac:dyDescent="0.3">
      <c r="A8798">
        <v>54279</v>
      </c>
      <c r="B8798">
        <v>1</v>
      </c>
      <c r="C8798">
        <v>8</v>
      </c>
    </row>
    <row r="8799" spans="1:3" x14ac:dyDescent="0.3">
      <c r="A8799">
        <v>54559</v>
      </c>
      <c r="B8799">
        <v>1</v>
      </c>
      <c r="C8799">
        <v>8</v>
      </c>
    </row>
    <row r="8800" spans="1:3" x14ac:dyDescent="0.3">
      <c r="A8800">
        <v>54699</v>
      </c>
      <c r="B8800">
        <v>1</v>
      </c>
      <c r="C8800">
        <v>8</v>
      </c>
    </row>
    <row r="8801" spans="1:3" x14ac:dyDescent="0.3">
      <c r="A8801">
        <v>55128</v>
      </c>
      <c r="B8801">
        <v>1</v>
      </c>
      <c r="C8801">
        <v>8</v>
      </c>
    </row>
    <row r="8802" spans="1:3" x14ac:dyDescent="0.3">
      <c r="A8802" s="26">
        <v>55149</v>
      </c>
      <c r="B8802" s="26">
        <v>1</v>
      </c>
      <c r="C8802" s="26">
        <v>8</v>
      </c>
    </row>
    <row r="8803" spans="1:3" x14ac:dyDescent="0.3">
      <c r="A8803">
        <v>55273</v>
      </c>
      <c r="B8803">
        <v>2</v>
      </c>
      <c r="C8803">
        <v>16</v>
      </c>
    </row>
    <row r="8804" spans="1:3" x14ac:dyDescent="0.3">
      <c r="A8804">
        <v>55273</v>
      </c>
      <c r="B8804">
        <v>2</v>
      </c>
      <c r="C8804">
        <v>16</v>
      </c>
    </row>
    <row r="8805" spans="1:3" x14ac:dyDescent="0.3">
      <c r="A8805">
        <v>55275</v>
      </c>
      <c r="B8805">
        <v>1</v>
      </c>
      <c r="C8805">
        <v>8</v>
      </c>
    </row>
    <row r="8806" spans="1:3" x14ac:dyDescent="0.3">
      <c r="A8806">
        <v>55331</v>
      </c>
      <c r="B8806">
        <v>1</v>
      </c>
      <c r="C8806">
        <v>16</v>
      </c>
    </row>
    <row r="8807" spans="1:3" x14ac:dyDescent="0.3">
      <c r="A8807">
        <v>55447</v>
      </c>
      <c r="B8807">
        <v>1</v>
      </c>
      <c r="C8807">
        <v>16</v>
      </c>
    </row>
    <row r="8808" spans="1:3" x14ac:dyDescent="0.3">
      <c r="A8808">
        <v>56145</v>
      </c>
      <c r="B8808">
        <v>1</v>
      </c>
      <c r="C8808">
        <v>8</v>
      </c>
    </row>
    <row r="8809" spans="1:3" x14ac:dyDescent="0.3">
      <c r="A8809">
        <v>56389</v>
      </c>
      <c r="B8809">
        <v>2</v>
      </c>
      <c r="C8809">
        <v>16</v>
      </c>
    </row>
    <row r="8810" spans="1:3" x14ac:dyDescent="0.3">
      <c r="A8810">
        <v>56389</v>
      </c>
      <c r="B8810">
        <v>2</v>
      </c>
      <c r="C8810">
        <v>16</v>
      </c>
    </row>
    <row r="8811" spans="1:3" x14ac:dyDescent="0.3">
      <c r="A8811">
        <v>56738</v>
      </c>
      <c r="B8811">
        <v>1</v>
      </c>
      <c r="C8811">
        <v>8</v>
      </c>
    </row>
    <row r="8812" spans="1:3" x14ac:dyDescent="0.3">
      <c r="A8812">
        <v>56776</v>
      </c>
      <c r="B8812">
        <v>1</v>
      </c>
      <c r="C8812">
        <v>8</v>
      </c>
    </row>
    <row r="8813" spans="1:3" x14ac:dyDescent="0.3">
      <c r="A8813">
        <v>56930</v>
      </c>
      <c r="B8813">
        <v>1</v>
      </c>
      <c r="C8813">
        <v>8</v>
      </c>
    </row>
    <row r="8814" spans="1:3" x14ac:dyDescent="0.3">
      <c r="A8814">
        <v>57221</v>
      </c>
      <c r="B8814">
        <v>1</v>
      </c>
      <c r="C8814">
        <v>8</v>
      </c>
    </row>
    <row r="8815" spans="1:3" x14ac:dyDescent="0.3">
      <c r="A8815">
        <v>57298</v>
      </c>
      <c r="B8815">
        <v>1</v>
      </c>
      <c r="C8815">
        <v>16</v>
      </c>
    </row>
    <row r="8816" spans="1:3" x14ac:dyDescent="0.3">
      <c r="A8816">
        <v>57300</v>
      </c>
      <c r="B8816">
        <v>1</v>
      </c>
      <c r="C8816">
        <v>8</v>
      </c>
    </row>
    <row r="8817" spans="1:3" x14ac:dyDescent="0.3">
      <c r="A8817">
        <v>57375</v>
      </c>
      <c r="B8817">
        <v>1</v>
      </c>
      <c r="C8817">
        <v>16</v>
      </c>
    </row>
    <row r="8818" spans="1:3" x14ac:dyDescent="0.3">
      <c r="A8818">
        <v>57455</v>
      </c>
      <c r="B8818">
        <v>1</v>
      </c>
      <c r="C8818">
        <v>8</v>
      </c>
    </row>
    <row r="8819" spans="1:3" x14ac:dyDescent="0.3">
      <c r="A8819">
        <v>57458</v>
      </c>
      <c r="B8819">
        <v>1</v>
      </c>
      <c r="C8819">
        <v>8</v>
      </c>
    </row>
    <row r="8820" spans="1:3" x14ac:dyDescent="0.3">
      <c r="A8820">
        <v>57469</v>
      </c>
      <c r="B8820">
        <v>1</v>
      </c>
      <c r="C8820">
        <v>16</v>
      </c>
    </row>
    <row r="8821" spans="1:3" x14ac:dyDescent="0.3">
      <c r="A8821">
        <v>57675</v>
      </c>
      <c r="B8821">
        <v>1</v>
      </c>
      <c r="C8821">
        <v>8</v>
      </c>
    </row>
    <row r="8822" spans="1:3" x14ac:dyDescent="0.3">
      <c r="A8822">
        <v>57695</v>
      </c>
      <c r="B8822">
        <v>1</v>
      </c>
      <c r="C8822">
        <v>8</v>
      </c>
    </row>
    <row r="8823" spans="1:3" x14ac:dyDescent="0.3">
      <c r="A8823">
        <v>57698</v>
      </c>
      <c r="B8823">
        <v>1</v>
      </c>
      <c r="C8823">
        <v>16</v>
      </c>
    </row>
    <row r="8824" spans="1:3" x14ac:dyDescent="0.3">
      <c r="A8824">
        <v>57723</v>
      </c>
      <c r="B8824">
        <v>1</v>
      </c>
      <c r="C8824">
        <v>8</v>
      </c>
    </row>
    <row r="8825" spans="1:3" x14ac:dyDescent="0.3">
      <c r="A8825">
        <v>57780</v>
      </c>
      <c r="B8825">
        <v>1</v>
      </c>
      <c r="C8825">
        <v>8</v>
      </c>
    </row>
    <row r="8826" spans="1:3" x14ac:dyDescent="0.3">
      <c r="A8826">
        <v>57804</v>
      </c>
      <c r="B8826">
        <v>1</v>
      </c>
      <c r="C8826">
        <v>8</v>
      </c>
    </row>
    <row r="8827" spans="1:3" x14ac:dyDescent="0.3">
      <c r="A8827">
        <v>57851</v>
      </c>
      <c r="B8827">
        <v>1</v>
      </c>
      <c r="C8827">
        <v>8</v>
      </c>
    </row>
    <row r="8828" spans="1:3" x14ac:dyDescent="0.3">
      <c r="A8828">
        <v>57863</v>
      </c>
      <c r="B8828">
        <v>1</v>
      </c>
      <c r="C8828">
        <v>8</v>
      </c>
    </row>
    <row r="8829" spans="1:3" x14ac:dyDescent="0.3">
      <c r="A8829">
        <v>58206</v>
      </c>
      <c r="B8829">
        <v>1</v>
      </c>
      <c r="C8829">
        <v>16</v>
      </c>
    </row>
    <row r="8830" spans="1:3" x14ac:dyDescent="0.3">
      <c r="A8830">
        <v>58299</v>
      </c>
      <c r="B8830">
        <v>1</v>
      </c>
      <c r="C8830">
        <v>16</v>
      </c>
    </row>
    <row r="8831" spans="1:3" x14ac:dyDescent="0.3">
      <c r="A8831">
        <v>58314</v>
      </c>
      <c r="B8831">
        <v>1</v>
      </c>
      <c r="C8831">
        <v>8</v>
      </c>
    </row>
    <row r="8832" spans="1:3" x14ac:dyDescent="0.3">
      <c r="A8832">
        <v>58318</v>
      </c>
      <c r="B8832">
        <v>1</v>
      </c>
      <c r="C8832">
        <v>8</v>
      </c>
    </row>
    <row r="8833" spans="1:3" x14ac:dyDescent="0.3">
      <c r="A8833">
        <v>58324</v>
      </c>
      <c r="B8833">
        <v>1</v>
      </c>
      <c r="C8833">
        <v>8</v>
      </c>
    </row>
    <row r="8834" spans="1:3" x14ac:dyDescent="0.3">
      <c r="A8834">
        <v>58355</v>
      </c>
      <c r="B8834">
        <v>1</v>
      </c>
      <c r="C8834">
        <v>8</v>
      </c>
    </row>
    <row r="8835" spans="1:3" x14ac:dyDescent="0.3">
      <c r="A8835">
        <v>58492</v>
      </c>
      <c r="B8835">
        <v>1</v>
      </c>
      <c r="C8835">
        <v>8</v>
      </c>
    </row>
    <row r="8836" spans="1:3" x14ac:dyDescent="0.3">
      <c r="A8836">
        <v>58502</v>
      </c>
      <c r="B8836">
        <v>1</v>
      </c>
      <c r="C8836">
        <v>8</v>
      </c>
    </row>
    <row r="8837" spans="1:3" x14ac:dyDescent="0.3">
      <c r="A8837">
        <v>58552</v>
      </c>
      <c r="B8837">
        <v>1</v>
      </c>
      <c r="C8837">
        <v>8</v>
      </c>
    </row>
    <row r="8838" spans="1:3" x14ac:dyDescent="0.3">
      <c r="A8838">
        <v>58864</v>
      </c>
      <c r="B8838">
        <v>1</v>
      </c>
      <c r="C8838">
        <v>8</v>
      </c>
    </row>
    <row r="8839" spans="1:3" x14ac:dyDescent="0.3">
      <c r="A8839">
        <v>58882</v>
      </c>
      <c r="B8839">
        <v>1</v>
      </c>
      <c r="C8839">
        <v>8</v>
      </c>
    </row>
    <row r="8840" spans="1:3" x14ac:dyDescent="0.3">
      <c r="A8840">
        <v>58954</v>
      </c>
      <c r="B8840">
        <v>1</v>
      </c>
      <c r="C8840">
        <v>8</v>
      </c>
    </row>
    <row r="8841" spans="1:3" x14ac:dyDescent="0.3">
      <c r="A8841">
        <v>58956</v>
      </c>
      <c r="B8841">
        <v>1</v>
      </c>
      <c r="C8841">
        <v>8</v>
      </c>
    </row>
    <row r="8842" spans="1:3" x14ac:dyDescent="0.3">
      <c r="A8842">
        <v>58969</v>
      </c>
      <c r="B8842">
        <v>1</v>
      </c>
      <c r="C8842">
        <v>8</v>
      </c>
    </row>
    <row r="8843" spans="1:3" x14ac:dyDescent="0.3">
      <c r="A8843">
        <v>58971</v>
      </c>
      <c r="B8843">
        <v>1</v>
      </c>
      <c r="C8843">
        <v>8</v>
      </c>
    </row>
    <row r="8844" spans="1:3" x14ac:dyDescent="0.3">
      <c r="A8844">
        <v>59034</v>
      </c>
      <c r="B8844">
        <v>1</v>
      </c>
      <c r="C8844">
        <v>8</v>
      </c>
    </row>
    <row r="8845" spans="1:3" x14ac:dyDescent="0.3">
      <c r="A8845">
        <v>59054</v>
      </c>
      <c r="B8845">
        <v>1</v>
      </c>
      <c r="C8845">
        <v>8</v>
      </c>
    </row>
    <row r="8846" spans="1:3" x14ac:dyDescent="0.3">
      <c r="A8846">
        <v>59146</v>
      </c>
      <c r="B8846">
        <v>1</v>
      </c>
      <c r="C8846">
        <v>8</v>
      </c>
    </row>
    <row r="8847" spans="1:3" x14ac:dyDescent="0.3">
      <c r="A8847">
        <v>59516</v>
      </c>
      <c r="B8847">
        <v>1</v>
      </c>
      <c r="C8847">
        <v>8</v>
      </c>
    </row>
    <row r="8848" spans="1:3" x14ac:dyDescent="0.3">
      <c r="A8848">
        <v>59521</v>
      </c>
      <c r="B8848">
        <v>2</v>
      </c>
      <c r="C8848">
        <v>16</v>
      </c>
    </row>
    <row r="8849" spans="1:3" x14ac:dyDescent="0.3">
      <c r="A8849">
        <v>59521</v>
      </c>
      <c r="B8849">
        <v>2</v>
      </c>
      <c r="C8849">
        <v>16</v>
      </c>
    </row>
    <row r="8850" spans="1:3" x14ac:dyDescent="0.3">
      <c r="A8850">
        <v>59642</v>
      </c>
      <c r="B8850">
        <v>1</v>
      </c>
      <c r="C8850">
        <v>8</v>
      </c>
    </row>
    <row r="8851" spans="1:3" x14ac:dyDescent="0.3">
      <c r="A8851">
        <v>59644</v>
      </c>
      <c r="B8851">
        <v>1</v>
      </c>
      <c r="C8851">
        <v>16</v>
      </c>
    </row>
    <row r="8852" spans="1:3" x14ac:dyDescent="0.3">
      <c r="A8852">
        <v>59645</v>
      </c>
      <c r="B8852">
        <v>1</v>
      </c>
      <c r="C8852">
        <v>8</v>
      </c>
    </row>
    <row r="8853" spans="1:3" x14ac:dyDescent="0.3">
      <c r="A8853">
        <v>59697</v>
      </c>
      <c r="B8853">
        <v>1</v>
      </c>
      <c r="C8853">
        <v>8</v>
      </c>
    </row>
    <row r="8854" spans="1:3" x14ac:dyDescent="0.3">
      <c r="A8854">
        <v>59698</v>
      </c>
      <c r="B8854">
        <v>1</v>
      </c>
      <c r="C8854">
        <v>8</v>
      </c>
    </row>
    <row r="8855" spans="1:3" x14ac:dyDescent="0.3">
      <c r="A8855">
        <v>59846</v>
      </c>
      <c r="B8855">
        <v>1</v>
      </c>
      <c r="C8855">
        <v>8</v>
      </c>
    </row>
    <row r="8856" spans="1:3" x14ac:dyDescent="0.3">
      <c r="A8856">
        <v>59864</v>
      </c>
      <c r="B8856">
        <v>1</v>
      </c>
      <c r="C8856">
        <v>8</v>
      </c>
    </row>
    <row r="8857" spans="1:3" x14ac:dyDescent="0.3">
      <c r="A8857">
        <v>59881</v>
      </c>
      <c r="B8857">
        <v>2</v>
      </c>
      <c r="C8857">
        <v>16</v>
      </c>
    </row>
    <row r="8858" spans="1:3" x14ac:dyDescent="0.3">
      <c r="A8858">
        <v>59881</v>
      </c>
      <c r="B8858">
        <v>2</v>
      </c>
      <c r="C8858">
        <v>16</v>
      </c>
    </row>
    <row r="8859" spans="1:3" x14ac:dyDescent="0.3">
      <c r="A8859">
        <v>59882</v>
      </c>
      <c r="B8859">
        <v>2</v>
      </c>
      <c r="C8859">
        <v>8</v>
      </c>
    </row>
    <row r="8860" spans="1:3" x14ac:dyDescent="0.3">
      <c r="A8860">
        <v>59882</v>
      </c>
      <c r="B8860">
        <v>2</v>
      </c>
      <c r="C8860">
        <v>8</v>
      </c>
    </row>
    <row r="8861" spans="1:3" x14ac:dyDescent="0.3">
      <c r="A8861">
        <v>59968</v>
      </c>
      <c r="B8861">
        <v>1</v>
      </c>
      <c r="C8861">
        <v>8</v>
      </c>
    </row>
    <row r="8862" spans="1:3" x14ac:dyDescent="0.3">
      <c r="A8862">
        <v>60046</v>
      </c>
      <c r="B8862">
        <v>1</v>
      </c>
      <c r="C8862">
        <v>8</v>
      </c>
    </row>
    <row r="8863" spans="1:3" x14ac:dyDescent="0.3">
      <c r="A8863">
        <v>60051</v>
      </c>
      <c r="B8863">
        <v>1</v>
      </c>
      <c r="C8863">
        <v>16</v>
      </c>
    </row>
    <row r="8864" spans="1:3" x14ac:dyDescent="0.3">
      <c r="A8864">
        <v>60070</v>
      </c>
      <c r="B8864">
        <v>1</v>
      </c>
      <c r="C8864">
        <v>8</v>
      </c>
    </row>
    <row r="8865" spans="1:3" x14ac:dyDescent="0.3">
      <c r="A8865">
        <v>60122</v>
      </c>
      <c r="B8865">
        <v>1</v>
      </c>
      <c r="C8865">
        <v>8</v>
      </c>
    </row>
    <row r="8866" spans="1:3" x14ac:dyDescent="0.3">
      <c r="A8866">
        <v>60208</v>
      </c>
      <c r="B8866">
        <v>1</v>
      </c>
      <c r="C8866">
        <v>8</v>
      </c>
    </row>
    <row r="8867" spans="1:3" x14ac:dyDescent="0.3">
      <c r="A8867">
        <v>60255</v>
      </c>
      <c r="B8867">
        <v>2</v>
      </c>
      <c r="C8867">
        <v>16</v>
      </c>
    </row>
    <row r="8868" spans="1:3" x14ac:dyDescent="0.3">
      <c r="A8868">
        <v>60255</v>
      </c>
      <c r="B8868">
        <v>2</v>
      </c>
      <c r="C8868">
        <v>16</v>
      </c>
    </row>
    <row r="8869" spans="1:3" x14ac:dyDescent="0.3">
      <c r="A8869">
        <v>60299</v>
      </c>
      <c r="B8869">
        <v>1</v>
      </c>
      <c r="C8869">
        <v>8</v>
      </c>
    </row>
    <row r="8870" spans="1:3" x14ac:dyDescent="0.3">
      <c r="A8870">
        <v>60347</v>
      </c>
      <c r="B8870">
        <v>1</v>
      </c>
      <c r="C8870">
        <v>8</v>
      </c>
    </row>
    <row r="8871" spans="1:3" x14ac:dyDescent="0.3">
      <c r="A8871">
        <v>60351</v>
      </c>
      <c r="B8871">
        <v>1</v>
      </c>
      <c r="C8871">
        <v>8</v>
      </c>
    </row>
    <row r="8872" spans="1:3" x14ac:dyDescent="0.3">
      <c r="A8872">
        <v>60378</v>
      </c>
      <c r="B8872">
        <v>1</v>
      </c>
      <c r="C8872">
        <v>8</v>
      </c>
    </row>
    <row r="8873" spans="1:3" x14ac:dyDescent="0.3">
      <c r="A8873">
        <v>60673</v>
      </c>
      <c r="B8873">
        <v>1</v>
      </c>
      <c r="C8873">
        <v>8</v>
      </c>
    </row>
    <row r="8874" spans="1:3" x14ac:dyDescent="0.3">
      <c r="A8874">
        <v>60718</v>
      </c>
      <c r="B8874">
        <v>1</v>
      </c>
      <c r="C8874">
        <v>8</v>
      </c>
    </row>
    <row r="8875" spans="1:3" x14ac:dyDescent="0.3">
      <c r="A8875">
        <v>60719</v>
      </c>
      <c r="B8875">
        <v>1</v>
      </c>
      <c r="C8875">
        <v>8</v>
      </c>
    </row>
    <row r="8876" spans="1:3" x14ac:dyDescent="0.3">
      <c r="A8876">
        <v>60801</v>
      </c>
      <c r="B8876">
        <v>1</v>
      </c>
      <c r="C8876">
        <v>8</v>
      </c>
    </row>
    <row r="8877" spans="1:3" x14ac:dyDescent="0.3">
      <c r="A8877">
        <v>60802</v>
      </c>
      <c r="B8877">
        <v>1</v>
      </c>
      <c r="C8877">
        <v>8</v>
      </c>
    </row>
    <row r="8878" spans="1:3" x14ac:dyDescent="0.3">
      <c r="A8878">
        <v>60935</v>
      </c>
      <c r="B8878">
        <v>1</v>
      </c>
      <c r="C8878">
        <v>8</v>
      </c>
    </row>
    <row r="8879" spans="1:3" x14ac:dyDescent="0.3">
      <c r="A8879">
        <v>61003</v>
      </c>
      <c r="B8879">
        <v>3</v>
      </c>
      <c r="C8879">
        <v>16</v>
      </c>
    </row>
    <row r="8880" spans="1:3" x14ac:dyDescent="0.3">
      <c r="A8880">
        <v>61003</v>
      </c>
      <c r="B8880">
        <v>3</v>
      </c>
      <c r="C8880">
        <v>16</v>
      </c>
    </row>
    <row r="8881" spans="1:3" x14ac:dyDescent="0.3">
      <c r="A8881">
        <v>61003</v>
      </c>
      <c r="B8881">
        <v>3</v>
      </c>
      <c r="C8881">
        <v>16</v>
      </c>
    </row>
    <row r="8882" spans="1:3" x14ac:dyDescent="0.3">
      <c r="A8882">
        <v>61050</v>
      </c>
      <c r="B8882">
        <v>1</v>
      </c>
      <c r="C8882">
        <v>8</v>
      </c>
    </row>
    <row r="8883" spans="1:3" x14ac:dyDescent="0.3">
      <c r="A8883">
        <v>61058</v>
      </c>
      <c r="B8883">
        <v>1</v>
      </c>
      <c r="C8883">
        <v>8</v>
      </c>
    </row>
    <row r="8884" spans="1:3" x14ac:dyDescent="0.3">
      <c r="A8884">
        <v>61111</v>
      </c>
      <c r="B8884">
        <v>1</v>
      </c>
      <c r="C8884">
        <v>8</v>
      </c>
    </row>
    <row r="8885" spans="1:3" x14ac:dyDescent="0.3">
      <c r="A8885">
        <v>61130</v>
      </c>
      <c r="B8885">
        <v>1</v>
      </c>
      <c r="C8885">
        <v>8</v>
      </c>
    </row>
    <row r="8886" spans="1:3" x14ac:dyDescent="0.3">
      <c r="A8886">
        <v>61134</v>
      </c>
      <c r="B8886">
        <v>1</v>
      </c>
      <c r="C8886">
        <v>8</v>
      </c>
    </row>
    <row r="8887" spans="1:3" x14ac:dyDescent="0.3">
      <c r="A8887">
        <v>61135</v>
      </c>
      <c r="B8887">
        <v>1</v>
      </c>
      <c r="C8887">
        <v>8</v>
      </c>
    </row>
    <row r="8888" spans="1:3" x14ac:dyDescent="0.3">
      <c r="A8888">
        <v>61195</v>
      </c>
      <c r="B8888">
        <v>1</v>
      </c>
      <c r="C8888">
        <v>8</v>
      </c>
    </row>
    <row r="8889" spans="1:3" x14ac:dyDescent="0.3">
      <c r="A8889">
        <v>61196</v>
      </c>
      <c r="B8889">
        <v>1</v>
      </c>
      <c r="C8889">
        <v>16</v>
      </c>
    </row>
    <row r="8890" spans="1:3" x14ac:dyDescent="0.3">
      <c r="A8890">
        <v>61282</v>
      </c>
      <c r="B8890">
        <v>1</v>
      </c>
      <c r="C8890">
        <v>8</v>
      </c>
    </row>
    <row r="8891" spans="1:3" x14ac:dyDescent="0.3">
      <c r="A8891">
        <v>61361</v>
      </c>
      <c r="B8891">
        <v>1</v>
      </c>
      <c r="C8891">
        <v>8</v>
      </c>
    </row>
    <row r="8892" spans="1:3" x14ac:dyDescent="0.3">
      <c r="A8892">
        <v>61385</v>
      </c>
      <c r="B8892">
        <v>1</v>
      </c>
      <c r="C8892">
        <v>8</v>
      </c>
    </row>
    <row r="8893" spans="1:3" x14ac:dyDescent="0.3">
      <c r="A8893">
        <v>61459</v>
      </c>
      <c r="B8893">
        <v>1</v>
      </c>
      <c r="C8893">
        <v>8</v>
      </c>
    </row>
    <row r="8894" spans="1:3" x14ac:dyDescent="0.3">
      <c r="A8894">
        <v>61506</v>
      </c>
      <c r="B8894">
        <v>1</v>
      </c>
      <c r="C8894">
        <v>16</v>
      </c>
    </row>
    <row r="8895" spans="1:3" x14ac:dyDescent="0.3">
      <c r="A8895">
        <v>61603</v>
      </c>
      <c r="B8895">
        <v>1</v>
      </c>
      <c r="C8895">
        <v>8</v>
      </c>
    </row>
    <row r="8896" spans="1:3" x14ac:dyDescent="0.3">
      <c r="A8896">
        <v>61648</v>
      </c>
      <c r="B8896">
        <v>1</v>
      </c>
      <c r="C8896">
        <v>8</v>
      </c>
    </row>
    <row r="8897" spans="1:3" x14ac:dyDescent="0.3">
      <c r="A8897">
        <v>61816</v>
      </c>
      <c r="B8897">
        <v>1</v>
      </c>
      <c r="C8897">
        <v>8</v>
      </c>
    </row>
    <row r="8898" spans="1:3" x14ac:dyDescent="0.3">
      <c r="A8898">
        <v>61822</v>
      </c>
      <c r="B8898">
        <v>1</v>
      </c>
      <c r="C8898">
        <v>8</v>
      </c>
    </row>
    <row r="8899" spans="1:3" x14ac:dyDescent="0.3">
      <c r="A8899">
        <v>61956</v>
      </c>
      <c r="B8899">
        <v>2</v>
      </c>
      <c r="C8899">
        <v>16</v>
      </c>
    </row>
    <row r="8900" spans="1:3" x14ac:dyDescent="0.3">
      <c r="A8900">
        <v>61956</v>
      </c>
      <c r="B8900">
        <v>2</v>
      </c>
      <c r="C8900">
        <v>16</v>
      </c>
    </row>
    <row r="8901" spans="1:3" x14ac:dyDescent="0.3">
      <c r="A8901">
        <v>61958</v>
      </c>
      <c r="B8901">
        <v>1</v>
      </c>
      <c r="C8901">
        <v>8</v>
      </c>
    </row>
    <row r="8902" spans="1:3" x14ac:dyDescent="0.3">
      <c r="A8902">
        <v>62079</v>
      </c>
      <c r="B8902">
        <v>1</v>
      </c>
      <c r="C8902">
        <v>8</v>
      </c>
    </row>
    <row r="8903" spans="1:3" x14ac:dyDescent="0.3">
      <c r="A8903">
        <v>62095</v>
      </c>
      <c r="B8903">
        <v>1</v>
      </c>
      <c r="C8903">
        <v>16</v>
      </c>
    </row>
    <row r="8904" spans="1:3" x14ac:dyDescent="0.3">
      <c r="A8904">
        <v>62114</v>
      </c>
      <c r="B8904">
        <v>1</v>
      </c>
      <c r="C8904">
        <v>8</v>
      </c>
    </row>
    <row r="8905" spans="1:3" x14ac:dyDescent="0.3">
      <c r="A8905">
        <v>62146</v>
      </c>
      <c r="B8905">
        <v>1</v>
      </c>
      <c r="C8905">
        <v>8</v>
      </c>
    </row>
    <row r="8906" spans="1:3" x14ac:dyDescent="0.3">
      <c r="A8906">
        <v>62167</v>
      </c>
      <c r="B8906">
        <v>1</v>
      </c>
      <c r="C8906">
        <v>8</v>
      </c>
    </row>
    <row r="8907" spans="1:3" x14ac:dyDescent="0.3">
      <c r="A8907">
        <v>62301</v>
      </c>
      <c r="B8907">
        <v>2</v>
      </c>
      <c r="C8907">
        <v>16</v>
      </c>
    </row>
    <row r="8908" spans="1:3" x14ac:dyDescent="0.3">
      <c r="A8908">
        <v>62301</v>
      </c>
      <c r="B8908">
        <v>2</v>
      </c>
      <c r="C8908">
        <v>16</v>
      </c>
    </row>
    <row r="8909" spans="1:3" x14ac:dyDescent="0.3">
      <c r="A8909">
        <v>62311</v>
      </c>
      <c r="B8909">
        <v>1</v>
      </c>
      <c r="C8909">
        <v>16</v>
      </c>
    </row>
    <row r="8910" spans="1:3" x14ac:dyDescent="0.3">
      <c r="A8910">
        <v>62534</v>
      </c>
      <c r="B8910">
        <v>1</v>
      </c>
      <c r="C8910">
        <v>8</v>
      </c>
    </row>
    <row r="8911" spans="1:3" x14ac:dyDescent="0.3">
      <c r="A8911">
        <v>62614</v>
      </c>
      <c r="B8911">
        <v>1</v>
      </c>
      <c r="C8911">
        <v>8</v>
      </c>
    </row>
    <row r="8912" spans="1:3" x14ac:dyDescent="0.3">
      <c r="A8912">
        <v>62677</v>
      </c>
      <c r="B8912">
        <v>1</v>
      </c>
      <c r="C8912">
        <v>8</v>
      </c>
    </row>
    <row r="8913" spans="1:3" x14ac:dyDescent="0.3">
      <c r="A8913">
        <v>62689</v>
      </c>
      <c r="B8913">
        <v>1</v>
      </c>
      <c r="C8913">
        <v>8</v>
      </c>
    </row>
    <row r="8914" spans="1:3" x14ac:dyDescent="0.3">
      <c r="A8914">
        <v>62775</v>
      </c>
      <c r="B8914">
        <v>1</v>
      </c>
      <c r="C8914">
        <v>8</v>
      </c>
    </row>
    <row r="8915" spans="1:3" x14ac:dyDescent="0.3">
      <c r="A8915">
        <v>62823</v>
      </c>
      <c r="B8915">
        <v>1</v>
      </c>
      <c r="C8915">
        <v>8</v>
      </c>
    </row>
    <row r="8916" spans="1:3" x14ac:dyDescent="0.3">
      <c r="A8916">
        <v>62843</v>
      </c>
      <c r="B8916">
        <v>1</v>
      </c>
      <c r="C8916">
        <v>8</v>
      </c>
    </row>
    <row r="8917" spans="1:3" x14ac:dyDescent="0.3">
      <c r="A8917">
        <v>62844</v>
      </c>
      <c r="B8917">
        <v>1</v>
      </c>
      <c r="C8917">
        <v>8</v>
      </c>
    </row>
    <row r="8918" spans="1:3" x14ac:dyDescent="0.3">
      <c r="A8918">
        <v>62944</v>
      </c>
      <c r="B8918">
        <v>1</v>
      </c>
      <c r="C8918">
        <v>8</v>
      </c>
    </row>
    <row r="8919" spans="1:3" x14ac:dyDescent="0.3">
      <c r="A8919">
        <v>62978</v>
      </c>
      <c r="B8919">
        <v>1</v>
      </c>
      <c r="C8919">
        <v>8</v>
      </c>
    </row>
    <row r="8920" spans="1:3" x14ac:dyDescent="0.3">
      <c r="A8920">
        <v>63009</v>
      </c>
      <c r="B8920">
        <v>1</v>
      </c>
      <c r="C8920">
        <v>8</v>
      </c>
    </row>
    <row r="8921" spans="1:3" x14ac:dyDescent="0.3">
      <c r="A8921">
        <v>63019</v>
      </c>
      <c r="B8921">
        <v>1</v>
      </c>
      <c r="C8921">
        <v>8</v>
      </c>
    </row>
    <row r="8922" spans="1:3" x14ac:dyDescent="0.3">
      <c r="A8922">
        <v>63154</v>
      </c>
      <c r="B8922">
        <v>1</v>
      </c>
      <c r="C8922">
        <v>8</v>
      </c>
    </row>
    <row r="8923" spans="1:3" x14ac:dyDescent="0.3">
      <c r="A8923">
        <v>63158</v>
      </c>
      <c r="B8923">
        <v>1</v>
      </c>
      <c r="C8923">
        <v>8</v>
      </c>
    </row>
    <row r="8924" spans="1:3" x14ac:dyDescent="0.3">
      <c r="A8924">
        <v>63252</v>
      </c>
      <c r="B8924">
        <v>1</v>
      </c>
      <c r="C8924">
        <v>16</v>
      </c>
    </row>
    <row r="8925" spans="1:3" x14ac:dyDescent="0.3">
      <c r="A8925">
        <v>63270</v>
      </c>
      <c r="B8925">
        <v>1</v>
      </c>
      <c r="C8925">
        <v>8</v>
      </c>
    </row>
    <row r="8926" spans="1:3" x14ac:dyDescent="0.3">
      <c r="A8926">
        <v>63281</v>
      </c>
      <c r="B8926">
        <v>1</v>
      </c>
      <c r="C8926">
        <v>16</v>
      </c>
    </row>
    <row r="8927" spans="1:3" x14ac:dyDescent="0.3">
      <c r="A8927">
        <v>63296</v>
      </c>
      <c r="B8927">
        <v>1</v>
      </c>
      <c r="C8927">
        <v>8</v>
      </c>
    </row>
    <row r="8928" spans="1:3" x14ac:dyDescent="0.3">
      <c r="A8928">
        <v>63303</v>
      </c>
      <c r="B8928">
        <v>1</v>
      </c>
      <c r="C8928">
        <v>8</v>
      </c>
    </row>
    <row r="8929" spans="1:3" x14ac:dyDescent="0.3">
      <c r="A8929">
        <v>63349</v>
      </c>
      <c r="B8929">
        <v>2</v>
      </c>
      <c r="C8929">
        <v>16</v>
      </c>
    </row>
    <row r="8930" spans="1:3" x14ac:dyDescent="0.3">
      <c r="A8930">
        <v>63349</v>
      </c>
      <c r="B8930">
        <v>2</v>
      </c>
      <c r="C8930">
        <v>16</v>
      </c>
    </row>
    <row r="8931" spans="1:3" x14ac:dyDescent="0.3">
      <c r="A8931">
        <v>63386</v>
      </c>
      <c r="B8931">
        <v>1</v>
      </c>
      <c r="C8931">
        <v>8</v>
      </c>
    </row>
    <row r="8932" spans="1:3" x14ac:dyDescent="0.3">
      <c r="A8932">
        <v>63550</v>
      </c>
      <c r="B8932">
        <v>1</v>
      </c>
      <c r="C8932">
        <v>8</v>
      </c>
    </row>
    <row r="8933" spans="1:3" x14ac:dyDescent="0.3">
      <c r="A8933">
        <v>63772</v>
      </c>
      <c r="B8933">
        <v>1</v>
      </c>
      <c r="C8933">
        <v>8</v>
      </c>
    </row>
    <row r="8934" spans="1:3" x14ac:dyDescent="0.3">
      <c r="A8934">
        <v>63773</v>
      </c>
      <c r="B8934">
        <v>1</v>
      </c>
      <c r="C8934">
        <v>8</v>
      </c>
    </row>
    <row r="8935" spans="1:3" x14ac:dyDescent="0.3">
      <c r="A8935">
        <v>63779</v>
      </c>
      <c r="B8935">
        <v>1</v>
      </c>
      <c r="C8935">
        <v>8</v>
      </c>
    </row>
    <row r="8936" spans="1:3" x14ac:dyDescent="0.3">
      <c r="A8936">
        <v>63826</v>
      </c>
      <c r="B8936">
        <v>1</v>
      </c>
      <c r="C8936">
        <v>8</v>
      </c>
    </row>
    <row r="8937" spans="1:3" x14ac:dyDescent="0.3">
      <c r="A8937">
        <v>63899</v>
      </c>
      <c r="B8937">
        <v>1</v>
      </c>
      <c r="C8937">
        <v>8</v>
      </c>
    </row>
    <row r="8938" spans="1:3" x14ac:dyDescent="0.3">
      <c r="A8938">
        <v>63971</v>
      </c>
      <c r="B8938">
        <v>1</v>
      </c>
      <c r="C8938">
        <v>8</v>
      </c>
    </row>
    <row r="8939" spans="1:3" x14ac:dyDescent="0.3">
      <c r="A8939">
        <v>64022</v>
      </c>
      <c r="B8939">
        <v>1</v>
      </c>
      <c r="C8939">
        <v>8</v>
      </c>
    </row>
    <row r="8940" spans="1:3" x14ac:dyDescent="0.3">
      <c r="A8940">
        <v>64092</v>
      </c>
      <c r="B8940">
        <v>1</v>
      </c>
      <c r="C8940">
        <v>8</v>
      </c>
    </row>
    <row r="8941" spans="1:3" x14ac:dyDescent="0.3">
      <c r="A8941">
        <v>64102</v>
      </c>
      <c r="B8941">
        <v>1</v>
      </c>
      <c r="C8941">
        <v>8</v>
      </c>
    </row>
    <row r="8942" spans="1:3" x14ac:dyDescent="0.3">
      <c r="A8942">
        <v>64106</v>
      </c>
      <c r="B8942">
        <v>1</v>
      </c>
      <c r="C8942">
        <v>8</v>
      </c>
    </row>
    <row r="8943" spans="1:3" x14ac:dyDescent="0.3">
      <c r="A8943">
        <v>64111</v>
      </c>
      <c r="B8943">
        <v>1</v>
      </c>
      <c r="C8943">
        <v>8</v>
      </c>
    </row>
    <row r="8944" spans="1:3" x14ac:dyDescent="0.3">
      <c r="A8944">
        <v>64296</v>
      </c>
      <c r="B8944">
        <v>1</v>
      </c>
      <c r="C8944">
        <v>16</v>
      </c>
    </row>
    <row r="8945" spans="1:3" x14ac:dyDescent="0.3">
      <c r="A8945">
        <v>64300</v>
      </c>
      <c r="B8945">
        <v>1</v>
      </c>
      <c r="C8945">
        <v>8</v>
      </c>
    </row>
    <row r="8946" spans="1:3" x14ac:dyDescent="0.3">
      <c r="A8946">
        <v>64318</v>
      </c>
      <c r="B8946">
        <v>1</v>
      </c>
      <c r="C8946">
        <v>8</v>
      </c>
    </row>
    <row r="8947" spans="1:3" x14ac:dyDescent="0.3">
      <c r="A8947">
        <v>64332</v>
      </c>
      <c r="B8947">
        <v>1</v>
      </c>
      <c r="C8947">
        <v>8</v>
      </c>
    </row>
    <row r="8948" spans="1:3" x14ac:dyDescent="0.3">
      <c r="A8948">
        <v>64355</v>
      </c>
      <c r="B8948">
        <v>1</v>
      </c>
      <c r="C8948">
        <v>16</v>
      </c>
    </row>
    <row r="8949" spans="1:3" x14ac:dyDescent="0.3">
      <c r="A8949">
        <v>64417</v>
      </c>
      <c r="B8949">
        <v>1</v>
      </c>
      <c r="C8949">
        <v>8</v>
      </c>
    </row>
    <row r="8950" spans="1:3" x14ac:dyDescent="0.3">
      <c r="A8950">
        <v>64436</v>
      </c>
      <c r="B8950">
        <v>1</v>
      </c>
      <c r="C8950">
        <v>8</v>
      </c>
    </row>
    <row r="8951" spans="1:3" x14ac:dyDescent="0.3">
      <c r="A8951">
        <v>64445</v>
      </c>
      <c r="B8951">
        <v>1</v>
      </c>
      <c r="C8951">
        <v>8</v>
      </c>
    </row>
    <row r="8952" spans="1:3" x14ac:dyDescent="0.3">
      <c r="A8952">
        <v>64459</v>
      </c>
      <c r="B8952">
        <v>1</v>
      </c>
      <c r="C8952">
        <v>8</v>
      </c>
    </row>
    <row r="8953" spans="1:3" x14ac:dyDescent="0.3">
      <c r="A8953">
        <v>64474</v>
      </c>
      <c r="B8953">
        <v>1</v>
      </c>
      <c r="C8953">
        <v>8</v>
      </c>
    </row>
    <row r="8954" spans="1:3" x14ac:dyDescent="0.3">
      <c r="A8954">
        <v>64478</v>
      </c>
      <c r="B8954">
        <v>1</v>
      </c>
      <c r="C8954">
        <v>8</v>
      </c>
    </row>
    <row r="8955" spans="1:3" x14ac:dyDescent="0.3">
      <c r="A8955">
        <v>64515</v>
      </c>
      <c r="B8955">
        <v>1</v>
      </c>
      <c r="C8955">
        <v>8</v>
      </c>
    </row>
    <row r="8956" spans="1:3" x14ac:dyDescent="0.3">
      <c r="A8956">
        <v>64526</v>
      </c>
      <c r="B8956">
        <v>1</v>
      </c>
      <c r="C8956">
        <v>16</v>
      </c>
    </row>
    <row r="8957" spans="1:3" x14ac:dyDescent="0.3">
      <c r="A8957">
        <v>64540</v>
      </c>
      <c r="B8957">
        <v>1</v>
      </c>
      <c r="C8957">
        <v>16</v>
      </c>
    </row>
    <row r="8958" spans="1:3" x14ac:dyDescent="0.3">
      <c r="A8958">
        <v>64546</v>
      </c>
      <c r="B8958">
        <v>1</v>
      </c>
      <c r="C8958">
        <v>8</v>
      </c>
    </row>
    <row r="8959" spans="1:3" x14ac:dyDescent="0.3">
      <c r="A8959">
        <v>64834</v>
      </c>
      <c r="B8959">
        <v>1</v>
      </c>
      <c r="C8959">
        <v>8</v>
      </c>
    </row>
    <row r="8960" spans="1:3" x14ac:dyDescent="0.3">
      <c r="A8960">
        <v>64892</v>
      </c>
      <c r="B8960">
        <v>1</v>
      </c>
      <c r="C8960">
        <v>8</v>
      </c>
    </row>
    <row r="8961" spans="1:3" x14ac:dyDescent="0.3">
      <c r="A8961">
        <v>64902</v>
      </c>
      <c r="B8961">
        <v>2</v>
      </c>
      <c r="C8961">
        <v>16</v>
      </c>
    </row>
    <row r="8962" spans="1:3" x14ac:dyDescent="0.3">
      <c r="A8962">
        <v>64902</v>
      </c>
      <c r="B8962">
        <v>2</v>
      </c>
      <c r="C8962">
        <v>16</v>
      </c>
    </row>
    <row r="8963" spans="1:3" x14ac:dyDescent="0.3">
      <c r="A8963">
        <v>64971</v>
      </c>
      <c r="B8963">
        <v>1</v>
      </c>
      <c r="C8963">
        <v>8</v>
      </c>
    </row>
    <row r="8964" spans="1:3" x14ac:dyDescent="0.3">
      <c r="A8964">
        <v>65053</v>
      </c>
      <c r="B8964">
        <v>1</v>
      </c>
      <c r="C8964">
        <v>8</v>
      </c>
    </row>
    <row r="8965" spans="1:3" x14ac:dyDescent="0.3">
      <c r="A8965">
        <v>65268</v>
      </c>
      <c r="B8965">
        <v>1</v>
      </c>
      <c r="C8965">
        <v>8</v>
      </c>
    </row>
    <row r="8966" spans="1:3" x14ac:dyDescent="0.3">
      <c r="A8966">
        <v>65428</v>
      </c>
      <c r="B8966">
        <v>1</v>
      </c>
      <c r="C8966">
        <v>8</v>
      </c>
    </row>
    <row r="8967" spans="1:3" x14ac:dyDescent="0.3">
      <c r="A8967">
        <v>65468</v>
      </c>
      <c r="B8967">
        <v>1</v>
      </c>
      <c r="C8967">
        <v>8</v>
      </c>
    </row>
    <row r="8968" spans="1:3" x14ac:dyDescent="0.3">
      <c r="A8968">
        <v>65624</v>
      </c>
      <c r="B8968">
        <v>1</v>
      </c>
      <c r="C8968">
        <v>8</v>
      </c>
    </row>
    <row r="8969" spans="1:3" x14ac:dyDescent="0.3">
      <c r="A8969">
        <v>65769</v>
      </c>
      <c r="B8969">
        <v>1</v>
      </c>
      <c r="C8969">
        <v>8</v>
      </c>
    </row>
    <row r="8970" spans="1:3" x14ac:dyDescent="0.3">
      <c r="A8970">
        <v>65900</v>
      </c>
      <c r="B8970">
        <v>1</v>
      </c>
      <c r="C8970">
        <v>16</v>
      </c>
    </row>
    <row r="8971" spans="1:3" x14ac:dyDescent="0.3">
      <c r="A8971">
        <v>65991</v>
      </c>
      <c r="B8971">
        <v>1</v>
      </c>
      <c r="C8971">
        <v>8</v>
      </c>
    </row>
    <row r="8972" spans="1:3" x14ac:dyDescent="0.3">
      <c r="A8972">
        <v>66016</v>
      </c>
      <c r="B8972">
        <v>1</v>
      </c>
      <c r="C8972">
        <v>16</v>
      </c>
    </row>
    <row r="8973" spans="1:3" x14ac:dyDescent="0.3">
      <c r="A8973">
        <v>66080</v>
      </c>
      <c r="B8973">
        <v>1</v>
      </c>
      <c r="C8973">
        <v>8</v>
      </c>
    </row>
    <row r="8974" spans="1:3" x14ac:dyDescent="0.3">
      <c r="A8974">
        <v>66233</v>
      </c>
      <c r="B8974">
        <v>1</v>
      </c>
      <c r="C8974">
        <v>8</v>
      </c>
    </row>
    <row r="8975" spans="1:3" x14ac:dyDescent="0.3">
      <c r="A8975">
        <v>66327</v>
      </c>
      <c r="B8975">
        <v>1</v>
      </c>
      <c r="C8975">
        <v>8</v>
      </c>
    </row>
    <row r="8976" spans="1:3" x14ac:dyDescent="0.3">
      <c r="A8976">
        <v>66396</v>
      </c>
      <c r="B8976">
        <v>1</v>
      </c>
      <c r="C8976">
        <v>8</v>
      </c>
    </row>
    <row r="8977" spans="1:3" x14ac:dyDescent="0.3">
      <c r="A8977">
        <v>66452</v>
      </c>
      <c r="B8977">
        <v>1</v>
      </c>
      <c r="C8977">
        <v>8</v>
      </c>
    </row>
    <row r="8978" spans="1:3" x14ac:dyDescent="0.3">
      <c r="A8978">
        <v>66453</v>
      </c>
      <c r="B8978">
        <v>1</v>
      </c>
      <c r="C8978">
        <v>16</v>
      </c>
    </row>
    <row r="8979" spans="1:3" x14ac:dyDescent="0.3">
      <c r="A8979">
        <v>66456</v>
      </c>
      <c r="B8979">
        <v>1</v>
      </c>
      <c r="C8979">
        <v>8</v>
      </c>
    </row>
    <row r="8980" spans="1:3" x14ac:dyDescent="0.3">
      <c r="A8980">
        <v>66476</v>
      </c>
      <c r="B8980">
        <v>1</v>
      </c>
      <c r="C8980">
        <v>8</v>
      </c>
    </row>
    <row r="8981" spans="1:3" x14ac:dyDescent="0.3">
      <c r="A8981">
        <v>66477</v>
      </c>
      <c r="B8981">
        <v>1</v>
      </c>
      <c r="C8981">
        <v>8</v>
      </c>
    </row>
    <row r="8982" spans="1:3" x14ac:dyDescent="0.3">
      <c r="A8982">
        <v>66492</v>
      </c>
      <c r="B8982">
        <v>1</v>
      </c>
      <c r="C8982">
        <v>16</v>
      </c>
    </row>
    <row r="8983" spans="1:3" x14ac:dyDescent="0.3">
      <c r="A8983">
        <v>66511</v>
      </c>
      <c r="B8983">
        <v>1</v>
      </c>
      <c r="C8983">
        <v>8</v>
      </c>
    </row>
    <row r="8984" spans="1:3" x14ac:dyDescent="0.3">
      <c r="A8984">
        <v>66523</v>
      </c>
      <c r="B8984">
        <v>1</v>
      </c>
      <c r="C8984">
        <v>8</v>
      </c>
    </row>
    <row r="8985" spans="1:3" x14ac:dyDescent="0.3">
      <c r="A8985">
        <v>66552</v>
      </c>
      <c r="B8985">
        <v>1</v>
      </c>
      <c r="C8985">
        <v>8</v>
      </c>
    </row>
    <row r="8986" spans="1:3" x14ac:dyDescent="0.3">
      <c r="A8986">
        <v>66553</v>
      </c>
      <c r="B8986">
        <v>1</v>
      </c>
      <c r="C8986">
        <v>8</v>
      </c>
    </row>
    <row r="8987" spans="1:3" x14ac:dyDescent="0.3">
      <c r="A8987">
        <v>66554</v>
      </c>
      <c r="B8987">
        <v>1</v>
      </c>
      <c r="C8987">
        <v>16</v>
      </c>
    </row>
    <row r="8988" spans="1:3" x14ac:dyDescent="0.3">
      <c r="A8988">
        <v>66560</v>
      </c>
      <c r="B8988">
        <v>1</v>
      </c>
      <c r="C8988">
        <v>8</v>
      </c>
    </row>
    <row r="8989" spans="1:3" x14ac:dyDescent="0.3">
      <c r="A8989">
        <v>66667</v>
      </c>
      <c r="B8989">
        <v>1</v>
      </c>
      <c r="C8989">
        <v>8</v>
      </c>
    </row>
    <row r="8990" spans="1:3" x14ac:dyDescent="0.3">
      <c r="A8990">
        <v>66787</v>
      </c>
      <c r="B8990">
        <v>1</v>
      </c>
      <c r="C8990">
        <v>8</v>
      </c>
    </row>
    <row r="8991" spans="1:3" x14ac:dyDescent="0.3">
      <c r="A8991">
        <v>66829</v>
      </c>
      <c r="B8991">
        <v>1</v>
      </c>
      <c r="C8991">
        <v>8</v>
      </c>
    </row>
    <row r="8992" spans="1:3" x14ac:dyDescent="0.3">
      <c r="A8992">
        <v>66830</v>
      </c>
      <c r="B8992">
        <v>1</v>
      </c>
      <c r="C8992">
        <v>16</v>
      </c>
    </row>
    <row r="8993" spans="1:3" x14ac:dyDescent="0.3">
      <c r="A8993">
        <v>66871</v>
      </c>
      <c r="B8993">
        <v>1</v>
      </c>
      <c r="C8993">
        <v>8</v>
      </c>
    </row>
    <row r="8994" spans="1:3" x14ac:dyDescent="0.3">
      <c r="A8994">
        <v>66892</v>
      </c>
      <c r="B8994">
        <v>1</v>
      </c>
      <c r="C8994">
        <v>8</v>
      </c>
    </row>
    <row r="8995" spans="1:3" x14ac:dyDescent="0.3">
      <c r="A8995">
        <v>66893</v>
      </c>
      <c r="B8995">
        <v>1</v>
      </c>
      <c r="C8995">
        <v>8</v>
      </c>
    </row>
    <row r="8996" spans="1:3" x14ac:dyDescent="0.3">
      <c r="A8996">
        <v>66902</v>
      </c>
      <c r="B8996">
        <v>2</v>
      </c>
      <c r="C8996">
        <v>8</v>
      </c>
    </row>
    <row r="8997" spans="1:3" x14ac:dyDescent="0.3">
      <c r="A8997">
        <v>66902</v>
      </c>
      <c r="B8997">
        <v>2</v>
      </c>
      <c r="C8997">
        <v>8</v>
      </c>
    </row>
    <row r="8998" spans="1:3" x14ac:dyDescent="0.3">
      <c r="A8998">
        <v>66924</v>
      </c>
      <c r="B8998">
        <v>1</v>
      </c>
      <c r="C8998">
        <v>8</v>
      </c>
    </row>
    <row r="8999" spans="1:3" x14ac:dyDescent="0.3">
      <c r="A8999">
        <v>67069</v>
      </c>
      <c r="B8999">
        <v>1</v>
      </c>
      <c r="C8999">
        <v>8</v>
      </c>
    </row>
    <row r="9000" spans="1:3" x14ac:dyDescent="0.3">
      <c r="A9000">
        <v>67137</v>
      </c>
      <c r="B9000">
        <v>1</v>
      </c>
      <c r="C9000">
        <v>8</v>
      </c>
    </row>
    <row r="9001" spans="1:3" x14ac:dyDescent="0.3">
      <c r="A9001">
        <v>67140</v>
      </c>
      <c r="B9001">
        <v>1</v>
      </c>
      <c r="C9001">
        <v>8</v>
      </c>
    </row>
    <row r="9002" spans="1:3" x14ac:dyDescent="0.3">
      <c r="A9002">
        <v>67203</v>
      </c>
      <c r="B9002">
        <v>1</v>
      </c>
      <c r="C9002">
        <v>8</v>
      </c>
    </row>
    <row r="9003" spans="1:3" x14ac:dyDescent="0.3">
      <c r="A9003">
        <v>67206</v>
      </c>
      <c r="B9003">
        <v>1</v>
      </c>
      <c r="C9003">
        <v>8</v>
      </c>
    </row>
    <row r="9004" spans="1:3" x14ac:dyDescent="0.3">
      <c r="A9004">
        <v>67210</v>
      </c>
      <c r="B9004">
        <v>1</v>
      </c>
      <c r="C9004">
        <v>8</v>
      </c>
    </row>
    <row r="9005" spans="1:3" x14ac:dyDescent="0.3">
      <c r="A9005">
        <v>67227</v>
      </c>
      <c r="B9005">
        <v>2</v>
      </c>
      <c r="C9005">
        <v>16</v>
      </c>
    </row>
    <row r="9006" spans="1:3" x14ac:dyDescent="0.3">
      <c r="A9006">
        <v>67227</v>
      </c>
      <c r="B9006">
        <v>2</v>
      </c>
      <c r="C9006">
        <v>16</v>
      </c>
    </row>
    <row r="9007" spans="1:3" x14ac:dyDescent="0.3">
      <c r="A9007">
        <v>67361</v>
      </c>
      <c r="B9007">
        <v>1</v>
      </c>
      <c r="C9007">
        <v>16</v>
      </c>
    </row>
    <row r="9008" spans="1:3" x14ac:dyDescent="0.3">
      <c r="A9008">
        <v>67365</v>
      </c>
      <c r="B9008">
        <v>1</v>
      </c>
      <c r="C9008">
        <v>8</v>
      </c>
    </row>
    <row r="9009" spans="1:3" x14ac:dyDescent="0.3">
      <c r="A9009">
        <v>67385</v>
      </c>
      <c r="B9009">
        <v>1</v>
      </c>
      <c r="C9009">
        <v>8</v>
      </c>
    </row>
    <row r="9010" spans="1:3" x14ac:dyDescent="0.3">
      <c r="A9010">
        <v>67438</v>
      </c>
      <c r="B9010">
        <v>1</v>
      </c>
      <c r="C9010">
        <v>8</v>
      </c>
    </row>
    <row r="9011" spans="1:3" x14ac:dyDescent="0.3">
      <c r="A9011">
        <v>67442</v>
      </c>
      <c r="B9011">
        <v>1</v>
      </c>
      <c r="C9011">
        <v>8</v>
      </c>
    </row>
    <row r="9012" spans="1:3" x14ac:dyDescent="0.3">
      <c r="A9012">
        <v>67474</v>
      </c>
      <c r="B9012">
        <v>1</v>
      </c>
      <c r="C9012">
        <v>8</v>
      </c>
    </row>
    <row r="9013" spans="1:3" x14ac:dyDescent="0.3">
      <c r="A9013">
        <v>67477</v>
      </c>
      <c r="B9013">
        <v>1</v>
      </c>
      <c r="C9013">
        <v>8</v>
      </c>
    </row>
    <row r="9014" spans="1:3" x14ac:dyDescent="0.3">
      <c r="A9014">
        <v>67540</v>
      </c>
      <c r="B9014">
        <v>1</v>
      </c>
      <c r="C9014">
        <v>8</v>
      </c>
    </row>
    <row r="9015" spans="1:3" x14ac:dyDescent="0.3">
      <c r="A9015">
        <v>67575</v>
      </c>
      <c r="B9015">
        <v>1</v>
      </c>
      <c r="C9015">
        <v>8</v>
      </c>
    </row>
    <row r="9016" spans="1:3" x14ac:dyDescent="0.3">
      <c r="A9016">
        <v>67579</v>
      </c>
      <c r="B9016">
        <v>1</v>
      </c>
      <c r="C9016">
        <v>8</v>
      </c>
    </row>
    <row r="9017" spans="1:3" x14ac:dyDescent="0.3">
      <c r="A9017">
        <v>67630</v>
      </c>
      <c r="B9017">
        <v>1</v>
      </c>
      <c r="C9017">
        <v>16</v>
      </c>
    </row>
    <row r="9018" spans="1:3" x14ac:dyDescent="0.3">
      <c r="A9018">
        <v>67681</v>
      </c>
      <c r="B9018">
        <v>1</v>
      </c>
      <c r="C9018">
        <v>8</v>
      </c>
    </row>
    <row r="9019" spans="1:3" x14ac:dyDescent="0.3">
      <c r="A9019">
        <v>67734</v>
      </c>
      <c r="B9019">
        <v>1</v>
      </c>
      <c r="C9019">
        <v>8</v>
      </c>
    </row>
    <row r="9020" spans="1:3" x14ac:dyDescent="0.3">
      <c r="A9020">
        <v>67842</v>
      </c>
      <c r="B9020">
        <v>2</v>
      </c>
      <c r="C9020">
        <v>16</v>
      </c>
    </row>
    <row r="9021" spans="1:3" x14ac:dyDescent="0.3">
      <c r="A9021">
        <v>67842</v>
      </c>
      <c r="B9021">
        <v>2</v>
      </c>
      <c r="C9021">
        <v>16</v>
      </c>
    </row>
    <row r="9022" spans="1:3" x14ac:dyDescent="0.3">
      <c r="A9022">
        <v>68007</v>
      </c>
      <c r="B9022">
        <v>1</v>
      </c>
      <c r="C9022">
        <v>8</v>
      </c>
    </row>
    <row r="9023" spans="1:3" x14ac:dyDescent="0.3">
      <c r="A9023">
        <v>68008</v>
      </c>
      <c r="B9023">
        <v>1</v>
      </c>
      <c r="C9023">
        <v>16</v>
      </c>
    </row>
    <row r="9024" spans="1:3" x14ac:dyDescent="0.3">
      <c r="A9024">
        <v>68009</v>
      </c>
      <c r="B9024">
        <v>1</v>
      </c>
      <c r="C9024">
        <v>8</v>
      </c>
    </row>
    <row r="9025" spans="1:3" x14ac:dyDescent="0.3">
      <c r="A9025">
        <v>68165</v>
      </c>
      <c r="B9025">
        <v>1</v>
      </c>
      <c r="C9025">
        <v>8</v>
      </c>
    </row>
    <row r="9026" spans="1:3" x14ac:dyDescent="0.3">
      <c r="A9026">
        <v>68251</v>
      </c>
      <c r="B9026">
        <v>1</v>
      </c>
      <c r="C9026">
        <v>8</v>
      </c>
    </row>
    <row r="9027" spans="1:3" x14ac:dyDescent="0.3">
      <c r="A9027">
        <v>68267</v>
      </c>
      <c r="B9027">
        <v>1</v>
      </c>
      <c r="C9027">
        <v>8</v>
      </c>
    </row>
    <row r="9028" spans="1:3" x14ac:dyDescent="0.3">
      <c r="A9028">
        <v>68270</v>
      </c>
      <c r="B9028">
        <v>1</v>
      </c>
      <c r="C9028">
        <v>8</v>
      </c>
    </row>
    <row r="9029" spans="1:3" x14ac:dyDescent="0.3">
      <c r="A9029">
        <v>68360</v>
      </c>
      <c r="B9029">
        <v>1</v>
      </c>
      <c r="C9029">
        <v>8</v>
      </c>
    </row>
    <row r="9030" spans="1:3" x14ac:dyDescent="0.3">
      <c r="A9030">
        <v>68368</v>
      </c>
      <c r="B9030">
        <v>1</v>
      </c>
      <c r="C9030">
        <v>8</v>
      </c>
    </row>
    <row r="9031" spans="1:3" x14ac:dyDescent="0.3">
      <c r="A9031">
        <v>68380</v>
      </c>
      <c r="B9031">
        <v>1</v>
      </c>
      <c r="C9031">
        <v>8</v>
      </c>
    </row>
    <row r="9032" spans="1:3" x14ac:dyDescent="0.3">
      <c r="A9032">
        <v>68410</v>
      </c>
      <c r="B9032">
        <v>1</v>
      </c>
      <c r="C9032">
        <v>8</v>
      </c>
    </row>
    <row r="9033" spans="1:3" x14ac:dyDescent="0.3">
      <c r="A9033">
        <v>68546</v>
      </c>
      <c r="B9033">
        <v>2</v>
      </c>
      <c r="C9033">
        <v>16</v>
      </c>
    </row>
    <row r="9034" spans="1:3" x14ac:dyDescent="0.3">
      <c r="A9034">
        <v>68546</v>
      </c>
      <c r="B9034">
        <v>2</v>
      </c>
      <c r="C9034">
        <v>16</v>
      </c>
    </row>
    <row r="9035" spans="1:3" x14ac:dyDescent="0.3">
      <c r="A9035">
        <v>68559</v>
      </c>
      <c r="B9035">
        <v>1</v>
      </c>
      <c r="C9035">
        <v>8</v>
      </c>
    </row>
    <row r="9036" spans="1:3" x14ac:dyDescent="0.3">
      <c r="A9036">
        <v>68669</v>
      </c>
      <c r="B9036">
        <v>1</v>
      </c>
      <c r="C9036">
        <v>8</v>
      </c>
    </row>
    <row r="9037" spans="1:3" x14ac:dyDescent="0.3">
      <c r="A9037">
        <v>68711</v>
      </c>
      <c r="B9037">
        <v>1</v>
      </c>
      <c r="C9037">
        <v>8</v>
      </c>
    </row>
    <row r="9038" spans="1:3" x14ac:dyDescent="0.3">
      <c r="A9038">
        <v>68722</v>
      </c>
      <c r="B9038">
        <v>1</v>
      </c>
      <c r="C9038">
        <v>8</v>
      </c>
    </row>
    <row r="9039" spans="1:3" x14ac:dyDescent="0.3">
      <c r="A9039">
        <v>68726</v>
      </c>
      <c r="B9039">
        <v>1</v>
      </c>
      <c r="C9039">
        <v>8</v>
      </c>
    </row>
    <row r="9040" spans="1:3" x14ac:dyDescent="0.3">
      <c r="A9040">
        <v>68735</v>
      </c>
      <c r="B9040">
        <v>1</v>
      </c>
      <c r="C9040">
        <v>8</v>
      </c>
    </row>
    <row r="9041" spans="1:3" x14ac:dyDescent="0.3">
      <c r="A9041">
        <v>68738</v>
      </c>
      <c r="B9041">
        <v>1</v>
      </c>
      <c r="C9041">
        <v>8</v>
      </c>
    </row>
    <row r="9042" spans="1:3" x14ac:dyDescent="0.3">
      <c r="A9042">
        <v>68763</v>
      </c>
      <c r="B9042">
        <v>1</v>
      </c>
      <c r="C9042">
        <v>8</v>
      </c>
    </row>
    <row r="9043" spans="1:3" x14ac:dyDescent="0.3">
      <c r="A9043">
        <v>68813</v>
      </c>
      <c r="B9043">
        <v>1</v>
      </c>
      <c r="C9043">
        <v>8</v>
      </c>
    </row>
    <row r="9044" spans="1:3" x14ac:dyDescent="0.3">
      <c r="A9044">
        <v>68974</v>
      </c>
      <c r="B9044">
        <v>1</v>
      </c>
      <c r="C9044">
        <v>8</v>
      </c>
    </row>
    <row r="9045" spans="1:3" x14ac:dyDescent="0.3">
      <c r="A9045">
        <v>69035</v>
      </c>
      <c r="B9045">
        <v>1</v>
      </c>
      <c r="C9045">
        <v>8</v>
      </c>
    </row>
    <row r="9046" spans="1:3" x14ac:dyDescent="0.3">
      <c r="A9046">
        <v>69040</v>
      </c>
      <c r="B9046">
        <v>1</v>
      </c>
      <c r="C9046">
        <v>8</v>
      </c>
    </row>
    <row r="9047" spans="1:3" x14ac:dyDescent="0.3">
      <c r="A9047">
        <v>69075</v>
      </c>
      <c r="B9047">
        <v>1</v>
      </c>
      <c r="C9047">
        <v>8</v>
      </c>
    </row>
    <row r="9048" spans="1:3" x14ac:dyDescent="0.3">
      <c r="A9048">
        <v>69166</v>
      </c>
      <c r="B9048">
        <v>1</v>
      </c>
      <c r="C9048">
        <v>8</v>
      </c>
    </row>
    <row r="9049" spans="1:3" x14ac:dyDescent="0.3">
      <c r="A9049">
        <v>69169</v>
      </c>
      <c r="B9049">
        <v>1</v>
      </c>
      <c r="C9049">
        <v>8</v>
      </c>
    </row>
    <row r="9050" spans="1:3" x14ac:dyDescent="0.3">
      <c r="A9050">
        <v>69258</v>
      </c>
      <c r="B9050">
        <v>1</v>
      </c>
      <c r="C9050">
        <v>8</v>
      </c>
    </row>
    <row r="9051" spans="1:3" x14ac:dyDescent="0.3">
      <c r="A9051">
        <v>69301</v>
      </c>
      <c r="B9051">
        <v>1</v>
      </c>
      <c r="C9051">
        <v>8</v>
      </c>
    </row>
    <row r="9052" spans="1:3" x14ac:dyDescent="0.3">
      <c r="A9052">
        <v>69338</v>
      </c>
      <c r="B9052">
        <v>1</v>
      </c>
      <c r="C9052">
        <v>8</v>
      </c>
    </row>
    <row r="9053" spans="1:3" x14ac:dyDescent="0.3">
      <c r="A9053">
        <v>69344</v>
      </c>
      <c r="B9053">
        <v>1</v>
      </c>
      <c r="C9053">
        <v>8</v>
      </c>
    </row>
    <row r="9054" spans="1:3" x14ac:dyDescent="0.3">
      <c r="A9054">
        <v>69434</v>
      </c>
      <c r="B9054">
        <v>1</v>
      </c>
      <c r="C9054">
        <v>8</v>
      </c>
    </row>
    <row r="9055" spans="1:3" x14ac:dyDescent="0.3">
      <c r="A9055">
        <v>69552</v>
      </c>
      <c r="B9055">
        <v>1</v>
      </c>
      <c r="C9055">
        <v>16</v>
      </c>
    </row>
    <row r="9056" spans="1:3" x14ac:dyDescent="0.3">
      <c r="A9056">
        <v>69561</v>
      </c>
      <c r="B9056">
        <v>1</v>
      </c>
      <c r="C9056">
        <v>8</v>
      </c>
    </row>
    <row r="9057" spans="1:3" x14ac:dyDescent="0.3">
      <c r="A9057">
        <v>69577</v>
      </c>
      <c r="B9057">
        <v>1</v>
      </c>
      <c r="C9057">
        <v>8</v>
      </c>
    </row>
    <row r="9058" spans="1:3" x14ac:dyDescent="0.3">
      <c r="A9058">
        <v>69578</v>
      </c>
      <c r="B9058">
        <v>1</v>
      </c>
      <c r="C9058">
        <v>8</v>
      </c>
    </row>
    <row r="9059" spans="1:3" x14ac:dyDescent="0.3">
      <c r="A9059">
        <v>69579</v>
      </c>
      <c r="B9059">
        <v>1</v>
      </c>
      <c r="C9059">
        <v>8</v>
      </c>
    </row>
    <row r="9060" spans="1:3" x14ac:dyDescent="0.3">
      <c r="A9060">
        <v>69586</v>
      </c>
      <c r="B9060">
        <v>1</v>
      </c>
      <c r="C9060">
        <v>8</v>
      </c>
    </row>
    <row r="9061" spans="1:3" x14ac:dyDescent="0.3">
      <c r="A9061">
        <v>69739</v>
      </c>
      <c r="B9061">
        <v>1</v>
      </c>
      <c r="C9061">
        <v>8</v>
      </c>
    </row>
    <row r="9062" spans="1:3" x14ac:dyDescent="0.3">
      <c r="A9062">
        <v>69797</v>
      </c>
      <c r="B9062">
        <v>1</v>
      </c>
      <c r="C9062">
        <v>8</v>
      </c>
    </row>
    <row r="9063" spans="1:3" x14ac:dyDescent="0.3">
      <c r="A9063">
        <v>69984</v>
      </c>
      <c r="B9063">
        <v>1</v>
      </c>
      <c r="C9063">
        <v>8</v>
      </c>
    </row>
    <row r="9064" spans="1:3" x14ac:dyDescent="0.3">
      <c r="A9064">
        <v>69986</v>
      </c>
      <c r="B9064">
        <v>1</v>
      </c>
      <c r="C9064">
        <v>8</v>
      </c>
    </row>
    <row r="9065" spans="1:3" x14ac:dyDescent="0.3">
      <c r="A9065">
        <v>70139</v>
      </c>
      <c r="B9065">
        <v>1</v>
      </c>
      <c r="C9065">
        <v>8</v>
      </c>
    </row>
    <row r="9066" spans="1:3" x14ac:dyDescent="0.3">
      <c r="A9066">
        <v>70257</v>
      </c>
      <c r="B9066">
        <v>1</v>
      </c>
      <c r="C9066">
        <v>8</v>
      </c>
    </row>
    <row r="9067" spans="1:3" x14ac:dyDescent="0.3">
      <c r="A9067">
        <v>70327</v>
      </c>
      <c r="B9067">
        <v>1</v>
      </c>
      <c r="C9067">
        <v>8</v>
      </c>
    </row>
    <row r="9068" spans="1:3" x14ac:dyDescent="0.3">
      <c r="A9068">
        <v>70328</v>
      </c>
      <c r="B9068">
        <v>1</v>
      </c>
      <c r="C9068">
        <v>8</v>
      </c>
    </row>
    <row r="9069" spans="1:3" x14ac:dyDescent="0.3">
      <c r="A9069">
        <v>70444</v>
      </c>
      <c r="B9069">
        <v>1</v>
      </c>
      <c r="C9069">
        <v>16</v>
      </c>
    </row>
    <row r="9070" spans="1:3" x14ac:dyDescent="0.3">
      <c r="A9070">
        <v>70459</v>
      </c>
      <c r="B9070">
        <v>1</v>
      </c>
      <c r="C9070">
        <v>8</v>
      </c>
    </row>
    <row r="9071" spans="1:3" x14ac:dyDescent="0.3">
      <c r="A9071">
        <v>70658</v>
      </c>
      <c r="B9071">
        <v>1</v>
      </c>
      <c r="C9071">
        <v>8</v>
      </c>
    </row>
    <row r="9072" spans="1:3" x14ac:dyDescent="0.3">
      <c r="A9072">
        <v>70661</v>
      </c>
      <c r="B9072">
        <v>1</v>
      </c>
      <c r="C9072">
        <v>8</v>
      </c>
    </row>
    <row r="9073" spans="1:3" x14ac:dyDescent="0.3">
      <c r="A9073">
        <v>70789</v>
      </c>
      <c r="B9073">
        <v>1</v>
      </c>
      <c r="C9073">
        <v>8</v>
      </c>
    </row>
    <row r="9074" spans="1:3" x14ac:dyDescent="0.3">
      <c r="A9074">
        <v>70812</v>
      </c>
      <c r="B9074">
        <v>1</v>
      </c>
      <c r="C9074">
        <v>8</v>
      </c>
    </row>
    <row r="9075" spans="1:3" x14ac:dyDescent="0.3">
      <c r="A9075">
        <v>70840</v>
      </c>
      <c r="B9075">
        <v>1</v>
      </c>
      <c r="C9075">
        <v>8</v>
      </c>
    </row>
    <row r="9076" spans="1:3" x14ac:dyDescent="0.3">
      <c r="A9076">
        <v>70865</v>
      </c>
      <c r="B9076">
        <v>1</v>
      </c>
      <c r="C9076">
        <v>8</v>
      </c>
    </row>
    <row r="9077" spans="1:3" x14ac:dyDescent="0.3">
      <c r="A9077">
        <v>70940</v>
      </c>
      <c r="B9077">
        <v>1</v>
      </c>
      <c r="C9077">
        <v>8</v>
      </c>
    </row>
    <row r="9078" spans="1:3" x14ac:dyDescent="0.3">
      <c r="A9078">
        <v>70990</v>
      </c>
      <c r="B9078">
        <v>1</v>
      </c>
      <c r="C9078">
        <v>16</v>
      </c>
    </row>
    <row r="9079" spans="1:3" x14ac:dyDescent="0.3">
      <c r="A9079">
        <v>70995</v>
      </c>
      <c r="B9079">
        <v>1</v>
      </c>
      <c r="C9079">
        <v>8</v>
      </c>
    </row>
    <row r="9080" spans="1:3" x14ac:dyDescent="0.3">
      <c r="A9080">
        <v>71034</v>
      </c>
      <c r="B9080">
        <v>1</v>
      </c>
      <c r="C9080">
        <v>16</v>
      </c>
    </row>
    <row r="9081" spans="1:3" x14ac:dyDescent="0.3">
      <c r="A9081">
        <v>71090</v>
      </c>
      <c r="B9081">
        <v>1</v>
      </c>
      <c r="C9081">
        <v>8</v>
      </c>
    </row>
    <row r="9082" spans="1:3" x14ac:dyDescent="0.3">
      <c r="A9082">
        <v>71108</v>
      </c>
      <c r="B9082">
        <v>1</v>
      </c>
      <c r="C9082">
        <v>16</v>
      </c>
    </row>
    <row r="9083" spans="1:3" x14ac:dyDescent="0.3">
      <c r="A9083">
        <v>71109</v>
      </c>
      <c r="B9083">
        <v>1</v>
      </c>
      <c r="C9083">
        <v>8</v>
      </c>
    </row>
    <row r="9084" spans="1:3" x14ac:dyDescent="0.3">
      <c r="A9084">
        <v>71113</v>
      </c>
      <c r="B9084">
        <v>1</v>
      </c>
      <c r="C9084">
        <v>8</v>
      </c>
    </row>
    <row r="9085" spans="1:3" x14ac:dyDescent="0.3">
      <c r="A9085">
        <v>71114</v>
      </c>
      <c r="B9085">
        <v>1</v>
      </c>
      <c r="C9085">
        <v>8</v>
      </c>
    </row>
    <row r="9086" spans="1:3" x14ac:dyDescent="0.3">
      <c r="A9086">
        <v>71139</v>
      </c>
      <c r="B9086">
        <v>1</v>
      </c>
      <c r="C9086">
        <v>8</v>
      </c>
    </row>
    <row r="9087" spans="1:3" x14ac:dyDescent="0.3">
      <c r="A9087">
        <v>71146</v>
      </c>
      <c r="B9087">
        <v>1</v>
      </c>
      <c r="C9087">
        <v>8</v>
      </c>
    </row>
    <row r="9088" spans="1:3" x14ac:dyDescent="0.3">
      <c r="A9088">
        <v>71149</v>
      </c>
      <c r="B9088">
        <v>1</v>
      </c>
      <c r="C9088">
        <v>8</v>
      </c>
    </row>
    <row r="9089" spans="1:3" x14ac:dyDescent="0.3">
      <c r="A9089">
        <v>71150</v>
      </c>
      <c r="B9089">
        <v>1</v>
      </c>
      <c r="C9089">
        <v>8</v>
      </c>
    </row>
    <row r="9090" spans="1:3" x14ac:dyDescent="0.3">
      <c r="A9090">
        <v>71186</v>
      </c>
      <c r="B9090">
        <v>1</v>
      </c>
      <c r="C9090">
        <v>8</v>
      </c>
    </row>
    <row r="9091" spans="1:3" x14ac:dyDescent="0.3">
      <c r="A9091">
        <v>71241</v>
      </c>
      <c r="B9091">
        <v>1</v>
      </c>
      <c r="C9091">
        <v>8</v>
      </c>
    </row>
    <row r="9092" spans="1:3" x14ac:dyDescent="0.3">
      <c r="A9092">
        <v>71242</v>
      </c>
      <c r="B9092">
        <v>1</v>
      </c>
      <c r="C9092">
        <v>8</v>
      </c>
    </row>
    <row r="9093" spans="1:3" x14ac:dyDescent="0.3">
      <c r="A9093">
        <v>71243</v>
      </c>
      <c r="B9093">
        <v>1</v>
      </c>
      <c r="C9093">
        <v>8</v>
      </c>
    </row>
    <row r="9094" spans="1:3" x14ac:dyDescent="0.3">
      <c r="A9094">
        <v>71310</v>
      </c>
      <c r="B9094">
        <v>1</v>
      </c>
      <c r="C9094">
        <v>8</v>
      </c>
    </row>
    <row r="9095" spans="1:3" x14ac:dyDescent="0.3">
      <c r="A9095">
        <v>71381</v>
      </c>
      <c r="B9095">
        <v>1</v>
      </c>
      <c r="C9095">
        <v>8</v>
      </c>
    </row>
    <row r="9096" spans="1:3" x14ac:dyDescent="0.3">
      <c r="A9096">
        <v>71416</v>
      </c>
      <c r="B9096">
        <v>1</v>
      </c>
      <c r="C9096">
        <v>8</v>
      </c>
    </row>
    <row r="9097" spans="1:3" x14ac:dyDescent="0.3">
      <c r="A9097">
        <v>71476</v>
      </c>
      <c r="B9097">
        <v>1</v>
      </c>
      <c r="C9097">
        <v>16</v>
      </c>
    </row>
    <row r="9098" spans="1:3" x14ac:dyDescent="0.3">
      <c r="A9098">
        <v>71595</v>
      </c>
      <c r="B9098">
        <v>1</v>
      </c>
      <c r="C9098">
        <v>8</v>
      </c>
    </row>
    <row r="9099" spans="1:3" x14ac:dyDescent="0.3">
      <c r="A9099">
        <v>71597</v>
      </c>
      <c r="B9099">
        <v>1</v>
      </c>
      <c r="C9099">
        <v>8</v>
      </c>
    </row>
    <row r="9100" spans="1:3" x14ac:dyDescent="0.3">
      <c r="A9100">
        <v>71603</v>
      </c>
      <c r="B9100">
        <v>1</v>
      </c>
      <c r="C9100">
        <v>8</v>
      </c>
    </row>
    <row r="9101" spans="1:3" x14ac:dyDescent="0.3">
      <c r="A9101">
        <v>71623</v>
      </c>
      <c r="B9101">
        <v>1</v>
      </c>
      <c r="C9101">
        <v>8</v>
      </c>
    </row>
    <row r="9102" spans="1:3" x14ac:dyDescent="0.3">
      <c r="A9102">
        <v>71630</v>
      </c>
      <c r="B9102">
        <v>1</v>
      </c>
      <c r="C9102">
        <v>8</v>
      </c>
    </row>
    <row r="9103" spans="1:3" x14ac:dyDescent="0.3">
      <c r="A9103">
        <v>71637</v>
      </c>
      <c r="B9103">
        <v>1</v>
      </c>
      <c r="C9103">
        <v>8</v>
      </c>
    </row>
    <row r="9104" spans="1:3" x14ac:dyDescent="0.3">
      <c r="A9104">
        <v>71708</v>
      </c>
      <c r="B9104">
        <v>1</v>
      </c>
      <c r="C9104">
        <v>8</v>
      </c>
    </row>
    <row r="9105" spans="1:3" x14ac:dyDescent="0.3">
      <c r="A9105">
        <v>71715</v>
      </c>
      <c r="B9105">
        <v>1</v>
      </c>
      <c r="C9105">
        <v>8</v>
      </c>
    </row>
    <row r="9106" spans="1:3" x14ac:dyDescent="0.3">
      <c r="A9106">
        <v>71724</v>
      </c>
      <c r="B9106">
        <v>1</v>
      </c>
      <c r="C9106">
        <v>8</v>
      </c>
    </row>
    <row r="9107" spans="1:3" x14ac:dyDescent="0.3">
      <c r="A9107">
        <v>71768</v>
      </c>
      <c r="B9107">
        <v>1</v>
      </c>
      <c r="C9107">
        <v>8</v>
      </c>
    </row>
    <row r="9108" spans="1:3" x14ac:dyDescent="0.3">
      <c r="A9108">
        <v>71773</v>
      </c>
      <c r="B9108">
        <v>1</v>
      </c>
      <c r="C9108">
        <v>8</v>
      </c>
    </row>
    <row r="9109" spans="1:3" x14ac:dyDescent="0.3">
      <c r="A9109">
        <v>71807</v>
      </c>
      <c r="B9109">
        <v>1</v>
      </c>
      <c r="C9109">
        <v>8</v>
      </c>
    </row>
    <row r="9110" spans="1:3" x14ac:dyDescent="0.3">
      <c r="A9110">
        <v>71822</v>
      </c>
      <c r="B9110">
        <v>1</v>
      </c>
      <c r="C9110">
        <v>8</v>
      </c>
    </row>
    <row r="9111" spans="1:3" x14ac:dyDescent="0.3">
      <c r="A9111">
        <v>71843</v>
      </c>
      <c r="B9111">
        <v>1</v>
      </c>
      <c r="C9111">
        <v>8</v>
      </c>
    </row>
    <row r="9112" spans="1:3" x14ac:dyDescent="0.3">
      <c r="A9112">
        <v>71844</v>
      </c>
      <c r="B9112">
        <v>1</v>
      </c>
      <c r="C9112">
        <v>8</v>
      </c>
    </row>
    <row r="9113" spans="1:3" x14ac:dyDescent="0.3">
      <c r="A9113">
        <v>71854</v>
      </c>
      <c r="B9113">
        <v>1</v>
      </c>
      <c r="C9113">
        <v>8</v>
      </c>
    </row>
    <row r="9114" spans="1:3" x14ac:dyDescent="0.3">
      <c r="A9114">
        <v>71896</v>
      </c>
      <c r="B9114">
        <v>1</v>
      </c>
      <c r="C9114">
        <v>8</v>
      </c>
    </row>
    <row r="9115" spans="1:3" x14ac:dyDescent="0.3">
      <c r="A9115">
        <v>71923</v>
      </c>
      <c r="B9115">
        <v>1</v>
      </c>
      <c r="C9115">
        <v>8</v>
      </c>
    </row>
    <row r="9116" spans="1:3" x14ac:dyDescent="0.3">
      <c r="A9116">
        <v>71929</v>
      </c>
      <c r="B9116">
        <v>1</v>
      </c>
      <c r="C9116">
        <v>8</v>
      </c>
    </row>
    <row r="9117" spans="1:3" x14ac:dyDescent="0.3">
      <c r="A9117">
        <v>71965</v>
      </c>
      <c r="B9117">
        <v>1</v>
      </c>
      <c r="C9117">
        <v>8</v>
      </c>
    </row>
    <row r="9118" spans="1:3" x14ac:dyDescent="0.3">
      <c r="A9118">
        <v>72145</v>
      </c>
      <c r="B9118">
        <v>1</v>
      </c>
      <c r="C9118">
        <v>8</v>
      </c>
    </row>
    <row r="9119" spans="1:3" x14ac:dyDescent="0.3">
      <c r="A9119">
        <v>72146</v>
      </c>
      <c r="B9119">
        <v>1</v>
      </c>
      <c r="C9119">
        <v>8</v>
      </c>
    </row>
    <row r="9120" spans="1:3" x14ac:dyDescent="0.3">
      <c r="A9120">
        <v>72147</v>
      </c>
      <c r="B9120">
        <v>1</v>
      </c>
      <c r="C9120">
        <v>8</v>
      </c>
    </row>
    <row r="9121" spans="1:3" x14ac:dyDescent="0.3">
      <c r="A9121">
        <v>72148</v>
      </c>
      <c r="B9121">
        <v>1</v>
      </c>
      <c r="C9121">
        <v>8</v>
      </c>
    </row>
    <row r="9122" spans="1:3" x14ac:dyDescent="0.3">
      <c r="A9122">
        <v>72169</v>
      </c>
      <c r="B9122">
        <v>1</v>
      </c>
      <c r="C9122">
        <v>8</v>
      </c>
    </row>
    <row r="9123" spans="1:3" x14ac:dyDescent="0.3">
      <c r="A9123">
        <v>72235</v>
      </c>
      <c r="B9123">
        <v>1</v>
      </c>
      <c r="C9123">
        <v>8</v>
      </c>
    </row>
    <row r="9124" spans="1:3" x14ac:dyDescent="0.3">
      <c r="A9124">
        <v>72238</v>
      </c>
      <c r="B9124">
        <v>1</v>
      </c>
      <c r="C9124">
        <v>8</v>
      </c>
    </row>
    <row r="9125" spans="1:3" x14ac:dyDescent="0.3">
      <c r="A9125">
        <v>72254</v>
      </c>
      <c r="B9125">
        <v>1</v>
      </c>
      <c r="C9125">
        <v>16</v>
      </c>
    </row>
    <row r="9126" spans="1:3" x14ac:dyDescent="0.3">
      <c r="A9126">
        <v>72272</v>
      </c>
      <c r="B9126">
        <v>1</v>
      </c>
      <c r="C9126">
        <v>8</v>
      </c>
    </row>
    <row r="9127" spans="1:3" x14ac:dyDescent="0.3">
      <c r="A9127">
        <v>72305</v>
      </c>
      <c r="B9127">
        <v>1</v>
      </c>
      <c r="C9127">
        <v>8</v>
      </c>
    </row>
    <row r="9128" spans="1:3" x14ac:dyDescent="0.3">
      <c r="A9128">
        <v>72490</v>
      </c>
      <c r="B9128">
        <v>1</v>
      </c>
      <c r="C9128">
        <v>8</v>
      </c>
    </row>
    <row r="9129" spans="1:3" x14ac:dyDescent="0.3">
      <c r="A9129">
        <v>72520</v>
      </c>
      <c r="B9129">
        <v>1</v>
      </c>
      <c r="C9129">
        <v>8</v>
      </c>
    </row>
    <row r="9130" spans="1:3" x14ac:dyDescent="0.3">
      <c r="A9130">
        <v>72522</v>
      </c>
      <c r="B9130">
        <v>1</v>
      </c>
      <c r="C9130">
        <v>8</v>
      </c>
    </row>
    <row r="9131" spans="1:3" x14ac:dyDescent="0.3">
      <c r="A9131">
        <v>72572</v>
      </c>
      <c r="B9131">
        <v>1</v>
      </c>
      <c r="C9131">
        <v>8</v>
      </c>
    </row>
    <row r="9132" spans="1:3" x14ac:dyDescent="0.3">
      <c r="A9132">
        <v>72645</v>
      </c>
      <c r="B9132">
        <v>1</v>
      </c>
      <c r="C9132">
        <v>8</v>
      </c>
    </row>
    <row r="9133" spans="1:3" x14ac:dyDescent="0.3">
      <c r="A9133">
        <v>72685</v>
      </c>
      <c r="B9133">
        <v>1</v>
      </c>
      <c r="C9133">
        <v>8</v>
      </c>
    </row>
    <row r="9134" spans="1:3" x14ac:dyDescent="0.3">
      <c r="A9134">
        <v>72821</v>
      </c>
      <c r="B9134">
        <v>1</v>
      </c>
      <c r="C9134">
        <v>8</v>
      </c>
    </row>
    <row r="9135" spans="1:3" x14ac:dyDescent="0.3">
      <c r="A9135">
        <v>72863</v>
      </c>
      <c r="B9135">
        <v>1</v>
      </c>
      <c r="C9135">
        <v>8</v>
      </c>
    </row>
    <row r="9136" spans="1:3" x14ac:dyDescent="0.3">
      <c r="A9136">
        <v>72897</v>
      </c>
      <c r="B9136">
        <v>1</v>
      </c>
      <c r="C9136">
        <v>8</v>
      </c>
    </row>
    <row r="9137" spans="1:3" x14ac:dyDescent="0.3">
      <c r="A9137">
        <v>72913</v>
      </c>
      <c r="B9137">
        <v>1</v>
      </c>
      <c r="C9137">
        <v>8</v>
      </c>
    </row>
    <row r="9138" spans="1:3" x14ac:dyDescent="0.3">
      <c r="A9138">
        <v>72943</v>
      </c>
      <c r="B9138">
        <v>1</v>
      </c>
      <c r="C9138">
        <v>8</v>
      </c>
    </row>
    <row r="9139" spans="1:3" x14ac:dyDescent="0.3">
      <c r="A9139">
        <v>72997</v>
      </c>
      <c r="B9139">
        <v>1</v>
      </c>
      <c r="C9139">
        <v>8</v>
      </c>
    </row>
    <row r="9140" spans="1:3" x14ac:dyDescent="0.3">
      <c r="A9140">
        <v>73102</v>
      </c>
      <c r="B9140">
        <v>1</v>
      </c>
      <c r="C9140">
        <v>8</v>
      </c>
    </row>
    <row r="9141" spans="1:3" x14ac:dyDescent="0.3">
      <c r="A9141">
        <v>73337</v>
      </c>
      <c r="B9141">
        <v>1</v>
      </c>
      <c r="C9141">
        <v>8</v>
      </c>
    </row>
    <row r="9142" spans="1:3" x14ac:dyDescent="0.3">
      <c r="A9142">
        <v>73496</v>
      </c>
      <c r="B9142">
        <v>1</v>
      </c>
      <c r="C9142">
        <v>8</v>
      </c>
    </row>
    <row r="9143" spans="1:3" x14ac:dyDescent="0.3">
      <c r="A9143">
        <v>73545</v>
      </c>
      <c r="B9143">
        <v>1</v>
      </c>
      <c r="C9143">
        <v>8</v>
      </c>
    </row>
    <row r="9144" spans="1:3" x14ac:dyDescent="0.3">
      <c r="A9144">
        <v>73799</v>
      </c>
      <c r="B9144">
        <v>1</v>
      </c>
      <c r="C9144">
        <v>8</v>
      </c>
    </row>
    <row r="9145" spans="1:3" x14ac:dyDescent="0.3">
      <c r="A9145">
        <v>74065</v>
      </c>
      <c r="B9145">
        <v>1</v>
      </c>
      <c r="C9145">
        <v>8</v>
      </c>
    </row>
    <row r="9146" spans="1:3" x14ac:dyDescent="0.3">
      <c r="A9146">
        <v>74128</v>
      </c>
      <c r="B9146">
        <v>1</v>
      </c>
      <c r="C9146">
        <v>8</v>
      </c>
    </row>
    <row r="9147" spans="1:3" x14ac:dyDescent="0.3">
      <c r="A9147">
        <v>74194</v>
      </c>
      <c r="B9147">
        <v>1</v>
      </c>
      <c r="C9147">
        <v>16</v>
      </c>
    </row>
    <row r="9148" spans="1:3" x14ac:dyDescent="0.3">
      <c r="A9148">
        <v>74239</v>
      </c>
      <c r="B9148">
        <v>1</v>
      </c>
      <c r="C9148">
        <v>8</v>
      </c>
    </row>
    <row r="9149" spans="1:3" x14ac:dyDescent="0.3">
      <c r="A9149">
        <v>74370</v>
      </c>
      <c r="B9149">
        <v>1</v>
      </c>
      <c r="C9149">
        <v>8</v>
      </c>
    </row>
    <row r="9150" spans="1:3" x14ac:dyDescent="0.3">
      <c r="A9150">
        <v>74371</v>
      </c>
      <c r="B9150">
        <v>1</v>
      </c>
      <c r="C9150">
        <v>8</v>
      </c>
    </row>
    <row r="9151" spans="1:3" x14ac:dyDescent="0.3">
      <c r="A9151">
        <v>74414</v>
      </c>
      <c r="B9151">
        <v>1</v>
      </c>
      <c r="C9151">
        <v>8</v>
      </c>
    </row>
    <row r="9152" spans="1:3" x14ac:dyDescent="0.3">
      <c r="A9152">
        <v>74458</v>
      </c>
      <c r="B9152">
        <v>1</v>
      </c>
      <c r="C9152">
        <v>8</v>
      </c>
    </row>
    <row r="9153" spans="1:3" x14ac:dyDescent="0.3">
      <c r="A9153">
        <v>74468</v>
      </c>
      <c r="B9153">
        <v>1</v>
      </c>
      <c r="C9153">
        <v>8</v>
      </c>
    </row>
    <row r="9154" spans="1:3" x14ac:dyDescent="0.3">
      <c r="A9154">
        <v>74565</v>
      </c>
      <c r="B9154">
        <v>1</v>
      </c>
      <c r="C9154">
        <v>8</v>
      </c>
    </row>
    <row r="9155" spans="1:3" x14ac:dyDescent="0.3">
      <c r="A9155">
        <v>74577</v>
      </c>
      <c r="B9155">
        <v>1</v>
      </c>
      <c r="C9155">
        <v>8</v>
      </c>
    </row>
    <row r="9156" spans="1:3" x14ac:dyDescent="0.3">
      <c r="A9156">
        <v>74744</v>
      </c>
      <c r="B9156">
        <v>1</v>
      </c>
      <c r="C9156">
        <v>8</v>
      </c>
    </row>
    <row r="9157" spans="1:3" x14ac:dyDescent="0.3">
      <c r="A9157">
        <v>74748</v>
      </c>
      <c r="B9157">
        <v>1</v>
      </c>
      <c r="C9157">
        <v>16</v>
      </c>
    </row>
    <row r="9158" spans="1:3" x14ac:dyDescent="0.3">
      <c r="A9158">
        <v>74755</v>
      </c>
      <c r="B9158">
        <v>1</v>
      </c>
      <c r="C9158">
        <v>8</v>
      </c>
    </row>
    <row r="9159" spans="1:3" x14ac:dyDescent="0.3">
      <c r="A9159">
        <v>74792</v>
      </c>
      <c r="B9159">
        <v>1</v>
      </c>
      <c r="C9159">
        <v>8</v>
      </c>
    </row>
    <row r="9160" spans="1:3" x14ac:dyDescent="0.3">
      <c r="A9160">
        <v>74854</v>
      </c>
      <c r="B9160">
        <v>1</v>
      </c>
      <c r="C9160">
        <v>8</v>
      </c>
    </row>
    <row r="9161" spans="1:3" x14ac:dyDescent="0.3">
      <c r="A9161">
        <v>74914</v>
      </c>
      <c r="B9161">
        <v>1</v>
      </c>
      <c r="C9161">
        <v>8</v>
      </c>
    </row>
    <row r="9162" spans="1:3" x14ac:dyDescent="0.3">
      <c r="A9162">
        <v>74935</v>
      </c>
      <c r="B9162">
        <v>1</v>
      </c>
      <c r="C9162">
        <v>8</v>
      </c>
    </row>
    <row r="9163" spans="1:3" x14ac:dyDescent="0.3">
      <c r="A9163">
        <v>75037</v>
      </c>
      <c r="B9163">
        <v>1</v>
      </c>
      <c r="C9163">
        <v>8</v>
      </c>
    </row>
    <row r="9164" spans="1:3" x14ac:dyDescent="0.3">
      <c r="A9164">
        <v>75062</v>
      </c>
      <c r="B9164">
        <v>1</v>
      </c>
      <c r="C9164">
        <v>8</v>
      </c>
    </row>
    <row r="9165" spans="1:3" x14ac:dyDescent="0.3">
      <c r="A9165">
        <v>75130</v>
      </c>
      <c r="B9165">
        <v>1</v>
      </c>
      <c r="C9165">
        <v>8</v>
      </c>
    </row>
    <row r="9166" spans="1:3" x14ac:dyDescent="0.3">
      <c r="A9166">
        <v>75140</v>
      </c>
      <c r="B9166">
        <v>1</v>
      </c>
      <c r="C9166">
        <v>8</v>
      </c>
    </row>
    <row r="9167" spans="1:3" x14ac:dyDescent="0.3">
      <c r="A9167">
        <v>75261</v>
      </c>
      <c r="B9167">
        <v>1</v>
      </c>
      <c r="C9167">
        <v>16</v>
      </c>
    </row>
    <row r="9168" spans="1:3" x14ac:dyDescent="0.3">
      <c r="A9168">
        <v>75276</v>
      </c>
      <c r="B9168">
        <v>1</v>
      </c>
      <c r="C9168">
        <v>8</v>
      </c>
    </row>
    <row r="9169" spans="1:3" x14ac:dyDescent="0.3">
      <c r="A9169">
        <v>75433</v>
      </c>
      <c r="B9169">
        <v>1</v>
      </c>
      <c r="C9169">
        <v>8</v>
      </c>
    </row>
    <row r="9170" spans="1:3" x14ac:dyDescent="0.3">
      <c r="A9170">
        <v>75479</v>
      </c>
      <c r="B9170">
        <v>1</v>
      </c>
      <c r="C9170">
        <v>8</v>
      </c>
    </row>
    <row r="9171" spans="1:3" x14ac:dyDescent="0.3">
      <c r="A9171">
        <v>75512</v>
      </c>
      <c r="B9171">
        <v>1</v>
      </c>
      <c r="C9171">
        <v>8</v>
      </c>
    </row>
    <row r="9172" spans="1:3" x14ac:dyDescent="0.3">
      <c r="A9172">
        <v>75523</v>
      </c>
      <c r="B9172">
        <v>1</v>
      </c>
      <c r="C9172">
        <v>8</v>
      </c>
    </row>
    <row r="9173" spans="1:3" x14ac:dyDescent="0.3">
      <c r="A9173">
        <v>75565</v>
      </c>
      <c r="B9173">
        <v>1</v>
      </c>
      <c r="C9173">
        <v>8</v>
      </c>
    </row>
    <row r="9174" spans="1:3" x14ac:dyDescent="0.3">
      <c r="A9174">
        <v>75634</v>
      </c>
      <c r="B9174">
        <v>1</v>
      </c>
      <c r="C9174">
        <v>8</v>
      </c>
    </row>
    <row r="9175" spans="1:3" x14ac:dyDescent="0.3">
      <c r="A9175">
        <v>75639</v>
      </c>
      <c r="B9175">
        <v>2</v>
      </c>
      <c r="C9175">
        <v>16</v>
      </c>
    </row>
    <row r="9176" spans="1:3" x14ac:dyDescent="0.3">
      <c r="A9176">
        <v>75639</v>
      </c>
      <c r="B9176">
        <v>2</v>
      </c>
      <c r="C9176">
        <v>16</v>
      </c>
    </row>
    <row r="9177" spans="1:3" x14ac:dyDescent="0.3">
      <c r="A9177">
        <v>75732</v>
      </c>
      <c r="B9177">
        <v>1</v>
      </c>
      <c r="C9177">
        <v>8</v>
      </c>
    </row>
    <row r="9178" spans="1:3" x14ac:dyDescent="0.3">
      <c r="A9178">
        <v>75795</v>
      </c>
      <c r="B9178">
        <v>1</v>
      </c>
      <c r="C9178">
        <v>8</v>
      </c>
    </row>
    <row r="9179" spans="1:3" x14ac:dyDescent="0.3">
      <c r="A9179">
        <v>75828</v>
      </c>
      <c r="B9179">
        <v>1</v>
      </c>
      <c r="C9179">
        <v>8</v>
      </c>
    </row>
    <row r="9180" spans="1:3" x14ac:dyDescent="0.3">
      <c r="A9180">
        <v>75878</v>
      </c>
      <c r="B9180">
        <v>1</v>
      </c>
      <c r="C9180">
        <v>16</v>
      </c>
    </row>
    <row r="9181" spans="1:3" x14ac:dyDescent="0.3">
      <c r="A9181">
        <v>75912</v>
      </c>
      <c r="B9181">
        <v>1</v>
      </c>
      <c r="C9181">
        <v>8</v>
      </c>
    </row>
    <row r="9182" spans="1:3" x14ac:dyDescent="0.3">
      <c r="A9182">
        <v>76022</v>
      </c>
      <c r="B9182">
        <v>1</v>
      </c>
      <c r="C9182">
        <v>8</v>
      </c>
    </row>
    <row r="9183" spans="1:3" x14ac:dyDescent="0.3">
      <c r="A9183">
        <v>76042</v>
      </c>
      <c r="B9183">
        <v>1</v>
      </c>
      <c r="C9183">
        <v>8</v>
      </c>
    </row>
    <row r="9184" spans="1:3" x14ac:dyDescent="0.3">
      <c r="A9184">
        <v>76061</v>
      </c>
      <c r="B9184">
        <v>1</v>
      </c>
      <c r="C9184">
        <v>8</v>
      </c>
    </row>
    <row r="9185" spans="1:3" x14ac:dyDescent="0.3">
      <c r="A9185">
        <v>76068</v>
      </c>
      <c r="B9185">
        <v>1</v>
      </c>
      <c r="C9185">
        <v>8</v>
      </c>
    </row>
    <row r="9186" spans="1:3" x14ac:dyDescent="0.3">
      <c r="A9186">
        <v>76075</v>
      </c>
      <c r="B9186">
        <v>1</v>
      </c>
      <c r="C9186">
        <v>8</v>
      </c>
    </row>
    <row r="9187" spans="1:3" x14ac:dyDescent="0.3">
      <c r="A9187">
        <v>76089</v>
      </c>
      <c r="B9187">
        <v>1</v>
      </c>
      <c r="C9187">
        <v>16</v>
      </c>
    </row>
    <row r="9188" spans="1:3" x14ac:dyDescent="0.3">
      <c r="A9188">
        <v>76094</v>
      </c>
      <c r="B9188">
        <v>1</v>
      </c>
      <c r="C9188">
        <v>8</v>
      </c>
    </row>
    <row r="9189" spans="1:3" x14ac:dyDescent="0.3">
      <c r="A9189">
        <v>76099</v>
      </c>
      <c r="B9189">
        <v>1</v>
      </c>
      <c r="C9189">
        <v>8</v>
      </c>
    </row>
    <row r="9190" spans="1:3" x14ac:dyDescent="0.3">
      <c r="A9190">
        <v>76161</v>
      </c>
      <c r="B9190">
        <v>1</v>
      </c>
      <c r="C9190">
        <v>8</v>
      </c>
    </row>
    <row r="9191" spans="1:3" x14ac:dyDescent="0.3">
      <c r="A9191">
        <v>76238</v>
      </c>
      <c r="B9191">
        <v>1</v>
      </c>
      <c r="C9191">
        <v>8</v>
      </c>
    </row>
    <row r="9192" spans="1:3" x14ac:dyDescent="0.3">
      <c r="A9192">
        <v>76282</v>
      </c>
      <c r="B9192">
        <v>1</v>
      </c>
      <c r="C9192">
        <v>8</v>
      </c>
    </row>
    <row r="9193" spans="1:3" x14ac:dyDescent="0.3">
      <c r="A9193">
        <v>76311</v>
      </c>
      <c r="B9193">
        <v>1</v>
      </c>
      <c r="C9193">
        <v>8</v>
      </c>
    </row>
    <row r="9194" spans="1:3" x14ac:dyDescent="0.3">
      <c r="A9194">
        <v>76322</v>
      </c>
      <c r="B9194">
        <v>1</v>
      </c>
      <c r="C9194">
        <v>8</v>
      </c>
    </row>
    <row r="9195" spans="1:3" x14ac:dyDescent="0.3">
      <c r="A9195">
        <v>76325</v>
      </c>
      <c r="B9195">
        <v>1</v>
      </c>
      <c r="C9195">
        <v>8</v>
      </c>
    </row>
    <row r="9196" spans="1:3" x14ac:dyDescent="0.3">
      <c r="A9196">
        <v>76343</v>
      </c>
      <c r="B9196">
        <v>1</v>
      </c>
      <c r="C9196">
        <v>8</v>
      </c>
    </row>
    <row r="9197" spans="1:3" x14ac:dyDescent="0.3">
      <c r="A9197">
        <v>76345</v>
      </c>
      <c r="B9197">
        <v>1</v>
      </c>
      <c r="C9197">
        <v>8</v>
      </c>
    </row>
    <row r="9198" spans="1:3" x14ac:dyDescent="0.3">
      <c r="A9198">
        <v>76383</v>
      </c>
      <c r="B9198">
        <v>1</v>
      </c>
      <c r="C9198">
        <v>8</v>
      </c>
    </row>
    <row r="9199" spans="1:3" x14ac:dyDescent="0.3">
      <c r="A9199">
        <v>76558</v>
      </c>
      <c r="B9199">
        <v>1</v>
      </c>
      <c r="C9199">
        <v>8</v>
      </c>
    </row>
    <row r="9200" spans="1:3" x14ac:dyDescent="0.3">
      <c r="A9200">
        <v>76613</v>
      </c>
      <c r="B9200">
        <v>1</v>
      </c>
      <c r="C9200">
        <v>8</v>
      </c>
    </row>
    <row r="9201" spans="1:3" x14ac:dyDescent="0.3">
      <c r="A9201">
        <v>76645</v>
      </c>
      <c r="B9201">
        <v>1</v>
      </c>
      <c r="C9201">
        <v>8</v>
      </c>
    </row>
    <row r="9202" spans="1:3" x14ac:dyDescent="0.3">
      <c r="A9202" s="26">
        <v>76733</v>
      </c>
      <c r="B9202" s="26">
        <v>1</v>
      </c>
      <c r="C9202" s="26">
        <v>8</v>
      </c>
    </row>
    <row r="9203" spans="1:3" x14ac:dyDescent="0.3">
      <c r="A9203">
        <v>76768</v>
      </c>
      <c r="B9203">
        <v>1</v>
      </c>
      <c r="C9203">
        <v>8</v>
      </c>
    </row>
    <row r="9204" spans="1:3" x14ac:dyDescent="0.3">
      <c r="A9204">
        <v>76799</v>
      </c>
      <c r="B9204">
        <v>1</v>
      </c>
      <c r="C9204">
        <v>8</v>
      </c>
    </row>
    <row r="9205" spans="1:3" x14ac:dyDescent="0.3">
      <c r="A9205">
        <v>76858</v>
      </c>
      <c r="B9205">
        <v>1</v>
      </c>
      <c r="C9205">
        <v>8</v>
      </c>
    </row>
    <row r="9206" spans="1:3" x14ac:dyDescent="0.3">
      <c r="A9206">
        <v>76918</v>
      </c>
      <c r="B9206">
        <v>1</v>
      </c>
      <c r="C9206">
        <v>16</v>
      </c>
    </row>
    <row r="9207" spans="1:3" x14ac:dyDescent="0.3">
      <c r="A9207">
        <v>76923</v>
      </c>
      <c r="B9207">
        <v>1</v>
      </c>
      <c r="C9207">
        <v>8</v>
      </c>
    </row>
    <row r="9208" spans="1:3" x14ac:dyDescent="0.3">
      <c r="A9208">
        <v>76972</v>
      </c>
      <c r="B9208">
        <v>1</v>
      </c>
      <c r="C9208">
        <v>8</v>
      </c>
    </row>
    <row r="9209" spans="1:3" x14ac:dyDescent="0.3">
      <c r="A9209">
        <v>76973</v>
      </c>
      <c r="B9209">
        <v>1</v>
      </c>
      <c r="C9209">
        <v>8</v>
      </c>
    </row>
    <row r="9210" spans="1:3" x14ac:dyDescent="0.3">
      <c r="A9210">
        <v>76995</v>
      </c>
      <c r="B9210">
        <v>1</v>
      </c>
      <c r="C9210">
        <v>16</v>
      </c>
    </row>
    <row r="9211" spans="1:3" x14ac:dyDescent="0.3">
      <c r="A9211">
        <v>77015</v>
      </c>
      <c r="B9211">
        <v>1</v>
      </c>
      <c r="C9211">
        <v>8</v>
      </c>
    </row>
    <row r="9212" spans="1:3" x14ac:dyDescent="0.3">
      <c r="A9212">
        <v>77109</v>
      </c>
      <c r="B9212">
        <v>1</v>
      </c>
      <c r="C9212">
        <v>8</v>
      </c>
    </row>
    <row r="9213" spans="1:3" x14ac:dyDescent="0.3">
      <c r="A9213">
        <v>77113</v>
      </c>
      <c r="B9213">
        <v>1</v>
      </c>
      <c r="C9213">
        <v>8</v>
      </c>
    </row>
    <row r="9214" spans="1:3" x14ac:dyDescent="0.3">
      <c r="A9214">
        <v>77117</v>
      </c>
      <c r="B9214">
        <v>1</v>
      </c>
      <c r="C9214">
        <v>8</v>
      </c>
    </row>
    <row r="9215" spans="1:3" x14ac:dyDescent="0.3">
      <c r="A9215">
        <v>77130</v>
      </c>
      <c r="B9215">
        <v>1</v>
      </c>
      <c r="C9215">
        <v>8</v>
      </c>
    </row>
    <row r="9216" spans="1:3" x14ac:dyDescent="0.3">
      <c r="A9216">
        <v>77134</v>
      </c>
      <c r="B9216">
        <v>1</v>
      </c>
      <c r="C9216">
        <v>8</v>
      </c>
    </row>
    <row r="9217" spans="1:3" x14ac:dyDescent="0.3">
      <c r="A9217">
        <v>77142</v>
      </c>
      <c r="B9217">
        <v>1</v>
      </c>
      <c r="C9217">
        <v>8</v>
      </c>
    </row>
    <row r="9218" spans="1:3" x14ac:dyDescent="0.3">
      <c r="A9218">
        <v>77144</v>
      </c>
      <c r="B9218">
        <v>1</v>
      </c>
      <c r="C9218">
        <v>8</v>
      </c>
    </row>
    <row r="9219" spans="1:3" x14ac:dyDescent="0.3">
      <c r="A9219">
        <v>77148</v>
      </c>
      <c r="B9219">
        <v>1</v>
      </c>
      <c r="C9219">
        <v>8</v>
      </c>
    </row>
    <row r="9220" spans="1:3" x14ac:dyDescent="0.3">
      <c r="A9220">
        <v>77203</v>
      </c>
      <c r="B9220">
        <v>1</v>
      </c>
      <c r="C9220">
        <v>8</v>
      </c>
    </row>
    <row r="9221" spans="1:3" x14ac:dyDescent="0.3">
      <c r="A9221">
        <v>77206</v>
      </c>
      <c r="B9221">
        <v>1</v>
      </c>
      <c r="C9221">
        <v>8</v>
      </c>
    </row>
    <row r="9222" spans="1:3" x14ac:dyDescent="0.3">
      <c r="A9222">
        <v>77238</v>
      </c>
      <c r="B9222">
        <v>1</v>
      </c>
      <c r="C9222">
        <v>8</v>
      </c>
    </row>
    <row r="9223" spans="1:3" x14ac:dyDescent="0.3">
      <c r="A9223">
        <v>77288</v>
      </c>
      <c r="B9223">
        <v>1</v>
      </c>
      <c r="C9223">
        <v>8</v>
      </c>
    </row>
    <row r="9224" spans="1:3" x14ac:dyDescent="0.3">
      <c r="A9224">
        <v>77292</v>
      </c>
      <c r="B9224">
        <v>1</v>
      </c>
      <c r="C9224">
        <v>8</v>
      </c>
    </row>
    <row r="9225" spans="1:3" x14ac:dyDescent="0.3">
      <c r="A9225">
        <v>77294</v>
      </c>
      <c r="B9225">
        <v>1</v>
      </c>
      <c r="C9225">
        <v>8</v>
      </c>
    </row>
    <row r="9226" spans="1:3" x14ac:dyDescent="0.3">
      <c r="A9226">
        <v>77303</v>
      </c>
      <c r="B9226">
        <v>1</v>
      </c>
      <c r="C9226">
        <v>8</v>
      </c>
    </row>
    <row r="9227" spans="1:3" x14ac:dyDescent="0.3">
      <c r="A9227">
        <v>77317</v>
      </c>
      <c r="B9227">
        <v>1</v>
      </c>
      <c r="C9227">
        <v>8</v>
      </c>
    </row>
    <row r="9228" spans="1:3" x14ac:dyDescent="0.3">
      <c r="A9228">
        <v>77398</v>
      </c>
      <c r="B9228">
        <v>1</v>
      </c>
      <c r="C9228">
        <v>8</v>
      </c>
    </row>
    <row r="9229" spans="1:3" x14ac:dyDescent="0.3">
      <c r="A9229">
        <v>77416</v>
      </c>
      <c r="B9229">
        <v>1</v>
      </c>
      <c r="C9229">
        <v>8</v>
      </c>
    </row>
    <row r="9230" spans="1:3" x14ac:dyDescent="0.3">
      <c r="A9230">
        <v>77459</v>
      </c>
      <c r="B9230">
        <v>1</v>
      </c>
      <c r="C9230">
        <v>8</v>
      </c>
    </row>
    <row r="9231" spans="1:3" x14ac:dyDescent="0.3">
      <c r="A9231">
        <v>77467</v>
      </c>
      <c r="B9231">
        <v>1</v>
      </c>
      <c r="C9231">
        <v>8</v>
      </c>
    </row>
    <row r="9232" spans="1:3" x14ac:dyDescent="0.3">
      <c r="A9232">
        <v>77471</v>
      </c>
      <c r="B9232">
        <v>1</v>
      </c>
      <c r="C9232">
        <v>8</v>
      </c>
    </row>
    <row r="9233" spans="1:3" x14ac:dyDescent="0.3">
      <c r="A9233">
        <v>77474</v>
      </c>
      <c r="B9233">
        <v>1</v>
      </c>
      <c r="C9233">
        <v>8</v>
      </c>
    </row>
    <row r="9234" spans="1:3" x14ac:dyDescent="0.3">
      <c r="A9234">
        <v>77549</v>
      </c>
      <c r="B9234">
        <v>1</v>
      </c>
      <c r="C9234">
        <v>8</v>
      </c>
    </row>
    <row r="9235" spans="1:3" x14ac:dyDescent="0.3">
      <c r="A9235">
        <v>77555</v>
      </c>
      <c r="B9235">
        <v>1</v>
      </c>
      <c r="C9235">
        <v>8</v>
      </c>
    </row>
    <row r="9236" spans="1:3" x14ac:dyDescent="0.3">
      <c r="A9236">
        <v>77582</v>
      </c>
      <c r="B9236">
        <v>1</v>
      </c>
      <c r="C9236">
        <v>8</v>
      </c>
    </row>
    <row r="9237" spans="1:3" x14ac:dyDescent="0.3">
      <c r="A9237">
        <v>77594</v>
      </c>
      <c r="B9237">
        <v>1</v>
      </c>
      <c r="C9237">
        <v>8</v>
      </c>
    </row>
    <row r="9238" spans="1:3" x14ac:dyDescent="0.3">
      <c r="A9238">
        <v>77595</v>
      </c>
      <c r="B9238">
        <v>1</v>
      </c>
      <c r="C9238">
        <v>8</v>
      </c>
    </row>
    <row r="9239" spans="1:3" x14ac:dyDescent="0.3">
      <c r="A9239">
        <v>77603</v>
      </c>
      <c r="B9239">
        <v>1</v>
      </c>
      <c r="C9239">
        <v>8</v>
      </c>
    </row>
    <row r="9240" spans="1:3" x14ac:dyDescent="0.3">
      <c r="A9240">
        <v>77624</v>
      </c>
      <c r="B9240">
        <v>1</v>
      </c>
      <c r="C9240">
        <v>16</v>
      </c>
    </row>
    <row r="9241" spans="1:3" x14ac:dyDescent="0.3">
      <c r="A9241">
        <v>77636</v>
      </c>
      <c r="B9241">
        <v>1</v>
      </c>
      <c r="C9241">
        <v>8</v>
      </c>
    </row>
    <row r="9242" spans="1:3" x14ac:dyDescent="0.3">
      <c r="A9242">
        <v>77668</v>
      </c>
      <c r="B9242">
        <v>1</v>
      </c>
      <c r="C9242">
        <v>8</v>
      </c>
    </row>
    <row r="9243" spans="1:3" x14ac:dyDescent="0.3">
      <c r="A9243">
        <v>77680</v>
      </c>
      <c r="B9243">
        <v>1</v>
      </c>
      <c r="C9243">
        <v>8</v>
      </c>
    </row>
    <row r="9244" spans="1:3" x14ac:dyDescent="0.3">
      <c r="A9244">
        <v>77807</v>
      </c>
      <c r="B9244">
        <v>1</v>
      </c>
      <c r="C9244">
        <v>8</v>
      </c>
    </row>
    <row r="9245" spans="1:3" x14ac:dyDescent="0.3">
      <c r="A9245">
        <v>77809</v>
      </c>
      <c r="B9245">
        <v>1</v>
      </c>
      <c r="C9245">
        <v>8</v>
      </c>
    </row>
    <row r="9246" spans="1:3" x14ac:dyDescent="0.3">
      <c r="A9246">
        <v>77820</v>
      </c>
      <c r="B9246">
        <v>1</v>
      </c>
      <c r="C9246">
        <v>8</v>
      </c>
    </row>
    <row r="9247" spans="1:3" x14ac:dyDescent="0.3">
      <c r="A9247">
        <v>77918</v>
      </c>
      <c r="B9247">
        <v>1</v>
      </c>
      <c r="C9247">
        <v>16</v>
      </c>
    </row>
    <row r="9248" spans="1:3" x14ac:dyDescent="0.3">
      <c r="A9248">
        <v>77926</v>
      </c>
      <c r="B9248">
        <v>1</v>
      </c>
      <c r="C9248">
        <v>8</v>
      </c>
    </row>
    <row r="9249" spans="1:3" x14ac:dyDescent="0.3">
      <c r="A9249">
        <v>77928</v>
      </c>
      <c r="B9249">
        <v>1</v>
      </c>
      <c r="C9249">
        <v>8</v>
      </c>
    </row>
    <row r="9250" spans="1:3" x14ac:dyDescent="0.3">
      <c r="A9250">
        <v>77992</v>
      </c>
      <c r="B9250">
        <v>1</v>
      </c>
      <c r="C9250">
        <v>8</v>
      </c>
    </row>
    <row r="9251" spans="1:3" x14ac:dyDescent="0.3">
      <c r="A9251">
        <v>78008</v>
      </c>
      <c r="B9251">
        <v>1</v>
      </c>
      <c r="C9251">
        <v>8</v>
      </c>
    </row>
    <row r="9252" spans="1:3" x14ac:dyDescent="0.3">
      <c r="A9252">
        <v>78021</v>
      </c>
      <c r="B9252">
        <v>1</v>
      </c>
      <c r="C9252">
        <v>8</v>
      </c>
    </row>
    <row r="9253" spans="1:3" x14ac:dyDescent="0.3">
      <c r="A9253">
        <v>78147</v>
      </c>
      <c r="B9253">
        <v>1</v>
      </c>
      <c r="C9253">
        <v>8</v>
      </c>
    </row>
    <row r="9254" spans="1:3" x14ac:dyDescent="0.3">
      <c r="A9254">
        <v>78158</v>
      </c>
      <c r="B9254">
        <v>1</v>
      </c>
      <c r="C9254">
        <v>8</v>
      </c>
    </row>
    <row r="9255" spans="1:3" x14ac:dyDescent="0.3">
      <c r="A9255">
        <v>78196</v>
      </c>
      <c r="B9255">
        <v>1</v>
      </c>
      <c r="C9255">
        <v>8</v>
      </c>
    </row>
    <row r="9256" spans="1:3" x14ac:dyDescent="0.3">
      <c r="A9256">
        <v>78197</v>
      </c>
      <c r="B9256">
        <v>1</v>
      </c>
      <c r="C9256">
        <v>8</v>
      </c>
    </row>
    <row r="9257" spans="1:3" x14ac:dyDescent="0.3">
      <c r="A9257">
        <v>78201</v>
      </c>
      <c r="B9257">
        <v>1</v>
      </c>
      <c r="C9257">
        <v>8</v>
      </c>
    </row>
    <row r="9258" spans="1:3" x14ac:dyDescent="0.3">
      <c r="A9258">
        <v>78248</v>
      </c>
      <c r="B9258">
        <v>1</v>
      </c>
      <c r="C9258">
        <v>16</v>
      </c>
    </row>
    <row r="9259" spans="1:3" x14ac:dyDescent="0.3">
      <c r="A9259">
        <v>78324</v>
      </c>
      <c r="B9259">
        <v>1</v>
      </c>
      <c r="C9259">
        <v>8</v>
      </c>
    </row>
    <row r="9260" spans="1:3" x14ac:dyDescent="0.3">
      <c r="A9260">
        <v>78357</v>
      </c>
      <c r="B9260">
        <v>1</v>
      </c>
      <c r="C9260">
        <v>8</v>
      </c>
    </row>
    <row r="9261" spans="1:3" x14ac:dyDescent="0.3">
      <c r="A9261">
        <v>78364</v>
      </c>
      <c r="B9261">
        <v>1</v>
      </c>
      <c r="C9261">
        <v>8</v>
      </c>
    </row>
    <row r="9262" spans="1:3" x14ac:dyDescent="0.3">
      <c r="A9262">
        <v>78390</v>
      </c>
      <c r="B9262">
        <v>1</v>
      </c>
      <c r="C9262">
        <v>8</v>
      </c>
    </row>
    <row r="9263" spans="1:3" x14ac:dyDescent="0.3">
      <c r="A9263">
        <v>78392</v>
      </c>
      <c r="B9263">
        <v>1</v>
      </c>
      <c r="C9263">
        <v>8</v>
      </c>
    </row>
    <row r="9264" spans="1:3" x14ac:dyDescent="0.3">
      <c r="A9264">
        <v>78422</v>
      </c>
      <c r="B9264">
        <v>1</v>
      </c>
      <c r="C9264">
        <v>8</v>
      </c>
    </row>
    <row r="9265" spans="1:3" x14ac:dyDescent="0.3">
      <c r="A9265">
        <v>78438</v>
      </c>
      <c r="B9265">
        <v>1</v>
      </c>
      <c r="C9265">
        <v>8</v>
      </c>
    </row>
    <row r="9266" spans="1:3" x14ac:dyDescent="0.3">
      <c r="A9266">
        <v>78462</v>
      </c>
      <c r="B9266">
        <v>1</v>
      </c>
      <c r="C9266">
        <v>8</v>
      </c>
    </row>
    <row r="9267" spans="1:3" x14ac:dyDescent="0.3">
      <c r="A9267">
        <v>78466</v>
      </c>
      <c r="B9267">
        <v>1</v>
      </c>
      <c r="C9267">
        <v>8</v>
      </c>
    </row>
    <row r="9268" spans="1:3" x14ac:dyDescent="0.3">
      <c r="A9268">
        <v>78529</v>
      </c>
      <c r="B9268">
        <v>1</v>
      </c>
      <c r="C9268">
        <v>8</v>
      </c>
    </row>
    <row r="9269" spans="1:3" x14ac:dyDescent="0.3">
      <c r="A9269">
        <v>78535</v>
      </c>
      <c r="B9269">
        <v>1</v>
      </c>
      <c r="C9269">
        <v>8</v>
      </c>
    </row>
    <row r="9270" spans="1:3" x14ac:dyDescent="0.3">
      <c r="A9270">
        <v>78560</v>
      </c>
      <c r="B9270">
        <v>1</v>
      </c>
      <c r="C9270">
        <v>8</v>
      </c>
    </row>
    <row r="9271" spans="1:3" x14ac:dyDescent="0.3">
      <c r="A9271">
        <v>78606</v>
      </c>
      <c r="B9271">
        <v>1</v>
      </c>
      <c r="C9271">
        <v>8</v>
      </c>
    </row>
    <row r="9272" spans="1:3" x14ac:dyDescent="0.3">
      <c r="A9272">
        <v>78877</v>
      </c>
      <c r="B9272">
        <v>1</v>
      </c>
      <c r="C9272">
        <v>8</v>
      </c>
    </row>
    <row r="9273" spans="1:3" x14ac:dyDescent="0.3">
      <c r="A9273">
        <v>78896</v>
      </c>
      <c r="B9273">
        <v>1</v>
      </c>
      <c r="C9273">
        <v>8</v>
      </c>
    </row>
    <row r="9274" spans="1:3" x14ac:dyDescent="0.3">
      <c r="A9274">
        <v>79053</v>
      </c>
      <c r="B9274">
        <v>1</v>
      </c>
      <c r="C9274">
        <v>8</v>
      </c>
    </row>
    <row r="9275" spans="1:3" x14ac:dyDescent="0.3">
      <c r="A9275">
        <v>79080</v>
      </c>
      <c r="B9275">
        <v>1</v>
      </c>
      <c r="C9275">
        <v>8</v>
      </c>
    </row>
    <row r="9276" spans="1:3" x14ac:dyDescent="0.3">
      <c r="A9276">
        <v>79097</v>
      </c>
      <c r="B9276">
        <v>1</v>
      </c>
      <c r="C9276">
        <v>8</v>
      </c>
    </row>
    <row r="9277" spans="1:3" x14ac:dyDescent="0.3">
      <c r="A9277">
        <v>79188</v>
      </c>
      <c r="B9277">
        <v>1</v>
      </c>
      <c r="C9277">
        <v>8</v>
      </c>
    </row>
    <row r="9278" spans="1:3" x14ac:dyDescent="0.3">
      <c r="A9278">
        <v>79219</v>
      </c>
      <c r="B9278">
        <v>1</v>
      </c>
      <c r="C9278">
        <v>8</v>
      </c>
    </row>
    <row r="9279" spans="1:3" x14ac:dyDescent="0.3">
      <c r="A9279">
        <v>79300</v>
      </c>
      <c r="B9279">
        <v>1</v>
      </c>
      <c r="C9279">
        <v>16</v>
      </c>
    </row>
    <row r="9280" spans="1:3" x14ac:dyDescent="0.3">
      <c r="A9280">
        <v>79301</v>
      </c>
      <c r="B9280">
        <v>1</v>
      </c>
      <c r="C9280">
        <v>8</v>
      </c>
    </row>
    <row r="9281" spans="1:3" x14ac:dyDescent="0.3">
      <c r="A9281">
        <v>79309</v>
      </c>
      <c r="B9281">
        <v>1</v>
      </c>
      <c r="C9281">
        <v>8</v>
      </c>
    </row>
    <row r="9282" spans="1:3" x14ac:dyDescent="0.3">
      <c r="A9282">
        <v>79312</v>
      </c>
      <c r="B9282">
        <v>1</v>
      </c>
      <c r="C9282">
        <v>16</v>
      </c>
    </row>
    <row r="9283" spans="1:3" x14ac:dyDescent="0.3">
      <c r="A9283">
        <v>79314</v>
      </c>
      <c r="B9283">
        <v>1</v>
      </c>
      <c r="C9283">
        <v>8</v>
      </c>
    </row>
    <row r="9284" spans="1:3" x14ac:dyDescent="0.3">
      <c r="A9284">
        <v>79320</v>
      </c>
      <c r="B9284">
        <v>1</v>
      </c>
      <c r="C9284">
        <v>8</v>
      </c>
    </row>
    <row r="9285" spans="1:3" x14ac:dyDescent="0.3">
      <c r="A9285">
        <v>79322</v>
      </c>
      <c r="B9285">
        <v>1</v>
      </c>
      <c r="C9285">
        <v>8</v>
      </c>
    </row>
    <row r="9286" spans="1:3" x14ac:dyDescent="0.3">
      <c r="A9286">
        <v>79400</v>
      </c>
      <c r="B9286">
        <v>1</v>
      </c>
      <c r="C9286">
        <v>8</v>
      </c>
    </row>
    <row r="9287" spans="1:3" x14ac:dyDescent="0.3">
      <c r="A9287">
        <v>79402</v>
      </c>
      <c r="B9287">
        <v>1</v>
      </c>
      <c r="C9287">
        <v>8</v>
      </c>
    </row>
    <row r="9288" spans="1:3" x14ac:dyDescent="0.3">
      <c r="A9288">
        <v>79417</v>
      </c>
      <c r="B9288">
        <v>1</v>
      </c>
      <c r="C9288">
        <v>8</v>
      </c>
    </row>
    <row r="9289" spans="1:3" x14ac:dyDescent="0.3">
      <c r="A9289">
        <v>79423</v>
      </c>
      <c r="B9289">
        <v>1</v>
      </c>
      <c r="C9289">
        <v>8</v>
      </c>
    </row>
    <row r="9290" spans="1:3" x14ac:dyDescent="0.3">
      <c r="A9290">
        <v>79575</v>
      </c>
      <c r="B9290">
        <v>1</v>
      </c>
      <c r="C9290">
        <v>8</v>
      </c>
    </row>
    <row r="9291" spans="1:3" x14ac:dyDescent="0.3">
      <c r="A9291">
        <v>79635</v>
      </c>
      <c r="B9291">
        <v>1</v>
      </c>
      <c r="C9291">
        <v>8</v>
      </c>
    </row>
    <row r="9292" spans="1:3" x14ac:dyDescent="0.3">
      <c r="A9292">
        <v>79793</v>
      </c>
      <c r="B9292">
        <v>1</v>
      </c>
      <c r="C9292">
        <v>8</v>
      </c>
    </row>
    <row r="9293" spans="1:3" x14ac:dyDescent="0.3">
      <c r="A9293">
        <v>79794</v>
      </c>
      <c r="B9293">
        <v>1</v>
      </c>
      <c r="C9293">
        <v>8</v>
      </c>
    </row>
    <row r="9294" spans="1:3" x14ac:dyDescent="0.3">
      <c r="A9294">
        <v>79798</v>
      </c>
      <c r="B9294">
        <v>1</v>
      </c>
      <c r="C9294">
        <v>8</v>
      </c>
    </row>
    <row r="9295" spans="1:3" x14ac:dyDescent="0.3">
      <c r="A9295">
        <v>79816</v>
      </c>
      <c r="B9295">
        <v>1</v>
      </c>
      <c r="C9295">
        <v>8</v>
      </c>
    </row>
    <row r="9296" spans="1:3" x14ac:dyDescent="0.3">
      <c r="A9296">
        <v>79945</v>
      </c>
      <c r="B9296">
        <v>1</v>
      </c>
      <c r="C9296">
        <v>8</v>
      </c>
    </row>
    <row r="9297" spans="1:3" x14ac:dyDescent="0.3">
      <c r="A9297">
        <v>80139</v>
      </c>
      <c r="B9297">
        <v>1</v>
      </c>
      <c r="C9297">
        <v>8</v>
      </c>
    </row>
    <row r="9298" spans="1:3" x14ac:dyDescent="0.3">
      <c r="A9298">
        <v>80390</v>
      </c>
      <c r="B9298">
        <v>1</v>
      </c>
      <c r="C9298">
        <v>8</v>
      </c>
    </row>
    <row r="9299" spans="1:3" x14ac:dyDescent="0.3">
      <c r="A9299">
        <v>80604</v>
      </c>
      <c r="B9299">
        <v>1</v>
      </c>
      <c r="C9299">
        <v>8</v>
      </c>
    </row>
    <row r="9300" spans="1:3" x14ac:dyDescent="0.3">
      <c r="A9300">
        <v>80681</v>
      </c>
      <c r="B9300">
        <v>1</v>
      </c>
      <c r="C9300">
        <v>8</v>
      </c>
    </row>
    <row r="9301" spans="1:3" x14ac:dyDescent="0.3">
      <c r="A9301">
        <v>80907</v>
      </c>
      <c r="B9301">
        <v>1</v>
      </c>
      <c r="C9301">
        <v>8</v>
      </c>
    </row>
    <row r="9302" spans="1:3" x14ac:dyDescent="0.3">
      <c r="A9302">
        <v>80958</v>
      </c>
      <c r="B9302">
        <v>1</v>
      </c>
      <c r="C9302">
        <v>16</v>
      </c>
    </row>
    <row r="9303" spans="1:3" x14ac:dyDescent="0.3">
      <c r="A9303">
        <v>81189</v>
      </c>
      <c r="B9303">
        <v>1</v>
      </c>
      <c r="C9303">
        <v>8</v>
      </c>
    </row>
    <row r="9304" spans="1:3" x14ac:dyDescent="0.3">
      <c r="A9304">
        <v>81243</v>
      </c>
      <c r="B9304">
        <v>1</v>
      </c>
      <c r="C9304">
        <v>8</v>
      </c>
    </row>
    <row r="9305" spans="1:3" x14ac:dyDescent="0.3">
      <c r="A9305">
        <v>10142</v>
      </c>
      <c r="B9305">
        <v>3</v>
      </c>
      <c r="C9305">
        <v>16</v>
      </c>
    </row>
    <row r="9306" spans="1:3" x14ac:dyDescent="0.3">
      <c r="A9306">
        <v>10142</v>
      </c>
      <c r="B9306">
        <v>3</v>
      </c>
      <c r="C9306">
        <v>16</v>
      </c>
    </row>
    <row r="9307" spans="1:3" x14ac:dyDescent="0.3">
      <c r="A9307">
        <v>10142</v>
      </c>
      <c r="B9307">
        <v>3</v>
      </c>
      <c r="C9307">
        <v>16</v>
      </c>
    </row>
    <row r="9308" spans="1:3" x14ac:dyDescent="0.3">
      <c r="A9308">
        <v>10193</v>
      </c>
      <c r="B9308">
        <v>1</v>
      </c>
      <c r="C9308">
        <v>8</v>
      </c>
    </row>
    <row r="9309" spans="1:3" x14ac:dyDescent="0.3">
      <c r="A9309">
        <v>10254</v>
      </c>
      <c r="B9309">
        <v>1</v>
      </c>
      <c r="C9309">
        <v>8</v>
      </c>
    </row>
    <row r="9310" spans="1:3" x14ac:dyDescent="0.3">
      <c r="A9310">
        <v>10325</v>
      </c>
      <c r="B9310">
        <v>2</v>
      </c>
      <c r="C9310">
        <v>16</v>
      </c>
    </row>
    <row r="9311" spans="1:3" x14ac:dyDescent="0.3">
      <c r="A9311">
        <v>10325</v>
      </c>
      <c r="B9311">
        <v>2</v>
      </c>
      <c r="C9311">
        <v>16</v>
      </c>
    </row>
    <row r="9312" spans="1:3" x14ac:dyDescent="0.3">
      <c r="A9312">
        <v>10516</v>
      </c>
      <c r="B9312">
        <v>1</v>
      </c>
      <c r="C9312">
        <v>16</v>
      </c>
    </row>
    <row r="9313" spans="1:3" x14ac:dyDescent="0.3">
      <c r="A9313">
        <v>10711</v>
      </c>
      <c r="B9313">
        <v>2</v>
      </c>
      <c r="C9313">
        <v>16</v>
      </c>
    </row>
    <row r="9314" spans="1:3" x14ac:dyDescent="0.3">
      <c r="A9314">
        <v>10711</v>
      </c>
      <c r="B9314">
        <v>2</v>
      </c>
      <c r="C9314">
        <v>16</v>
      </c>
    </row>
    <row r="9315" spans="1:3" x14ac:dyDescent="0.3">
      <c r="A9315">
        <v>10882</v>
      </c>
      <c r="B9315">
        <v>1</v>
      </c>
      <c r="C9315">
        <v>16</v>
      </c>
    </row>
    <row r="9316" spans="1:3" x14ac:dyDescent="0.3">
      <c r="A9316">
        <v>10987</v>
      </c>
      <c r="B9316">
        <v>1</v>
      </c>
      <c r="C9316">
        <v>8</v>
      </c>
    </row>
    <row r="9317" spans="1:3" x14ac:dyDescent="0.3">
      <c r="A9317">
        <v>11186</v>
      </c>
      <c r="B9317">
        <v>1</v>
      </c>
      <c r="C9317">
        <v>16</v>
      </c>
    </row>
    <row r="9318" spans="1:3" x14ac:dyDescent="0.3">
      <c r="A9318">
        <v>11437</v>
      </c>
      <c r="B9318">
        <v>1</v>
      </c>
      <c r="C9318">
        <v>16</v>
      </c>
    </row>
    <row r="9319" spans="1:3" x14ac:dyDescent="0.3">
      <c r="A9319">
        <v>11696</v>
      </c>
      <c r="B9319">
        <v>2</v>
      </c>
      <c r="C9319">
        <v>16</v>
      </c>
    </row>
    <row r="9320" spans="1:3" x14ac:dyDescent="0.3">
      <c r="A9320">
        <v>11696</v>
      </c>
      <c r="B9320">
        <v>2</v>
      </c>
      <c r="C9320">
        <v>16</v>
      </c>
    </row>
    <row r="9321" spans="1:3" x14ac:dyDescent="0.3">
      <c r="A9321">
        <v>12109</v>
      </c>
      <c r="B9321">
        <v>1</v>
      </c>
      <c r="C9321">
        <v>8</v>
      </c>
    </row>
    <row r="9322" spans="1:3" x14ac:dyDescent="0.3">
      <c r="A9322">
        <v>12280</v>
      </c>
      <c r="B9322">
        <v>1</v>
      </c>
      <c r="C9322">
        <v>8</v>
      </c>
    </row>
    <row r="9323" spans="1:3" x14ac:dyDescent="0.3">
      <c r="A9323">
        <v>12647</v>
      </c>
      <c r="B9323">
        <v>1</v>
      </c>
      <c r="C9323">
        <v>8</v>
      </c>
    </row>
    <row r="9324" spans="1:3" x14ac:dyDescent="0.3">
      <c r="A9324">
        <v>12718</v>
      </c>
      <c r="B9324">
        <v>1</v>
      </c>
      <c r="C9324">
        <v>16</v>
      </c>
    </row>
    <row r="9325" spans="1:3" x14ac:dyDescent="0.3">
      <c r="A9325">
        <v>13134</v>
      </c>
      <c r="B9325">
        <v>1</v>
      </c>
      <c r="C9325">
        <v>16</v>
      </c>
    </row>
    <row r="9326" spans="1:3" x14ac:dyDescent="0.3">
      <c r="A9326">
        <v>13577</v>
      </c>
      <c r="B9326">
        <v>1</v>
      </c>
      <c r="C9326">
        <v>8</v>
      </c>
    </row>
    <row r="9327" spans="1:3" x14ac:dyDescent="0.3">
      <c r="A9327">
        <v>13860</v>
      </c>
      <c r="B9327">
        <v>1</v>
      </c>
      <c r="C9327">
        <v>8</v>
      </c>
    </row>
    <row r="9328" spans="1:3" x14ac:dyDescent="0.3">
      <c r="A9328">
        <v>13993</v>
      </c>
      <c r="B9328">
        <v>1</v>
      </c>
      <c r="C9328">
        <v>8</v>
      </c>
    </row>
    <row r="9329" spans="1:3" x14ac:dyDescent="0.3">
      <c r="A9329">
        <v>14691</v>
      </c>
      <c r="B9329">
        <v>1</v>
      </c>
      <c r="C9329">
        <v>8</v>
      </c>
    </row>
    <row r="9330" spans="1:3" x14ac:dyDescent="0.3">
      <c r="A9330">
        <v>15133</v>
      </c>
      <c r="B9330">
        <v>1</v>
      </c>
      <c r="C9330">
        <v>8</v>
      </c>
    </row>
    <row r="9331" spans="1:3" x14ac:dyDescent="0.3">
      <c r="A9331">
        <v>15151</v>
      </c>
      <c r="B9331">
        <v>1</v>
      </c>
      <c r="C9331">
        <v>8</v>
      </c>
    </row>
    <row r="9332" spans="1:3" x14ac:dyDescent="0.3">
      <c r="A9332">
        <v>15375</v>
      </c>
      <c r="B9332">
        <v>1</v>
      </c>
      <c r="C9332">
        <v>8</v>
      </c>
    </row>
    <row r="9333" spans="1:3" x14ac:dyDescent="0.3">
      <c r="A9333">
        <v>15563</v>
      </c>
      <c r="B9333">
        <v>1</v>
      </c>
      <c r="C9333">
        <v>8</v>
      </c>
    </row>
    <row r="9334" spans="1:3" x14ac:dyDescent="0.3">
      <c r="A9334">
        <v>15637</v>
      </c>
      <c r="B9334">
        <v>1</v>
      </c>
      <c r="C9334">
        <v>8</v>
      </c>
    </row>
    <row r="9335" spans="1:3" x14ac:dyDescent="0.3">
      <c r="A9335">
        <v>15644</v>
      </c>
      <c r="B9335">
        <v>1</v>
      </c>
      <c r="C9335">
        <v>8</v>
      </c>
    </row>
    <row r="9336" spans="1:3" x14ac:dyDescent="0.3">
      <c r="A9336">
        <v>15690</v>
      </c>
      <c r="B9336">
        <v>1</v>
      </c>
      <c r="C9336">
        <v>8</v>
      </c>
    </row>
    <row r="9337" spans="1:3" x14ac:dyDescent="0.3">
      <c r="A9337">
        <v>15851</v>
      </c>
      <c r="B9337">
        <v>1</v>
      </c>
      <c r="C9337">
        <v>8</v>
      </c>
    </row>
    <row r="9338" spans="1:3" x14ac:dyDescent="0.3">
      <c r="A9338">
        <v>16010</v>
      </c>
      <c r="B9338">
        <v>1</v>
      </c>
      <c r="C9338">
        <v>8</v>
      </c>
    </row>
    <row r="9339" spans="1:3" x14ac:dyDescent="0.3">
      <c r="A9339">
        <v>16174</v>
      </c>
      <c r="B9339">
        <v>1</v>
      </c>
      <c r="C9339">
        <v>8</v>
      </c>
    </row>
    <row r="9340" spans="1:3" x14ac:dyDescent="0.3">
      <c r="A9340">
        <v>16810</v>
      </c>
      <c r="B9340">
        <v>3</v>
      </c>
      <c r="C9340">
        <v>16</v>
      </c>
    </row>
    <row r="9341" spans="1:3" x14ac:dyDescent="0.3">
      <c r="A9341">
        <v>16810</v>
      </c>
      <c r="B9341">
        <v>3</v>
      </c>
      <c r="C9341">
        <v>16</v>
      </c>
    </row>
    <row r="9342" spans="1:3" x14ac:dyDescent="0.3">
      <c r="A9342">
        <v>16810</v>
      </c>
      <c r="B9342">
        <v>3</v>
      </c>
      <c r="C9342">
        <v>16</v>
      </c>
    </row>
    <row r="9343" spans="1:3" x14ac:dyDescent="0.3">
      <c r="A9343">
        <v>16887</v>
      </c>
      <c r="B9343">
        <v>1</v>
      </c>
      <c r="C9343">
        <v>8</v>
      </c>
    </row>
    <row r="9344" spans="1:3" x14ac:dyDescent="0.3">
      <c r="A9344">
        <v>16940</v>
      </c>
      <c r="B9344">
        <v>1</v>
      </c>
      <c r="C9344">
        <v>8</v>
      </c>
    </row>
    <row r="9345" spans="1:3" x14ac:dyDescent="0.3">
      <c r="A9345">
        <v>17095</v>
      </c>
      <c r="B9345">
        <v>1</v>
      </c>
      <c r="C9345">
        <v>16</v>
      </c>
    </row>
    <row r="9346" spans="1:3" x14ac:dyDescent="0.3">
      <c r="A9346">
        <v>17527</v>
      </c>
      <c r="B9346">
        <v>3</v>
      </c>
      <c r="C9346">
        <v>16</v>
      </c>
    </row>
    <row r="9347" spans="1:3" x14ac:dyDescent="0.3">
      <c r="A9347">
        <v>17527</v>
      </c>
      <c r="B9347">
        <v>3</v>
      </c>
      <c r="C9347">
        <v>16</v>
      </c>
    </row>
    <row r="9348" spans="1:3" x14ac:dyDescent="0.3">
      <c r="A9348">
        <v>17527</v>
      </c>
      <c r="B9348">
        <v>3</v>
      </c>
      <c r="C9348">
        <v>16</v>
      </c>
    </row>
    <row r="9349" spans="1:3" x14ac:dyDescent="0.3">
      <c r="A9349">
        <v>18427</v>
      </c>
      <c r="B9349">
        <v>1</v>
      </c>
      <c r="C9349">
        <v>8</v>
      </c>
    </row>
    <row r="9350" spans="1:3" x14ac:dyDescent="0.3">
      <c r="A9350">
        <v>18504</v>
      </c>
      <c r="B9350">
        <v>1</v>
      </c>
      <c r="C9350">
        <v>16</v>
      </c>
    </row>
    <row r="9351" spans="1:3" x14ac:dyDescent="0.3">
      <c r="A9351">
        <v>18931</v>
      </c>
      <c r="B9351">
        <v>1</v>
      </c>
      <c r="C9351">
        <v>8</v>
      </c>
    </row>
    <row r="9352" spans="1:3" x14ac:dyDescent="0.3">
      <c r="A9352">
        <v>18995</v>
      </c>
      <c r="B9352">
        <v>2</v>
      </c>
      <c r="C9352">
        <v>16</v>
      </c>
    </row>
    <row r="9353" spans="1:3" x14ac:dyDescent="0.3">
      <c r="A9353">
        <v>18995</v>
      </c>
      <c r="B9353">
        <v>2</v>
      </c>
      <c r="C9353">
        <v>16</v>
      </c>
    </row>
    <row r="9354" spans="1:3" x14ac:dyDescent="0.3">
      <c r="A9354">
        <v>19021</v>
      </c>
      <c r="B9354">
        <v>2</v>
      </c>
      <c r="C9354">
        <v>16</v>
      </c>
    </row>
    <row r="9355" spans="1:3" x14ac:dyDescent="0.3">
      <c r="A9355">
        <v>19021</v>
      </c>
      <c r="B9355">
        <v>2</v>
      </c>
      <c r="C9355">
        <v>16</v>
      </c>
    </row>
    <row r="9356" spans="1:3" x14ac:dyDescent="0.3">
      <c r="A9356">
        <v>19131</v>
      </c>
      <c r="B9356">
        <v>1</v>
      </c>
      <c r="C9356">
        <v>8</v>
      </c>
    </row>
    <row r="9357" spans="1:3" x14ac:dyDescent="0.3">
      <c r="A9357">
        <v>19301</v>
      </c>
      <c r="B9357">
        <v>1</v>
      </c>
      <c r="C9357">
        <v>8</v>
      </c>
    </row>
    <row r="9358" spans="1:3" x14ac:dyDescent="0.3">
      <c r="A9358">
        <v>19548</v>
      </c>
      <c r="B9358">
        <v>1</v>
      </c>
      <c r="C9358">
        <v>8</v>
      </c>
    </row>
    <row r="9359" spans="1:3" x14ac:dyDescent="0.3">
      <c r="A9359">
        <v>21114</v>
      </c>
      <c r="B9359">
        <v>1</v>
      </c>
      <c r="C9359">
        <v>8</v>
      </c>
    </row>
    <row r="9360" spans="1:3" x14ac:dyDescent="0.3">
      <c r="A9360">
        <v>21463</v>
      </c>
      <c r="B9360">
        <v>1</v>
      </c>
      <c r="C9360">
        <v>8</v>
      </c>
    </row>
    <row r="9361" spans="1:3" x14ac:dyDescent="0.3">
      <c r="A9361">
        <v>23813</v>
      </c>
      <c r="B9361">
        <v>1</v>
      </c>
      <c r="C9361">
        <v>8</v>
      </c>
    </row>
    <row r="9362" spans="1:3" x14ac:dyDescent="0.3">
      <c r="A9362">
        <v>24238</v>
      </c>
      <c r="B9362">
        <v>1</v>
      </c>
      <c r="C9362">
        <v>8</v>
      </c>
    </row>
    <row r="9363" spans="1:3" x14ac:dyDescent="0.3">
      <c r="A9363">
        <v>24983</v>
      </c>
      <c r="B9363">
        <v>1</v>
      </c>
      <c r="C9363">
        <v>8</v>
      </c>
    </row>
    <row r="9364" spans="1:3" x14ac:dyDescent="0.3">
      <c r="A9364">
        <v>25085</v>
      </c>
      <c r="B9364">
        <v>2</v>
      </c>
      <c r="C9364">
        <v>16</v>
      </c>
    </row>
    <row r="9365" spans="1:3" x14ac:dyDescent="0.3">
      <c r="A9365">
        <v>25085</v>
      </c>
      <c r="B9365">
        <v>2</v>
      </c>
      <c r="C9365">
        <v>16</v>
      </c>
    </row>
    <row r="9366" spans="1:3" x14ac:dyDescent="0.3">
      <c r="A9366">
        <v>25427</v>
      </c>
      <c r="B9366">
        <v>1</v>
      </c>
      <c r="C9366">
        <v>16</v>
      </c>
    </row>
    <row r="9367" spans="1:3" x14ac:dyDescent="0.3">
      <c r="A9367">
        <v>26150</v>
      </c>
      <c r="B9367">
        <v>1</v>
      </c>
      <c r="C9367">
        <v>8</v>
      </c>
    </row>
    <row r="9368" spans="1:3" x14ac:dyDescent="0.3">
      <c r="A9368">
        <v>26278</v>
      </c>
      <c r="B9368">
        <v>2</v>
      </c>
      <c r="C9368">
        <v>16</v>
      </c>
    </row>
    <row r="9369" spans="1:3" x14ac:dyDescent="0.3">
      <c r="A9369">
        <v>26278</v>
      </c>
      <c r="B9369">
        <v>2</v>
      </c>
      <c r="C9369">
        <v>16</v>
      </c>
    </row>
    <row r="9370" spans="1:3" x14ac:dyDescent="0.3">
      <c r="A9370">
        <v>26936</v>
      </c>
      <c r="B9370">
        <v>1</v>
      </c>
      <c r="C9370">
        <v>16</v>
      </c>
    </row>
    <row r="9371" spans="1:3" x14ac:dyDescent="0.3">
      <c r="A9371">
        <v>27117</v>
      </c>
      <c r="B9371">
        <v>1</v>
      </c>
      <c r="C9371">
        <v>16</v>
      </c>
    </row>
    <row r="9372" spans="1:3" x14ac:dyDescent="0.3">
      <c r="A9372">
        <v>27118</v>
      </c>
      <c r="B9372">
        <v>1</v>
      </c>
      <c r="C9372">
        <v>8</v>
      </c>
    </row>
    <row r="9373" spans="1:3" x14ac:dyDescent="0.3">
      <c r="A9373">
        <v>27230</v>
      </c>
      <c r="B9373">
        <v>1</v>
      </c>
      <c r="C9373">
        <v>8</v>
      </c>
    </row>
    <row r="9374" spans="1:3" x14ac:dyDescent="0.3">
      <c r="A9374">
        <v>27315</v>
      </c>
      <c r="B9374">
        <v>1</v>
      </c>
      <c r="C9374">
        <v>8</v>
      </c>
    </row>
    <row r="9375" spans="1:3" x14ac:dyDescent="0.3">
      <c r="A9375">
        <v>27834</v>
      </c>
      <c r="B9375">
        <v>1</v>
      </c>
      <c r="C9375">
        <v>8</v>
      </c>
    </row>
    <row r="9376" spans="1:3" x14ac:dyDescent="0.3">
      <c r="A9376">
        <v>27897</v>
      </c>
      <c r="B9376">
        <v>1</v>
      </c>
      <c r="C9376">
        <v>16</v>
      </c>
    </row>
    <row r="9377" spans="1:3" x14ac:dyDescent="0.3">
      <c r="A9377">
        <v>27941</v>
      </c>
      <c r="B9377">
        <v>1</v>
      </c>
      <c r="C9377">
        <v>8</v>
      </c>
    </row>
    <row r="9378" spans="1:3" x14ac:dyDescent="0.3">
      <c r="A9378">
        <v>27967</v>
      </c>
      <c r="B9378">
        <v>1</v>
      </c>
      <c r="C9378">
        <v>8</v>
      </c>
    </row>
    <row r="9379" spans="1:3" x14ac:dyDescent="0.3">
      <c r="A9379">
        <v>28207</v>
      </c>
      <c r="B9379">
        <v>1</v>
      </c>
      <c r="C9379">
        <v>8</v>
      </c>
    </row>
    <row r="9380" spans="1:3" x14ac:dyDescent="0.3">
      <c r="A9380">
        <v>28374</v>
      </c>
      <c r="B9380">
        <v>1</v>
      </c>
      <c r="C9380">
        <v>16</v>
      </c>
    </row>
    <row r="9381" spans="1:3" x14ac:dyDescent="0.3">
      <c r="A9381">
        <v>28984</v>
      </c>
      <c r="B9381">
        <v>1</v>
      </c>
      <c r="C9381">
        <v>8</v>
      </c>
    </row>
    <row r="9382" spans="1:3" x14ac:dyDescent="0.3">
      <c r="A9382">
        <v>29530</v>
      </c>
      <c r="B9382">
        <v>1</v>
      </c>
      <c r="C9382">
        <v>8</v>
      </c>
    </row>
    <row r="9383" spans="1:3" x14ac:dyDescent="0.3">
      <c r="A9383">
        <v>29579</v>
      </c>
      <c r="B9383">
        <v>1</v>
      </c>
      <c r="C9383">
        <v>8</v>
      </c>
    </row>
    <row r="9384" spans="1:3" x14ac:dyDescent="0.3">
      <c r="A9384">
        <v>29654</v>
      </c>
      <c r="B9384">
        <v>1</v>
      </c>
      <c r="C9384">
        <v>8</v>
      </c>
    </row>
    <row r="9385" spans="1:3" x14ac:dyDescent="0.3">
      <c r="A9385">
        <v>29986</v>
      </c>
      <c r="B9385">
        <v>1</v>
      </c>
      <c r="C9385">
        <v>8</v>
      </c>
    </row>
    <row r="9386" spans="1:3" x14ac:dyDescent="0.3">
      <c r="A9386">
        <v>30639</v>
      </c>
      <c r="B9386">
        <v>1</v>
      </c>
      <c r="C9386">
        <v>8</v>
      </c>
    </row>
    <row r="9387" spans="1:3" x14ac:dyDescent="0.3">
      <c r="A9387">
        <v>30674</v>
      </c>
      <c r="B9387">
        <v>1</v>
      </c>
      <c r="C9387">
        <v>8</v>
      </c>
    </row>
    <row r="9388" spans="1:3" x14ac:dyDescent="0.3">
      <c r="A9388">
        <v>31271</v>
      </c>
      <c r="B9388">
        <v>1</v>
      </c>
      <c r="C9388">
        <v>8</v>
      </c>
    </row>
    <row r="9389" spans="1:3" x14ac:dyDescent="0.3">
      <c r="A9389">
        <v>31361</v>
      </c>
      <c r="B9389">
        <v>1</v>
      </c>
      <c r="C9389">
        <v>8</v>
      </c>
    </row>
    <row r="9390" spans="1:3" x14ac:dyDescent="0.3">
      <c r="A9390">
        <v>31376</v>
      </c>
      <c r="B9390">
        <v>1</v>
      </c>
      <c r="C9390">
        <v>16</v>
      </c>
    </row>
    <row r="9391" spans="1:3" x14ac:dyDescent="0.3">
      <c r="A9391">
        <v>31805</v>
      </c>
      <c r="B9391">
        <v>1</v>
      </c>
      <c r="C9391">
        <v>8</v>
      </c>
    </row>
    <row r="9392" spans="1:3" x14ac:dyDescent="0.3">
      <c r="A9392">
        <v>31840</v>
      </c>
      <c r="B9392">
        <v>1</v>
      </c>
      <c r="C9392">
        <v>8</v>
      </c>
    </row>
    <row r="9393" spans="1:3" x14ac:dyDescent="0.3">
      <c r="A9393">
        <v>32012</v>
      </c>
      <c r="B9393">
        <v>1</v>
      </c>
      <c r="C9393">
        <v>8</v>
      </c>
    </row>
    <row r="9394" spans="1:3" x14ac:dyDescent="0.3">
      <c r="A9394">
        <v>32033</v>
      </c>
      <c r="B9394">
        <v>1</v>
      </c>
      <c r="C9394">
        <v>8</v>
      </c>
    </row>
    <row r="9395" spans="1:3" x14ac:dyDescent="0.3">
      <c r="A9395">
        <v>32064</v>
      </c>
      <c r="B9395">
        <v>1</v>
      </c>
      <c r="C9395">
        <v>8</v>
      </c>
    </row>
    <row r="9396" spans="1:3" x14ac:dyDescent="0.3">
      <c r="A9396">
        <v>32266</v>
      </c>
      <c r="B9396">
        <v>2</v>
      </c>
      <c r="C9396">
        <v>16</v>
      </c>
    </row>
    <row r="9397" spans="1:3" x14ac:dyDescent="0.3">
      <c r="A9397">
        <v>32266</v>
      </c>
      <c r="B9397">
        <v>2</v>
      </c>
      <c r="C9397">
        <v>16</v>
      </c>
    </row>
    <row r="9398" spans="1:3" x14ac:dyDescent="0.3">
      <c r="A9398">
        <v>32585</v>
      </c>
      <c r="B9398">
        <v>1</v>
      </c>
      <c r="C9398">
        <v>8</v>
      </c>
    </row>
    <row r="9399" spans="1:3" x14ac:dyDescent="0.3">
      <c r="A9399">
        <v>32664</v>
      </c>
      <c r="B9399">
        <v>1</v>
      </c>
      <c r="C9399">
        <v>8</v>
      </c>
    </row>
    <row r="9400" spans="1:3" x14ac:dyDescent="0.3">
      <c r="A9400">
        <v>32942</v>
      </c>
      <c r="B9400">
        <v>1</v>
      </c>
      <c r="C9400">
        <v>8</v>
      </c>
    </row>
    <row r="9401" spans="1:3" x14ac:dyDescent="0.3">
      <c r="A9401">
        <v>33430</v>
      </c>
      <c r="B9401">
        <v>1</v>
      </c>
      <c r="C9401">
        <v>8</v>
      </c>
    </row>
    <row r="9402" spans="1:3" x14ac:dyDescent="0.3">
      <c r="A9402">
        <v>33456</v>
      </c>
      <c r="B9402">
        <v>1</v>
      </c>
      <c r="C9402">
        <v>8</v>
      </c>
    </row>
    <row r="9403" spans="1:3" x14ac:dyDescent="0.3">
      <c r="A9403">
        <v>33494</v>
      </c>
      <c r="B9403">
        <v>1</v>
      </c>
      <c r="C9403">
        <v>8</v>
      </c>
    </row>
    <row r="9404" spans="1:3" x14ac:dyDescent="0.3">
      <c r="A9404">
        <v>33496</v>
      </c>
      <c r="B9404">
        <v>1</v>
      </c>
      <c r="C9404">
        <v>8</v>
      </c>
    </row>
    <row r="9405" spans="1:3" x14ac:dyDescent="0.3">
      <c r="A9405">
        <v>33583</v>
      </c>
      <c r="B9405">
        <v>1</v>
      </c>
      <c r="C9405">
        <v>8</v>
      </c>
    </row>
    <row r="9406" spans="1:3" x14ac:dyDescent="0.3">
      <c r="A9406">
        <v>33702</v>
      </c>
      <c r="B9406">
        <v>1</v>
      </c>
      <c r="C9406">
        <v>8</v>
      </c>
    </row>
    <row r="9407" spans="1:3" x14ac:dyDescent="0.3">
      <c r="A9407">
        <v>33765</v>
      </c>
      <c r="B9407">
        <v>1</v>
      </c>
      <c r="C9407">
        <v>16</v>
      </c>
    </row>
    <row r="9408" spans="1:3" x14ac:dyDescent="0.3">
      <c r="A9408">
        <v>33828</v>
      </c>
      <c r="B9408">
        <v>1</v>
      </c>
      <c r="C9408">
        <v>8</v>
      </c>
    </row>
    <row r="9409" spans="1:3" x14ac:dyDescent="0.3">
      <c r="A9409">
        <v>33975</v>
      </c>
      <c r="B9409">
        <v>1</v>
      </c>
      <c r="C9409">
        <v>8</v>
      </c>
    </row>
    <row r="9410" spans="1:3" x14ac:dyDescent="0.3">
      <c r="A9410">
        <v>34061</v>
      </c>
      <c r="B9410">
        <v>1</v>
      </c>
      <c r="C9410">
        <v>8</v>
      </c>
    </row>
    <row r="9411" spans="1:3" x14ac:dyDescent="0.3">
      <c r="A9411">
        <v>34204</v>
      </c>
      <c r="B9411">
        <v>1</v>
      </c>
      <c r="C9411">
        <v>16</v>
      </c>
    </row>
    <row r="9412" spans="1:3" x14ac:dyDescent="0.3">
      <c r="A9412">
        <v>34275</v>
      </c>
      <c r="B9412">
        <v>1</v>
      </c>
      <c r="C9412">
        <v>8</v>
      </c>
    </row>
    <row r="9413" spans="1:3" x14ac:dyDescent="0.3">
      <c r="A9413">
        <v>34526</v>
      </c>
      <c r="B9413">
        <v>1</v>
      </c>
      <c r="C9413">
        <v>8</v>
      </c>
    </row>
    <row r="9414" spans="1:3" x14ac:dyDescent="0.3">
      <c r="A9414">
        <v>34542</v>
      </c>
      <c r="B9414">
        <v>2</v>
      </c>
      <c r="C9414">
        <v>16</v>
      </c>
    </row>
    <row r="9415" spans="1:3" x14ac:dyDescent="0.3">
      <c r="A9415">
        <v>34542</v>
      </c>
      <c r="B9415">
        <v>2</v>
      </c>
      <c r="C9415">
        <v>16</v>
      </c>
    </row>
    <row r="9416" spans="1:3" x14ac:dyDescent="0.3">
      <c r="A9416">
        <v>34938</v>
      </c>
      <c r="B9416">
        <v>2</v>
      </c>
      <c r="C9416">
        <v>8</v>
      </c>
    </row>
    <row r="9417" spans="1:3" x14ac:dyDescent="0.3">
      <c r="A9417">
        <v>34938</v>
      </c>
      <c r="B9417">
        <v>2</v>
      </c>
      <c r="C9417">
        <v>8</v>
      </c>
    </row>
    <row r="9418" spans="1:3" x14ac:dyDescent="0.3">
      <c r="A9418">
        <v>34999</v>
      </c>
      <c r="B9418">
        <v>1</v>
      </c>
      <c r="C9418">
        <v>8</v>
      </c>
    </row>
    <row r="9419" spans="1:3" x14ac:dyDescent="0.3">
      <c r="A9419">
        <v>35074</v>
      </c>
      <c r="B9419">
        <v>1</v>
      </c>
      <c r="C9419">
        <v>8</v>
      </c>
    </row>
    <row r="9420" spans="1:3" x14ac:dyDescent="0.3">
      <c r="A9420">
        <v>35110</v>
      </c>
      <c r="B9420">
        <v>1</v>
      </c>
      <c r="C9420">
        <v>8</v>
      </c>
    </row>
    <row r="9421" spans="1:3" x14ac:dyDescent="0.3">
      <c r="A9421">
        <v>35311</v>
      </c>
      <c r="B9421">
        <v>1</v>
      </c>
      <c r="C9421">
        <v>8</v>
      </c>
    </row>
    <row r="9422" spans="1:3" x14ac:dyDescent="0.3">
      <c r="A9422">
        <v>35618</v>
      </c>
      <c r="B9422">
        <v>1</v>
      </c>
      <c r="C9422">
        <v>8</v>
      </c>
    </row>
    <row r="9423" spans="1:3" x14ac:dyDescent="0.3">
      <c r="A9423">
        <v>35966</v>
      </c>
      <c r="B9423">
        <v>1</v>
      </c>
      <c r="C9423">
        <v>8</v>
      </c>
    </row>
    <row r="9424" spans="1:3" x14ac:dyDescent="0.3">
      <c r="A9424">
        <v>35969</v>
      </c>
      <c r="B9424">
        <v>1</v>
      </c>
      <c r="C9424">
        <v>8</v>
      </c>
    </row>
    <row r="9425" spans="1:3" x14ac:dyDescent="0.3">
      <c r="A9425">
        <v>36003</v>
      </c>
      <c r="B9425">
        <v>1</v>
      </c>
      <c r="C9425">
        <v>8</v>
      </c>
    </row>
    <row r="9426" spans="1:3" x14ac:dyDescent="0.3">
      <c r="A9426">
        <v>36019</v>
      </c>
      <c r="B9426">
        <v>1</v>
      </c>
      <c r="C9426">
        <v>8</v>
      </c>
    </row>
    <row r="9427" spans="1:3" x14ac:dyDescent="0.3">
      <c r="A9427">
        <v>36088</v>
      </c>
      <c r="B9427">
        <v>1</v>
      </c>
      <c r="C9427">
        <v>8</v>
      </c>
    </row>
    <row r="9428" spans="1:3" x14ac:dyDescent="0.3">
      <c r="A9428">
        <v>36098</v>
      </c>
      <c r="B9428">
        <v>1</v>
      </c>
      <c r="C9428">
        <v>8</v>
      </c>
    </row>
    <row r="9429" spans="1:3" x14ac:dyDescent="0.3">
      <c r="A9429">
        <v>36218</v>
      </c>
      <c r="B9429">
        <v>1</v>
      </c>
      <c r="C9429">
        <v>8</v>
      </c>
    </row>
    <row r="9430" spans="1:3" x14ac:dyDescent="0.3">
      <c r="A9430">
        <v>36259</v>
      </c>
      <c r="B9430">
        <v>1</v>
      </c>
      <c r="C9430">
        <v>8</v>
      </c>
    </row>
    <row r="9431" spans="1:3" x14ac:dyDescent="0.3">
      <c r="A9431">
        <v>36390</v>
      </c>
      <c r="B9431">
        <v>1</v>
      </c>
      <c r="C9431">
        <v>8</v>
      </c>
    </row>
    <row r="9432" spans="1:3" x14ac:dyDescent="0.3">
      <c r="A9432">
        <v>36437</v>
      </c>
      <c r="B9432">
        <v>1</v>
      </c>
      <c r="C9432">
        <v>8</v>
      </c>
    </row>
    <row r="9433" spans="1:3" x14ac:dyDescent="0.3">
      <c r="A9433">
        <v>36440</v>
      </c>
      <c r="B9433">
        <v>1</v>
      </c>
      <c r="C9433">
        <v>16</v>
      </c>
    </row>
    <row r="9434" spans="1:3" x14ac:dyDescent="0.3">
      <c r="A9434">
        <v>36977</v>
      </c>
      <c r="B9434">
        <v>1</v>
      </c>
      <c r="C9434">
        <v>16</v>
      </c>
    </row>
    <row r="9435" spans="1:3" x14ac:dyDescent="0.3">
      <c r="A9435">
        <v>36978</v>
      </c>
      <c r="B9435">
        <v>1</v>
      </c>
      <c r="C9435">
        <v>8</v>
      </c>
    </row>
    <row r="9436" spans="1:3" x14ac:dyDescent="0.3">
      <c r="A9436">
        <v>37003</v>
      </c>
      <c r="B9436">
        <v>1</v>
      </c>
      <c r="C9436">
        <v>8</v>
      </c>
    </row>
    <row r="9437" spans="1:3" x14ac:dyDescent="0.3">
      <c r="A9437">
        <v>37383</v>
      </c>
      <c r="B9437">
        <v>1</v>
      </c>
      <c r="C9437">
        <v>8</v>
      </c>
    </row>
    <row r="9438" spans="1:3" x14ac:dyDescent="0.3">
      <c r="A9438">
        <v>37497</v>
      </c>
      <c r="B9438">
        <v>1</v>
      </c>
      <c r="C9438">
        <v>8</v>
      </c>
    </row>
    <row r="9439" spans="1:3" x14ac:dyDescent="0.3">
      <c r="A9439">
        <v>37745</v>
      </c>
      <c r="B9439">
        <v>4</v>
      </c>
      <c r="C9439">
        <v>16</v>
      </c>
    </row>
    <row r="9440" spans="1:3" x14ac:dyDescent="0.3">
      <c r="A9440">
        <v>37745</v>
      </c>
      <c r="B9440">
        <v>4</v>
      </c>
      <c r="C9440">
        <v>16</v>
      </c>
    </row>
    <row r="9441" spans="1:3" x14ac:dyDescent="0.3">
      <c r="A9441">
        <v>37745</v>
      </c>
      <c r="B9441">
        <v>4</v>
      </c>
      <c r="C9441">
        <v>16</v>
      </c>
    </row>
    <row r="9442" spans="1:3" x14ac:dyDescent="0.3">
      <c r="A9442">
        <v>37745</v>
      </c>
      <c r="B9442">
        <v>4</v>
      </c>
      <c r="C9442">
        <v>16</v>
      </c>
    </row>
    <row r="9443" spans="1:3" x14ac:dyDescent="0.3">
      <c r="A9443">
        <v>37796</v>
      </c>
      <c r="B9443">
        <v>1</v>
      </c>
      <c r="C9443">
        <v>8</v>
      </c>
    </row>
    <row r="9444" spans="1:3" x14ac:dyDescent="0.3">
      <c r="A9444">
        <v>37834</v>
      </c>
      <c r="B9444">
        <v>1</v>
      </c>
      <c r="C9444">
        <v>8</v>
      </c>
    </row>
    <row r="9445" spans="1:3" x14ac:dyDescent="0.3">
      <c r="A9445">
        <v>37971</v>
      </c>
      <c r="B9445">
        <v>1</v>
      </c>
      <c r="C9445">
        <v>8</v>
      </c>
    </row>
    <row r="9446" spans="1:3" x14ac:dyDescent="0.3">
      <c r="A9446">
        <v>37985</v>
      </c>
      <c r="B9446">
        <v>1</v>
      </c>
      <c r="C9446">
        <v>8</v>
      </c>
    </row>
    <row r="9447" spans="1:3" x14ac:dyDescent="0.3">
      <c r="A9447">
        <v>38046</v>
      </c>
      <c r="B9447">
        <v>1</v>
      </c>
      <c r="C9447">
        <v>8</v>
      </c>
    </row>
    <row r="9448" spans="1:3" x14ac:dyDescent="0.3">
      <c r="A9448">
        <v>38171</v>
      </c>
      <c r="B9448">
        <v>1</v>
      </c>
      <c r="C9448">
        <v>8</v>
      </c>
    </row>
    <row r="9449" spans="1:3" x14ac:dyDescent="0.3">
      <c r="A9449">
        <v>38265</v>
      </c>
      <c r="B9449">
        <v>1</v>
      </c>
      <c r="C9449">
        <v>8</v>
      </c>
    </row>
    <row r="9450" spans="1:3" x14ac:dyDescent="0.3">
      <c r="A9450">
        <v>38390</v>
      </c>
      <c r="B9450">
        <v>1</v>
      </c>
      <c r="C9450">
        <v>8</v>
      </c>
    </row>
    <row r="9451" spans="1:3" x14ac:dyDescent="0.3">
      <c r="A9451">
        <v>38649</v>
      </c>
      <c r="B9451">
        <v>1</v>
      </c>
      <c r="C9451">
        <v>16</v>
      </c>
    </row>
    <row r="9452" spans="1:3" x14ac:dyDescent="0.3">
      <c r="A9452">
        <v>38668</v>
      </c>
      <c r="B9452">
        <v>1</v>
      </c>
      <c r="C9452">
        <v>8</v>
      </c>
    </row>
    <row r="9453" spans="1:3" x14ac:dyDescent="0.3">
      <c r="A9453">
        <v>38691</v>
      </c>
      <c r="B9453">
        <v>1</v>
      </c>
      <c r="C9453">
        <v>16</v>
      </c>
    </row>
    <row r="9454" spans="1:3" x14ac:dyDescent="0.3">
      <c r="A9454">
        <v>38701</v>
      </c>
      <c r="B9454">
        <v>1</v>
      </c>
      <c r="C9454">
        <v>8</v>
      </c>
    </row>
    <row r="9455" spans="1:3" x14ac:dyDescent="0.3">
      <c r="A9455">
        <v>38943</v>
      </c>
      <c r="B9455">
        <v>1</v>
      </c>
      <c r="C9455">
        <v>8</v>
      </c>
    </row>
    <row r="9456" spans="1:3" x14ac:dyDescent="0.3">
      <c r="A9456">
        <v>39119</v>
      </c>
      <c r="B9456">
        <v>1</v>
      </c>
      <c r="C9456">
        <v>8</v>
      </c>
    </row>
    <row r="9457" spans="1:3" x14ac:dyDescent="0.3">
      <c r="A9457">
        <v>39471</v>
      </c>
      <c r="B9457">
        <v>1</v>
      </c>
      <c r="C9457">
        <v>8</v>
      </c>
    </row>
    <row r="9458" spans="1:3" x14ac:dyDescent="0.3">
      <c r="A9458">
        <v>39704</v>
      </c>
      <c r="B9458">
        <v>1</v>
      </c>
      <c r="C9458">
        <v>8</v>
      </c>
    </row>
    <row r="9459" spans="1:3" x14ac:dyDescent="0.3">
      <c r="A9459">
        <v>39785</v>
      </c>
      <c r="B9459">
        <v>2</v>
      </c>
      <c r="C9459">
        <v>16</v>
      </c>
    </row>
    <row r="9460" spans="1:3" x14ac:dyDescent="0.3">
      <c r="A9460">
        <v>39785</v>
      </c>
      <c r="B9460">
        <v>2</v>
      </c>
      <c r="C9460">
        <v>16</v>
      </c>
    </row>
    <row r="9461" spans="1:3" x14ac:dyDescent="0.3">
      <c r="A9461">
        <v>40189</v>
      </c>
      <c r="B9461">
        <v>1</v>
      </c>
      <c r="C9461">
        <v>8</v>
      </c>
    </row>
    <row r="9462" spans="1:3" x14ac:dyDescent="0.3">
      <c r="A9462">
        <v>40294</v>
      </c>
      <c r="B9462">
        <v>1</v>
      </c>
      <c r="C9462">
        <v>8</v>
      </c>
    </row>
    <row r="9463" spans="1:3" x14ac:dyDescent="0.3">
      <c r="A9463">
        <v>40400</v>
      </c>
      <c r="B9463">
        <v>2</v>
      </c>
      <c r="C9463">
        <v>16</v>
      </c>
    </row>
    <row r="9464" spans="1:3" x14ac:dyDescent="0.3">
      <c r="A9464">
        <v>40400</v>
      </c>
      <c r="B9464">
        <v>2</v>
      </c>
      <c r="C9464">
        <v>16</v>
      </c>
    </row>
    <row r="9465" spans="1:3" x14ac:dyDescent="0.3">
      <c r="A9465">
        <v>40541</v>
      </c>
      <c r="B9465">
        <v>1</v>
      </c>
      <c r="C9465">
        <v>8</v>
      </c>
    </row>
    <row r="9466" spans="1:3" x14ac:dyDescent="0.3">
      <c r="A9466">
        <v>40622</v>
      </c>
      <c r="B9466">
        <v>1</v>
      </c>
      <c r="C9466">
        <v>8</v>
      </c>
    </row>
    <row r="9467" spans="1:3" x14ac:dyDescent="0.3">
      <c r="A9467">
        <v>41544</v>
      </c>
      <c r="B9467">
        <v>1</v>
      </c>
      <c r="C9467">
        <v>16</v>
      </c>
    </row>
    <row r="9468" spans="1:3" x14ac:dyDescent="0.3">
      <c r="A9468">
        <v>41679</v>
      </c>
      <c r="B9468">
        <v>1</v>
      </c>
      <c r="C9468">
        <v>8</v>
      </c>
    </row>
    <row r="9469" spans="1:3" x14ac:dyDescent="0.3">
      <c r="A9469">
        <v>41820</v>
      </c>
      <c r="B9469">
        <v>1</v>
      </c>
      <c r="C9469">
        <v>16</v>
      </c>
    </row>
    <row r="9470" spans="1:3" x14ac:dyDescent="0.3">
      <c r="A9470">
        <v>41901</v>
      </c>
      <c r="B9470">
        <v>1</v>
      </c>
      <c r="C9470">
        <v>8</v>
      </c>
    </row>
    <row r="9471" spans="1:3" x14ac:dyDescent="0.3">
      <c r="A9471">
        <v>42044</v>
      </c>
      <c r="B9471">
        <v>2</v>
      </c>
      <c r="C9471">
        <v>16</v>
      </c>
    </row>
    <row r="9472" spans="1:3" x14ac:dyDescent="0.3">
      <c r="A9472">
        <v>42044</v>
      </c>
      <c r="B9472">
        <v>2</v>
      </c>
      <c r="C9472">
        <v>16</v>
      </c>
    </row>
    <row r="9473" spans="1:3" x14ac:dyDescent="0.3">
      <c r="A9473">
        <v>42102</v>
      </c>
      <c r="B9473">
        <v>1</v>
      </c>
      <c r="C9473">
        <v>8</v>
      </c>
    </row>
    <row r="9474" spans="1:3" x14ac:dyDescent="0.3">
      <c r="A9474">
        <v>42290</v>
      </c>
      <c r="B9474">
        <v>1</v>
      </c>
      <c r="C9474">
        <v>16</v>
      </c>
    </row>
    <row r="9475" spans="1:3" x14ac:dyDescent="0.3">
      <c r="A9475">
        <v>42382</v>
      </c>
      <c r="B9475">
        <v>1</v>
      </c>
      <c r="C9475">
        <v>8</v>
      </c>
    </row>
    <row r="9476" spans="1:3" x14ac:dyDescent="0.3">
      <c r="A9476">
        <v>42888</v>
      </c>
      <c r="B9476">
        <v>1</v>
      </c>
      <c r="C9476">
        <v>8</v>
      </c>
    </row>
    <row r="9477" spans="1:3" x14ac:dyDescent="0.3">
      <c r="A9477">
        <v>42891</v>
      </c>
      <c r="B9477">
        <v>1</v>
      </c>
      <c r="C9477">
        <v>16</v>
      </c>
    </row>
    <row r="9478" spans="1:3" x14ac:dyDescent="0.3">
      <c r="A9478">
        <v>43024</v>
      </c>
      <c r="B9478">
        <v>1</v>
      </c>
      <c r="C9478">
        <v>16</v>
      </c>
    </row>
    <row r="9479" spans="1:3" x14ac:dyDescent="0.3">
      <c r="A9479">
        <v>43027</v>
      </c>
      <c r="B9479">
        <v>1</v>
      </c>
      <c r="C9479">
        <v>8</v>
      </c>
    </row>
    <row r="9480" spans="1:3" x14ac:dyDescent="0.3">
      <c r="A9480">
        <v>43078</v>
      </c>
      <c r="B9480">
        <v>1</v>
      </c>
      <c r="C9480">
        <v>8</v>
      </c>
    </row>
    <row r="9481" spans="1:3" x14ac:dyDescent="0.3">
      <c r="A9481">
        <v>43663</v>
      </c>
      <c r="B9481">
        <v>1</v>
      </c>
      <c r="C9481">
        <v>8</v>
      </c>
    </row>
    <row r="9482" spans="1:3" x14ac:dyDescent="0.3">
      <c r="A9482">
        <v>43681</v>
      </c>
      <c r="B9482">
        <v>1</v>
      </c>
      <c r="C9482">
        <v>8</v>
      </c>
    </row>
    <row r="9483" spans="1:3" x14ac:dyDescent="0.3">
      <c r="A9483">
        <v>43729</v>
      </c>
      <c r="B9483">
        <v>1</v>
      </c>
      <c r="C9483">
        <v>8</v>
      </c>
    </row>
    <row r="9484" spans="1:3" x14ac:dyDescent="0.3">
      <c r="A9484">
        <v>43988</v>
      </c>
      <c r="B9484">
        <v>1</v>
      </c>
      <c r="C9484">
        <v>8</v>
      </c>
    </row>
    <row r="9485" spans="1:3" x14ac:dyDescent="0.3">
      <c r="A9485">
        <v>45352</v>
      </c>
      <c r="B9485">
        <v>1</v>
      </c>
      <c r="C9485">
        <v>16</v>
      </c>
    </row>
    <row r="9486" spans="1:3" x14ac:dyDescent="0.3">
      <c r="A9486">
        <v>45600</v>
      </c>
      <c r="B9486">
        <v>1</v>
      </c>
      <c r="C9486">
        <v>8</v>
      </c>
    </row>
    <row r="9487" spans="1:3" x14ac:dyDescent="0.3">
      <c r="A9487">
        <v>45612</v>
      </c>
      <c r="B9487">
        <v>1</v>
      </c>
      <c r="C9487">
        <v>16</v>
      </c>
    </row>
    <row r="9488" spans="1:3" x14ac:dyDescent="0.3">
      <c r="A9488">
        <v>45969</v>
      </c>
      <c r="B9488">
        <v>1</v>
      </c>
      <c r="C9488">
        <v>8</v>
      </c>
    </row>
    <row r="9489" spans="1:3" x14ac:dyDescent="0.3">
      <c r="A9489">
        <v>45976</v>
      </c>
      <c r="B9489">
        <v>1</v>
      </c>
      <c r="C9489">
        <v>8</v>
      </c>
    </row>
    <row r="9490" spans="1:3" x14ac:dyDescent="0.3">
      <c r="A9490">
        <v>46087</v>
      </c>
      <c r="B9490">
        <v>1</v>
      </c>
      <c r="C9490">
        <v>8</v>
      </c>
    </row>
    <row r="9491" spans="1:3" x14ac:dyDescent="0.3">
      <c r="A9491">
        <v>46188</v>
      </c>
      <c r="B9491">
        <v>1</v>
      </c>
      <c r="C9491">
        <v>16</v>
      </c>
    </row>
    <row r="9492" spans="1:3" x14ac:dyDescent="0.3">
      <c r="A9492">
        <v>46275</v>
      </c>
      <c r="B9492">
        <v>1</v>
      </c>
      <c r="C9492">
        <v>8</v>
      </c>
    </row>
    <row r="9493" spans="1:3" x14ac:dyDescent="0.3">
      <c r="A9493">
        <v>46301</v>
      </c>
      <c r="B9493">
        <v>1</v>
      </c>
      <c r="C9493">
        <v>8</v>
      </c>
    </row>
    <row r="9494" spans="1:3" x14ac:dyDescent="0.3">
      <c r="A9494">
        <v>46341</v>
      </c>
      <c r="B9494">
        <v>1</v>
      </c>
      <c r="C9494">
        <v>8</v>
      </c>
    </row>
    <row r="9495" spans="1:3" x14ac:dyDescent="0.3">
      <c r="A9495">
        <v>46397</v>
      </c>
      <c r="B9495">
        <v>1</v>
      </c>
      <c r="C9495">
        <v>8</v>
      </c>
    </row>
    <row r="9496" spans="1:3" x14ac:dyDescent="0.3">
      <c r="A9496">
        <v>46877</v>
      </c>
      <c r="B9496">
        <v>1</v>
      </c>
      <c r="C9496">
        <v>8</v>
      </c>
    </row>
    <row r="9497" spans="1:3" x14ac:dyDescent="0.3">
      <c r="A9497">
        <v>47060</v>
      </c>
      <c r="B9497">
        <v>1</v>
      </c>
      <c r="C9497">
        <v>8</v>
      </c>
    </row>
    <row r="9498" spans="1:3" x14ac:dyDescent="0.3">
      <c r="A9498">
        <v>47114</v>
      </c>
      <c r="B9498">
        <v>1</v>
      </c>
      <c r="C9498">
        <v>16</v>
      </c>
    </row>
    <row r="9499" spans="1:3" x14ac:dyDescent="0.3">
      <c r="A9499">
        <v>47232</v>
      </c>
      <c r="B9499">
        <v>1</v>
      </c>
      <c r="C9499">
        <v>8</v>
      </c>
    </row>
    <row r="9500" spans="1:3" x14ac:dyDescent="0.3">
      <c r="A9500">
        <v>47314</v>
      </c>
      <c r="B9500">
        <v>1</v>
      </c>
      <c r="C9500">
        <v>8</v>
      </c>
    </row>
    <row r="9501" spans="1:3" x14ac:dyDescent="0.3">
      <c r="A9501">
        <v>47568</v>
      </c>
      <c r="B9501">
        <v>1</v>
      </c>
      <c r="C9501">
        <v>8</v>
      </c>
    </row>
    <row r="9502" spans="1:3" x14ac:dyDescent="0.3">
      <c r="A9502">
        <v>47922</v>
      </c>
      <c r="B9502">
        <v>1</v>
      </c>
      <c r="C9502">
        <v>8</v>
      </c>
    </row>
    <row r="9503" spans="1:3" x14ac:dyDescent="0.3">
      <c r="A9503">
        <v>47936</v>
      </c>
      <c r="B9503">
        <v>1</v>
      </c>
      <c r="C9503">
        <v>16</v>
      </c>
    </row>
    <row r="9504" spans="1:3" x14ac:dyDescent="0.3">
      <c r="A9504">
        <v>48256</v>
      </c>
      <c r="B9504">
        <v>1</v>
      </c>
      <c r="C9504">
        <v>8</v>
      </c>
    </row>
    <row r="9505" spans="1:3" x14ac:dyDescent="0.3">
      <c r="A9505">
        <v>48257</v>
      </c>
      <c r="B9505">
        <v>1</v>
      </c>
      <c r="C9505">
        <v>8</v>
      </c>
    </row>
    <row r="9506" spans="1:3" x14ac:dyDescent="0.3">
      <c r="A9506">
        <v>48386</v>
      </c>
      <c r="B9506">
        <v>1</v>
      </c>
      <c r="C9506">
        <v>16</v>
      </c>
    </row>
    <row r="9507" spans="1:3" x14ac:dyDescent="0.3">
      <c r="A9507">
        <v>48451</v>
      </c>
      <c r="B9507">
        <v>1</v>
      </c>
      <c r="C9507">
        <v>8</v>
      </c>
    </row>
    <row r="9508" spans="1:3" x14ac:dyDescent="0.3">
      <c r="A9508">
        <v>48452</v>
      </c>
      <c r="B9508">
        <v>1</v>
      </c>
      <c r="C9508">
        <v>8</v>
      </c>
    </row>
    <row r="9509" spans="1:3" x14ac:dyDescent="0.3">
      <c r="A9509">
        <v>48750</v>
      </c>
      <c r="B9509">
        <v>1</v>
      </c>
      <c r="C9509">
        <v>8</v>
      </c>
    </row>
    <row r="9510" spans="1:3" x14ac:dyDescent="0.3">
      <c r="A9510">
        <v>48756</v>
      </c>
      <c r="B9510">
        <v>1</v>
      </c>
      <c r="C9510">
        <v>8</v>
      </c>
    </row>
    <row r="9511" spans="1:3" x14ac:dyDescent="0.3">
      <c r="A9511">
        <v>48779</v>
      </c>
      <c r="B9511">
        <v>1</v>
      </c>
      <c r="C9511">
        <v>8</v>
      </c>
    </row>
    <row r="9512" spans="1:3" x14ac:dyDescent="0.3">
      <c r="A9512">
        <v>49226</v>
      </c>
      <c r="B9512">
        <v>1</v>
      </c>
      <c r="C9512">
        <v>8</v>
      </c>
    </row>
    <row r="9513" spans="1:3" x14ac:dyDescent="0.3">
      <c r="A9513">
        <v>49312</v>
      </c>
      <c r="B9513">
        <v>1</v>
      </c>
      <c r="C9513">
        <v>16</v>
      </c>
    </row>
    <row r="9514" spans="1:3" x14ac:dyDescent="0.3">
      <c r="A9514">
        <v>49328</v>
      </c>
      <c r="B9514">
        <v>1</v>
      </c>
      <c r="C9514">
        <v>8</v>
      </c>
    </row>
    <row r="9515" spans="1:3" x14ac:dyDescent="0.3">
      <c r="A9515">
        <v>49446</v>
      </c>
      <c r="B9515">
        <v>1</v>
      </c>
      <c r="C9515">
        <v>8</v>
      </c>
    </row>
    <row r="9516" spans="1:3" x14ac:dyDescent="0.3">
      <c r="A9516">
        <v>49467</v>
      </c>
      <c r="B9516">
        <v>1</v>
      </c>
      <c r="C9516">
        <v>8</v>
      </c>
    </row>
    <row r="9517" spans="1:3" x14ac:dyDescent="0.3">
      <c r="A9517">
        <v>49662</v>
      </c>
      <c r="B9517">
        <v>1</v>
      </c>
      <c r="C9517">
        <v>8</v>
      </c>
    </row>
    <row r="9518" spans="1:3" x14ac:dyDescent="0.3">
      <c r="A9518">
        <v>49893</v>
      </c>
      <c r="B9518">
        <v>1</v>
      </c>
      <c r="C9518">
        <v>8</v>
      </c>
    </row>
    <row r="9519" spans="1:3" x14ac:dyDescent="0.3">
      <c r="A9519">
        <v>49944</v>
      </c>
      <c r="B9519">
        <v>1</v>
      </c>
      <c r="C9519">
        <v>8</v>
      </c>
    </row>
    <row r="9520" spans="1:3" x14ac:dyDescent="0.3">
      <c r="A9520">
        <v>49954</v>
      </c>
      <c r="B9520">
        <v>1</v>
      </c>
      <c r="C9520">
        <v>16</v>
      </c>
    </row>
    <row r="9521" spans="1:3" x14ac:dyDescent="0.3">
      <c r="A9521">
        <v>49961</v>
      </c>
      <c r="B9521">
        <v>1</v>
      </c>
      <c r="C9521">
        <v>16</v>
      </c>
    </row>
    <row r="9522" spans="1:3" x14ac:dyDescent="0.3">
      <c r="A9522">
        <v>49967</v>
      </c>
      <c r="B9522">
        <v>1</v>
      </c>
      <c r="C9522">
        <v>8</v>
      </c>
    </row>
    <row r="9523" spans="1:3" x14ac:dyDescent="0.3">
      <c r="A9523">
        <v>50027</v>
      </c>
      <c r="B9523">
        <v>1</v>
      </c>
      <c r="C9523">
        <v>8</v>
      </c>
    </row>
    <row r="9524" spans="1:3" x14ac:dyDescent="0.3">
      <c r="A9524">
        <v>50106</v>
      </c>
      <c r="B9524">
        <v>1</v>
      </c>
      <c r="C9524">
        <v>8</v>
      </c>
    </row>
    <row r="9525" spans="1:3" x14ac:dyDescent="0.3">
      <c r="A9525">
        <v>50191</v>
      </c>
      <c r="B9525">
        <v>1</v>
      </c>
      <c r="C9525">
        <v>8</v>
      </c>
    </row>
    <row r="9526" spans="1:3" x14ac:dyDescent="0.3">
      <c r="A9526">
        <v>50245</v>
      </c>
      <c r="B9526">
        <v>1</v>
      </c>
      <c r="C9526">
        <v>8</v>
      </c>
    </row>
    <row r="9527" spans="1:3" x14ac:dyDescent="0.3">
      <c r="A9527">
        <v>50268</v>
      </c>
      <c r="B9527">
        <v>1</v>
      </c>
      <c r="C9527">
        <v>8</v>
      </c>
    </row>
    <row r="9528" spans="1:3" x14ac:dyDescent="0.3">
      <c r="A9528">
        <v>50343</v>
      </c>
      <c r="B9528">
        <v>1</v>
      </c>
      <c r="C9528">
        <v>8</v>
      </c>
    </row>
    <row r="9529" spans="1:3" x14ac:dyDescent="0.3">
      <c r="A9529">
        <v>50344</v>
      </c>
      <c r="B9529">
        <v>1</v>
      </c>
      <c r="C9529">
        <v>8</v>
      </c>
    </row>
    <row r="9530" spans="1:3" x14ac:dyDescent="0.3">
      <c r="A9530">
        <v>50364</v>
      </c>
      <c r="B9530">
        <v>1</v>
      </c>
      <c r="C9530">
        <v>8</v>
      </c>
    </row>
    <row r="9531" spans="1:3" x14ac:dyDescent="0.3">
      <c r="A9531">
        <v>50445</v>
      </c>
      <c r="B9531">
        <v>1</v>
      </c>
      <c r="C9531">
        <v>8</v>
      </c>
    </row>
    <row r="9532" spans="1:3" x14ac:dyDescent="0.3">
      <c r="A9532">
        <v>50622</v>
      </c>
      <c r="B9532">
        <v>1</v>
      </c>
      <c r="C9532">
        <v>8</v>
      </c>
    </row>
    <row r="9533" spans="1:3" x14ac:dyDescent="0.3">
      <c r="A9533">
        <v>50740</v>
      </c>
      <c r="B9533">
        <v>1</v>
      </c>
      <c r="C9533">
        <v>8</v>
      </c>
    </row>
    <row r="9534" spans="1:3" x14ac:dyDescent="0.3">
      <c r="A9534">
        <v>50777</v>
      </c>
      <c r="B9534">
        <v>1</v>
      </c>
      <c r="C9534">
        <v>8</v>
      </c>
    </row>
    <row r="9535" spans="1:3" x14ac:dyDescent="0.3">
      <c r="A9535">
        <v>51196</v>
      </c>
      <c r="B9535">
        <v>1</v>
      </c>
      <c r="C9535">
        <v>16</v>
      </c>
    </row>
    <row r="9536" spans="1:3" x14ac:dyDescent="0.3">
      <c r="A9536">
        <v>51414</v>
      </c>
      <c r="B9536">
        <v>1</v>
      </c>
      <c r="C9536">
        <v>8</v>
      </c>
    </row>
    <row r="9537" spans="1:3" x14ac:dyDescent="0.3">
      <c r="A9537">
        <v>51510</v>
      </c>
      <c r="B9537">
        <v>1</v>
      </c>
      <c r="C9537">
        <v>8</v>
      </c>
    </row>
    <row r="9538" spans="1:3" x14ac:dyDescent="0.3">
      <c r="A9538">
        <v>51521</v>
      </c>
      <c r="B9538">
        <v>1</v>
      </c>
      <c r="C9538">
        <v>8</v>
      </c>
    </row>
    <row r="9539" spans="1:3" x14ac:dyDescent="0.3">
      <c r="A9539">
        <v>51686</v>
      </c>
      <c r="B9539">
        <v>1</v>
      </c>
      <c r="C9539">
        <v>8</v>
      </c>
    </row>
    <row r="9540" spans="1:3" x14ac:dyDescent="0.3">
      <c r="A9540">
        <v>51775</v>
      </c>
      <c r="B9540">
        <v>1</v>
      </c>
      <c r="C9540">
        <v>8</v>
      </c>
    </row>
    <row r="9541" spans="1:3" x14ac:dyDescent="0.3">
      <c r="A9541">
        <v>51965</v>
      </c>
      <c r="B9541">
        <v>1</v>
      </c>
      <c r="C9541">
        <v>16</v>
      </c>
    </row>
    <row r="9542" spans="1:3" x14ac:dyDescent="0.3">
      <c r="A9542">
        <v>52309</v>
      </c>
      <c r="B9542">
        <v>1</v>
      </c>
      <c r="C9542">
        <v>8</v>
      </c>
    </row>
    <row r="9543" spans="1:3" x14ac:dyDescent="0.3">
      <c r="A9543">
        <v>52456</v>
      </c>
      <c r="B9543">
        <v>1</v>
      </c>
      <c r="C9543">
        <v>8</v>
      </c>
    </row>
    <row r="9544" spans="1:3" x14ac:dyDescent="0.3">
      <c r="A9544">
        <v>52942</v>
      </c>
      <c r="B9544">
        <v>1</v>
      </c>
      <c r="C9544">
        <v>8</v>
      </c>
    </row>
    <row r="9545" spans="1:3" x14ac:dyDescent="0.3">
      <c r="A9545">
        <v>53075</v>
      </c>
      <c r="B9545">
        <v>1</v>
      </c>
      <c r="C9545">
        <v>8</v>
      </c>
    </row>
    <row r="9546" spans="1:3" x14ac:dyDescent="0.3">
      <c r="A9546">
        <v>53165</v>
      </c>
      <c r="B9546">
        <v>1</v>
      </c>
      <c r="C9546">
        <v>8</v>
      </c>
    </row>
    <row r="9547" spans="1:3" x14ac:dyDescent="0.3">
      <c r="A9547">
        <v>53172</v>
      </c>
      <c r="B9547">
        <v>1</v>
      </c>
      <c r="C9547">
        <v>8</v>
      </c>
    </row>
    <row r="9548" spans="1:3" x14ac:dyDescent="0.3">
      <c r="A9548">
        <v>53177</v>
      </c>
      <c r="B9548">
        <v>1</v>
      </c>
      <c r="C9548">
        <v>8</v>
      </c>
    </row>
    <row r="9549" spans="1:3" x14ac:dyDescent="0.3">
      <c r="A9549">
        <v>53373</v>
      </c>
      <c r="B9549">
        <v>1</v>
      </c>
      <c r="C9549">
        <v>8</v>
      </c>
    </row>
    <row r="9550" spans="1:3" x14ac:dyDescent="0.3">
      <c r="A9550">
        <v>53525</v>
      </c>
      <c r="B9550">
        <v>1</v>
      </c>
      <c r="C9550">
        <v>8</v>
      </c>
    </row>
    <row r="9551" spans="1:3" x14ac:dyDescent="0.3">
      <c r="A9551">
        <v>53841</v>
      </c>
      <c r="B9551">
        <v>1</v>
      </c>
      <c r="C9551">
        <v>8</v>
      </c>
    </row>
    <row r="9552" spans="1:3" x14ac:dyDescent="0.3">
      <c r="A9552">
        <v>53876</v>
      </c>
      <c r="B9552">
        <v>1</v>
      </c>
      <c r="C9552">
        <v>8</v>
      </c>
    </row>
    <row r="9553" spans="1:3" x14ac:dyDescent="0.3">
      <c r="A9553">
        <v>54231</v>
      </c>
      <c r="B9553">
        <v>1</v>
      </c>
      <c r="C9553">
        <v>16</v>
      </c>
    </row>
    <row r="9554" spans="1:3" x14ac:dyDescent="0.3">
      <c r="A9554">
        <v>54233</v>
      </c>
      <c r="B9554">
        <v>1</v>
      </c>
      <c r="C9554">
        <v>8</v>
      </c>
    </row>
    <row r="9555" spans="1:3" x14ac:dyDescent="0.3">
      <c r="A9555">
        <v>54259</v>
      </c>
      <c r="B9555">
        <v>1</v>
      </c>
      <c r="C9555">
        <v>8</v>
      </c>
    </row>
    <row r="9556" spans="1:3" x14ac:dyDescent="0.3">
      <c r="A9556">
        <v>54275</v>
      </c>
      <c r="B9556">
        <v>1</v>
      </c>
      <c r="C9556">
        <v>16</v>
      </c>
    </row>
    <row r="9557" spans="1:3" x14ac:dyDescent="0.3">
      <c r="A9557">
        <v>54283</v>
      </c>
      <c r="B9557">
        <v>1</v>
      </c>
      <c r="C9557">
        <v>8</v>
      </c>
    </row>
    <row r="9558" spans="1:3" x14ac:dyDescent="0.3">
      <c r="A9558">
        <v>54440</v>
      </c>
      <c r="B9558">
        <v>1</v>
      </c>
      <c r="C9558">
        <v>16</v>
      </c>
    </row>
    <row r="9559" spans="1:3" x14ac:dyDescent="0.3">
      <c r="A9559">
        <v>54457</v>
      </c>
      <c r="B9559">
        <v>1</v>
      </c>
      <c r="C9559">
        <v>8</v>
      </c>
    </row>
    <row r="9560" spans="1:3" x14ac:dyDescent="0.3">
      <c r="A9560">
        <v>54689</v>
      </c>
      <c r="B9560">
        <v>1</v>
      </c>
      <c r="C9560">
        <v>8</v>
      </c>
    </row>
    <row r="9561" spans="1:3" x14ac:dyDescent="0.3">
      <c r="A9561">
        <v>54901</v>
      </c>
      <c r="B9561">
        <v>1</v>
      </c>
      <c r="C9561">
        <v>8</v>
      </c>
    </row>
    <row r="9562" spans="1:3" x14ac:dyDescent="0.3">
      <c r="A9562">
        <v>55027</v>
      </c>
      <c r="B9562">
        <v>1</v>
      </c>
      <c r="C9562">
        <v>8</v>
      </c>
    </row>
    <row r="9563" spans="1:3" x14ac:dyDescent="0.3">
      <c r="A9563">
        <v>55067</v>
      </c>
      <c r="B9563">
        <v>2</v>
      </c>
      <c r="C9563">
        <v>16</v>
      </c>
    </row>
    <row r="9564" spans="1:3" x14ac:dyDescent="0.3">
      <c r="A9564">
        <v>55067</v>
      </c>
      <c r="B9564">
        <v>2</v>
      </c>
      <c r="C9564">
        <v>16</v>
      </c>
    </row>
    <row r="9565" spans="1:3" x14ac:dyDescent="0.3">
      <c r="A9565">
        <v>55153</v>
      </c>
      <c r="B9565">
        <v>1</v>
      </c>
      <c r="C9565">
        <v>8</v>
      </c>
    </row>
    <row r="9566" spans="1:3" x14ac:dyDescent="0.3">
      <c r="A9566">
        <v>55333</v>
      </c>
      <c r="B9566">
        <v>1</v>
      </c>
      <c r="C9566">
        <v>8</v>
      </c>
    </row>
    <row r="9567" spans="1:3" x14ac:dyDescent="0.3">
      <c r="A9567">
        <v>55735</v>
      </c>
      <c r="B9567">
        <v>1</v>
      </c>
      <c r="C9567">
        <v>8</v>
      </c>
    </row>
    <row r="9568" spans="1:3" x14ac:dyDescent="0.3">
      <c r="A9568">
        <v>55781</v>
      </c>
      <c r="B9568">
        <v>1</v>
      </c>
      <c r="C9568">
        <v>8</v>
      </c>
    </row>
    <row r="9569" spans="1:3" x14ac:dyDescent="0.3">
      <c r="A9569">
        <v>55886</v>
      </c>
      <c r="B9569">
        <v>1</v>
      </c>
      <c r="C9569">
        <v>8</v>
      </c>
    </row>
    <row r="9570" spans="1:3" x14ac:dyDescent="0.3">
      <c r="A9570">
        <v>56411</v>
      </c>
      <c r="B9570">
        <v>1</v>
      </c>
      <c r="C9570">
        <v>16</v>
      </c>
    </row>
    <row r="9571" spans="1:3" x14ac:dyDescent="0.3">
      <c r="A9571">
        <v>56756</v>
      </c>
      <c r="B9571">
        <v>1</v>
      </c>
      <c r="C9571">
        <v>16</v>
      </c>
    </row>
    <row r="9572" spans="1:3" x14ac:dyDescent="0.3">
      <c r="A9572">
        <v>56758</v>
      </c>
      <c r="B9572">
        <v>1</v>
      </c>
      <c r="C9572">
        <v>8</v>
      </c>
    </row>
    <row r="9573" spans="1:3" x14ac:dyDescent="0.3">
      <c r="A9573">
        <v>56761</v>
      </c>
      <c r="B9573">
        <v>1</v>
      </c>
      <c r="C9573">
        <v>8</v>
      </c>
    </row>
    <row r="9574" spans="1:3" x14ac:dyDescent="0.3">
      <c r="A9574">
        <v>57040</v>
      </c>
      <c r="B9574">
        <v>1</v>
      </c>
      <c r="C9574">
        <v>8</v>
      </c>
    </row>
    <row r="9575" spans="1:3" x14ac:dyDescent="0.3">
      <c r="A9575">
        <v>57236</v>
      </c>
      <c r="B9575">
        <v>1</v>
      </c>
      <c r="C9575">
        <v>8</v>
      </c>
    </row>
    <row r="9576" spans="1:3" x14ac:dyDescent="0.3">
      <c r="A9576">
        <v>57242</v>
      </c>
      <c r="B9576">
        <v>1</v>
      </c>
      <c r="C9576">
        <v>8</v>
      </c>
    </row>
    <row r="9577" spans="1:3" x14ac:dyDescent="0.3">
      <c r="A9577">
        <v>57302</v>
      </c>
      <c r="B9577">
        <v>1</v>
      </c>
      <c r="C9577">
        <v>8</v>
      </c>
    </row>
    <row r="9578" spans="1:3" x14ac:dyDescent="0.3">
      <c r="A9578">
        <v>57316</v>
      </c>
      <c r="B9578">
        <v>1</v>
      </c>
      <c r="C9578">
        <v>8</v>
      </c>
    </row>
    <row r="9579" spans="1:3" x14ac:dyDescent="0.3">
      <c r="A9579">
        <v>57360</v>
      </c>
      <c r="B9579">
        <v>1</v>
      </c>
      <c r="C9579">
        <v>8</v>
      </c>
    </row>
    <row r="9580" spans="1:3" x14ac:dyDescent="0.3">
      <c r="A9580">
        <v>57391</v>
      </c>
      <c r="B9580">
        <v>1</v>
      </c>
      <c r="C9580">
        <v>16</v>
      </c>
    </row>
    <row r="9581" spans="1:3" x14ac:dyDescent="0.3">
      <c r="A9581">
        <v>57408</v>
      </c>
      <c r="B9581">
        <v>1</v>
      </c>
      <c r="C9581">
        <v>8</v>
      </c>
    </row>
    <row r="9582" spans="1:3" x14ac:dyDescent="0.3">
      <c r="A9582">
        <v>57440</v>
      </c>
      <c r="B9582">
        <v>2</v>
      </c>
      <c r="C9582">
        <v>16</v>
      </c>
    </row>
    <row r="9583" spans="1:3" x14ac:dyDescent="0.3">
      <c r="A9583">
        <v>57440</v>
      </c>
      <c r="B9583">
        <v>2</v>
      </c>
      <c r="C9583">
        <v>16</v>
      </c>
    </row>
    <row r="9584" spans="1:3" x14ac:dyDescent="0.3">
      <c r="A9584">
        <v>57461</v>
      </c>
      <c r="B9584">
        <v>1</v>
      </c>
      <c r="C9584">
        <v>8</v>
      </c>
    </row>
    <row r="9585" spans="1:3" x14ac:dyDescent="0.3">
      <c r="A9585">
        <v>57477</v>
      </c>
      <c r="B9585">
        <v>1</v>
      </c>
      <c r="C9585">
        <v>8</v>
      </c>
    </row>
    <row r="9586" spans="1:3" x14ac:dyDescent="0.3">
      <c r="A9586">
        <v>57534</v>
      </c>
      <c r="B9586">
        <v>1</v>
      </c>
      <c r="C9586">
        <v>8</v>
      </c>
    </row>
    <row r="9587" spans="1:3" x14ac:dyDescent="0.3">
      <c r="A9587">
        <v>57597</v>
      </c>
      <c r="B9587">
        <v>1</v>
      </c>
      <c r="C9587">
        <v>8</v>
      </c>
    </row>
    <row r="9588" spans="1:3" x14ac:dyDescent="0.3">
      <c r="A9588">
        <v>57619</v>
      </c>
      <c r="B9588">
        <v>1</v>
      </c>
      <c r="C9588">
        <v>8</v>
      </c>
    </row>
    <row r="9589" spans="1:3" x14ac:dyDescent="0.3">
      <c r="A9589">
        <v>58295</v>
      </c>
      <c r="B9589">
        <v>1</v>
      </c>
      <c r="C9589">
        <v>16</v>
      </c>
    </row>
    <row r="9590" spans="1:3" x14ac:dyDescent="0.3">
      <c r="A9590">
        <v>58350</v>
      </c>
      <c r="B9590">
        <v>1</v>
      </c>
      <c r="C9590">
        <v>8</v>
      </c>
    </row>
    <row r="9591" spans="1:3" x14ac:dyDescent="0.3">
      <c r="A9591">
        <v>58358</v>
      </c>
      <c r="B9591">
        <v>1</v>
      </c>
      <c r="C9591">
        <v>8</v>
      </c>
    </row>
    <row r="9592" spans="1:3" x14ac:dyDescent="0.3">
      <c r="A9592">
        <v>58393</v>
      </c>
      <c r="B9592">
        <v>1</v>
      </c>
      <c r="C9592">
        <v>8</v>
      </c>
    </row>
    <row r="9593" spans="1:3" x14ac:dyDescent="0.3">
      <c r="A9593">
        <v>58510</v>
      </c>
      <c r="B9593">
        <v>1</v>
      </c>
      <c r="C9593">
        <v>8</v>
      </c>
    </row>
    <row r="9594" spans="1:3" x14ac:dyDescent="0.3">
      <c r="A9594">
        <v>58514</v>
      </c>
      <c r="B9594">
        <v>1</v>
      </c>
      <c r="C9594">
        <v>8</v>
      </c>
    </row>
    <row r="9595" spans="1:3" x14ac:dyDescent="0.3">
      <c r="A9595">
        <v>58658</v>
      </c>
      <c r="B9595">
        <v>1</v>
      </c>
      <c r="C9595">
        <v>8</v>
      </c>
    </row>
    <row r="9596" spans="1:3" x14ac:dyDescent="0.3">
      <c r="A9596">
        <v>58684</v>
      </c>
      <c r="B9596">
        <v>1</v>
      </c>
      <c r="C9596">
        <v>8</v>
      </c>
    </row>
    <row r="9597" spans="1:3" x14ac:dyDescent="0.3">
      <c r="A9597">
        <v>58923</v>
      </c>
      <c r="B9597">
        <v>1</v>
      </c>
      <c r="C9597">
        <v>8</v>
      </c>
    </row>
    <row r="9598" spans="1:3" x14ac:dyDescent="0.3">
      <c r="A9598">
        <v>58965</v>
      </c>
      <c r="B9598">
        <v>1</v>
      </c>
      <c r="C9598">
        <v>8</v>
      </c>
    </row>
    <row r="9599" spans="1:3" x14ac:dyDescent="0.3">
      <c r="A9599">
        <v>59132</v>
      </c>
      <c r="B9599">
        <v>1</v>
      </c>
      <c r="C9599">
        <v>8</v>
      </c>
    </row>
    <row r="9600" spans="1:3" x14ac:dyDescent="0.3">
      <c r="A9600">
        <v>59232</v>
      </c>
      <c r="B9600">
        <v>1</v>
      </c>
      <c r="C9600">
        <v>8</v>
      </c>
    </row>
    <row r="9601" spans="1:3" x14ac:dyDescent="0.3">
      <c r="A9601">
        <v>59242</v>
      </c>
      <c r="B9601">
        <v>1</v>
      </c>
      <c r="C9601">
        <v>8</v>
      </c>
    </row>
    <row r="9602" spans="1:3" x14ac:dyDescent="0.3">
      <c r="A9602" s="26">
        <v>59386</v>
      </c>
      <c r="B9602" s="26">
        <v>1</v>
      </c>
      <c r="C9602" s="26">
        <v>8</v>
      </c>
    </row>
    <row r="9603" spans="1:3" x14ac:dyDescent="0.3">
      <c r="A9603">
        <v>59556</v>
      </c>
      <c r="B9603">
        <v>1</v>
      </c>
      <c r="C9603">
        <v>8</v>
      </c>
    </row>
    <row r="9604" spans="1:3" x14ac:dyDescent="0.3">
      <c r="A9604">
        <v>59693</v>
      </c>
      <c r="B9604">
        <v>1</v>
      </c>
      <c r="C9604">
        <v>8</v>
      </c>
    </row>
    <row r="9605" spans="1:3" x14ac:dyDescent="0.3">
      <c r="A9605">
        <v>60052</v>
      </c>
      <c r="B9605">
        <v>1</v>
      </c>
      <c r="C9605">
        <v>8</v>
      </c>
    </row>
    <row r="9606" spans="1:3" x14ac:dyDescent="0.3">
      <c r="A9606">
        <v>60095</v>
      </c>
      <c r="B9606">
        <v>1</v>
      </c>
      <c r="C9606">
        <v>8</v>
      </c>
    </row>
    <row r="9607" spans="1:3" x14ac:dyDescent="0.3">
      <c r="A9607">
        <v>60138</v>
      </c>
      <c r="B9607">
        <v>1</v>
      </c>
      <c r="C9607">
        <v>8</v>
      </c>
    </row>
    <row r="9608" spans="1:3" x14ac:dyDescent="0.3">
      <c r="A9608">
        <v>60197</v>
      </c>
      <c r="B9608">
        <v>1</v>
      </c>
      <c r="C9608">
        <v>8</v>
      </c>
    </row>
    <row r="9609" spans="1:3" x14ac:dyDescent="0.3">
      <c r="A9609">
        <v>60304</v>
      </c>
      <c r="B9609">
        <v>1</v>
      </c>
      <c r="C9609">
        <v>8</v>
      </c>
    </row>
    <row r="9610" spans="1:3" x14ac:dyDescent="0.3">
      <c r="A9610">
        <v>60326</v>
      </c>
      <c r="B9610">
        <v>1</v>
      </c>
      <c r="C9610">
        <v>8</v>
      </c>
    </row>
    <row r="9611" spans="1:3" x14ac:dyDescent="0.3">
      <c r="A9611">
        <v>60479</v>
      </c>
      <c r="B9611">
        <v>1</v>
      </c>
      <c r="C9611">
        <v>8</v>
      </c>
    </row>
    <row r="9612" spans="1:3" x14ac:dyDescent="0.3">
      <c r="A9612">
        <v>60500</v>
      </c>
      <c r="B9612">
        <v>1</v>
      </c>
      <c r="C9612">
        <v>8</v>
      </c>
    </row>
    <row r="9613" spans="1:3" x14ac:dyDescent="0.3">
      <c r="A9613">
        <v>60547</v>
      </c>
      <c r="B9613">
        <v>2</v>
      </c>
      <c r="C9613">
        <v>16</v>
      </c>
    </row>
    <row r="9614" spans="1:3" x14ac:dyDescent="0.3">
      <c r="A9614">
        <v>60547</v>
      </c>
      <c r="B9614">
        <v>2</v>
      </c>
      <c r="C9614">
        <v>16</v>
      </c>
    </row>
    <row r="9615" spans="1:3" x14ac:dyDescent="0.3">
      <c r="A9615">
        <v>60589</v>
      </c>
      <c r="B9615">
        <v>1</v>
      </c>
      <c r="C9615">
        <v>8</v>
      </c>
    </row>
    <row r="9616" spans="1:3" x14ac:dyDescent="0.3">
      <c r="A9616">
        <v>60665</v>
      </c>
      <c r="B9616">
        <v>1</v>
      </c>
      <c r="C9616">
        <v>8</v>
      </c>
    </row>
    <row r="9617" spans="1:3" x14ac:dyDescent="0.3">
      <c r="A9617">
        <v>60725</v>
      </c>
      <c r="B9617">
        <v>1</v>
      </c>
      <c r="C9617">
        <v>16</v>
      </c>
    </row>
    <row r="9618" spans="1:3" x14ac:dyDescent="0.3">
      <c r="A9618">
        <v>60956</v>
      </c>
      <c r="B9618">
        <v>1</v>
      </c>
      <c r="C9618">
        <v>16</v>
      </c>
    </row>
    <row r="9619" spans="1:3" x14ac:dyDescent="0.3">
      <c r="A9619">
        <v>60988</v>
      </c>
      <c r="B9619">
        <v>1</v>
      </c>
      <c r="C9619">
        <v>8</v>
      </c>
    </row>
    <row r="9620" spans="1:3" x14ac:dyDescent="0.3">
      <c r="A9620">
        <v>61000</v>
      </c>
      <c r="B9620">
        <v>1</v>
      </c>
      <c r="C9620">
        <v>8</v>
      </c>
    </row>
    <row r="9621" spans="1:3" x14ac:dyDescent="0.3">
      <c r="A9621">
        <v>61046</v>
      </c>
      <c r="B9621">
        <v>1</v>
      </c>
      <c r="C9621">
        <v>8</v>
      </c>
    </row>
    <row r="9622" spans="1:3" x14ac:dyDescent="0.3">
      <c r="A9622">
        <v>61179</v>
      </c>
      <c r="B9622">
        <v>1</v>
      </c>
      <c r="C9622">
        <v>8</v>
      </c>
    </row>
    <row r="9623" spans="1:3" x14ac:dyDescent="0.3">
      <c r="A9623">
        <v>61194</v>
      </c>
      <c r="B9623">
        <v>1</v>
      </c>
      <c r="C9623">
        <v>8</v>
      </c>
    </row>
    <row r="9624" spans="1:3" x14ac:dyDescent="0.3">
      <c r="A9624">
        <v>61339</v>
      </c>
      <c r="B9624">
        <v>1</v>
      </c>
      <c r="C9624">
        <v>8</v>
      </c>
    </row>
    <row r="9625" spans="1:3" x14ac:dyDescent="0.3">
      <c r="A9625">
        <v>61365</v>
      </c>
      <c r="B9625">
        <v>1</v>
      </c>
      <c r="C9625">
        <v>8</v>
      </c>
    </row>
    <row r="9626" spans="1:3" x14ac:dyDescent="0.3">
      <c r="A9626">
        <v>61431</v>
      </c>
      <c r="B9626">
        <v>1</v>
      </c>
      <c r="C9626">
        <v>8</v>
      </c>
    </row>
    <row r="9627" spans="1:3" x14ac:dyDescent="0.3">
      <c r="A9627">
        <v>61515</v>
      </c>
      <c r="B9627">
        <v>1</v>
      </c>
      <c r="C9627">
        <v>8</v>
      </c>
    </row>
    <row r="9628" spans="1:3" x14ac:dyDescent="0.3">
      <c r="A9628">
        <v>61518</v>
      </c>
      <c r="B9628">
        <v>1</v>
      </c>
      <c r="C9628">
        <v>8</v>
      </c>
    </row>
    <row r="9629" spans="1:3" x14ac:dyDescent="0.3">
      <c r="A9629">
        <v>61521</v>
      </c>
      <c r="B9629">
        <v>1</v>
      </c>
      <c r="C9629">
        <v>8</v>
      </c>
    </row>
    <row r="9630" spans="1:3" x14ac:dyDescent="0.3">
      <c r="A9630">
        <v>61898</v>
      </c>
      <c r="B9630">
        <v>1</v>
      </c>
      <c r="C9630">
        <v>8</v>
      </c>
    </row>
    <row r="9631" spans="1:3" x14ac:dyDescent="0.3">
      <c r="A9631">
        <v>61953</v>
      </c>
      <c r="B9631">
        <v>1</v>
      </c>
      <c r="C9631">
        <v>8</v>
      </c>
    </row>
    <row r="9632" spans="1:3" x14ac:dyDescent="0.3">
      <c r="A9632">
        <v>62115</v>
      </c>
      <c r="B9632">
        <v>1</v>
      </c>
      <c r="C9632">
        <v>8</v>
      </c>
    </row>
    <row r="9633" spans="1:3" x14ac:dyDescent="0.3">
      <c r="A9633">
        <v>62181</v>
      </c>
      <c r="B9633">
        <v>1</v>
      </c>
      <c r="C9633">
        <v>8</v>
      </c>
    </row>
    <row r="9634" spans="1:3" x14ac:dyDescent="0.3">
      <c r="A9634">
        <v>62252</v>
      </c>
      <c r="B9634">
        <v>2</v>
      </c>
      <c r="C9634">
        <v>16</v>
      </c>
    </row>
    <row r="9635" spans="1:3" x14ac:dyDescent="0.3">
      <c r="A9635">
        <v>62252</v>
      </c>
      <c r="B9635">
        <v>2</v>
      </c>
      <c r="C9635">
        <v>16</v>
      </c>
    </row>
    <row r="9636" spans="1:3" x14ac:dyDescent="0.3">
      <c r="A9636">
        <v>62257</v>
      </c>
      <c r="B9636">
        <v>1</v>
      </c>
      <c r="C9636">
        <v>8</v>
      </c>
    </row>
    <row r="9637" spans="1:3" x14ac:dyDescent="0.3">
      <c r="A9637">
        <v>62346</v>
      </c>
      <c r="B9637">
        <v>1</v>
      </c>
      <c r="C9637">
        <v>8</v>
      </c>
    </row>
    <row r="9638" spans="1:3" x14ac:dyDescent="0.3">
      <c r="A9638">
        <v>62414</v>
      </c>
      <c r="B9638">
        <v>1</v>
      </c>
      <c r="C9638">
        <v>8</v>
      </c>
    </row>
    <row r="9639" spans="1:3" x14ac:dyDescent="0.3">
      <c r="A9639">
        <v>62748</v>
      </c>
      <c r="B9639">
        <v>1</v>
      </c>
      <c r="C9639">
        <v>16</v>
      </c>
    </row>
    <row r="9640" spans="1:3" x14ac:dyDescent="0.3">
      <c r="A9640">
        <v>62765</v>
      </c>
      <c r="B9640">
        <v>1</v>
      </c>
      <c r="C9640">
        <v>16</v>
      </c>
    </row>
    <row r="9641" spans="1:3" x14ac:dyDescent="0.3">
      <c r="A9641">
        <v>62789</v>
      </c>
      <c r="B9641">
        <v>1</v>
      </c>
      <c r="C9641">
        <v>8</v>
      </c>
    </row>
    <row r="9642" spans="1:3" x14ac:dyDescent="0.3">
      <c r="A9642">
        <v>62950</v>
      </c>
      <c r="B9642">
        <v>1</v>
      </c>
      <c r="C9642">
        <v>8</v>
      </c>
    </row>
    <row r="9643" spans="1:3" x14ac:dyDescent="0.3">
      <c r="A9643">
        <v>62988</v>
      </c>
      <c r="B9643">
        <v>1</v>
      </c>
      <c r="C9643">
        <v>8</v>
      </c>
    </row>
    <row r="9644" spans="1:3" x14ac:dyDescent="0.3">
      <c r="A9644">
        <v>63032</v>
      </c>
      <c r="B9644">
        <v>1</v>
      </c>
      <c r="C9644">
        <v>8</v>
      </c>
    </row>
    <row r="9645" spans="1:3" x14ac:dyDescent="0.3">
      <c r="A9645">
        <v>63104</v>
      </c>
      <c r="B9645">
        <v>1</v>
      </c>
      <c r="C9645">
        <v>8</v>
      </c>
    </row>
    <row r="9646" spans="1:3" x14ac:dyDescent="0.3">
      <c r="A9646">
        <v>63164</v>
      </c>
      <c r="B9646">
        <v>1</v>
      </c>
      <c r="C9646">
        <v>8</v>
      </c>
    </row>
    <row r="9647" spans="1:3" x14ac:dyDescent="0.3">
      <c r="A9647">
        <v>63170</v>
      </c>
      <c r="B9647">
        <v>1</v>
      </c>
      <c r="C9647">
        <v>8</v>
      </c>
    </row>
    <row r="9648" spans="1:3" x14ac:dyDescent="0.3">
      <c r="A9648">
        <v>63278</v>
      </c>
      <c r="B9648">
        <v>1</v>
      </c>
      <c r="C9648">
        <v>8</v>
      </c>
    </row>
    <row r="9649" spans="1:3" x14ac:dyDescent="0.3">
      <c r="A9649">
        <v>63380</v>
      </c>
      <c r="B9649">
        <v>1</v>
      </c>
      <c r="C9649">
        <v>8</v>
      </c>
    </row>
    <row r="9650" spans="1:3" x14ac:dyDescent="0.3">
      <c r="A9650">
        <v>63543</v>
      </c>
      <c r="B9650">
        <v>1</v>
      </c>
      <c r="C9650">
        <v>16</v>
      </c>
    </row>
    <row r="9651" spans="1:3" x14ac:dyDescent="0.3">
      <c r="A9651">
        <v>63571</v>
      </c>
      <c r="B9651">
        <v>1</v>
      </c>
      <c r="C9651">
        <v>8</v>
      </c>
    </row>
    <row r="9652" spans="1:3" x14ac:dyDescent="0.3">
      <c r="A9652">
        <v>63761</v>
      </c>
      <c r="B9652">
        <v>1</v>
      </c>
      <c r="C9652">
        <v>8</v>
      </c>
    </row>
    <row r="9653" spans="1:3" x14ac:dyDescent="0.3">
      <c r="A9653">
        <v>63797</v>
      </c>
      <c r="B9653">
        <v>1</v>
      </c>
      <c r="C9653">
        <v>8</v>
      </c>
    </row>
    <row r="9654" spans="1:3" x14ac:dyDescent="0.3">
      <c r="A9654">
        <v>63805</v>
      </c>
      <c r="B9654">
        <v>1</v>
      </c>
      <c r="C9654">
        <v>8</v>
      </c>
    </row>
    <row r="9655" spans="1:3" x14ac:dyDescent="0.3">
      <c r="A9655">
        <v>64002</v>
      </c>
      <c r="B9655">
        <v>1</v>
      </c>
      <c r="C9655">
        <v>8</v>
      </c>
    </row>
    <row r="9656" spans="1:3" x14ac:dyDescent="0.3">
      <c r="A9656">
        <v>64414</v>
      </c>
      <c r="B9656">
        <v>1</v>
      </c>
      <c r="C9656">
        <v>8</v>
      </c>
    </row>
    <row r="9657" spans="1:3" x14ac:dyDescent="0.3">
      <c r="A9657">
        <v>64577</v>
      </c>
      <c r="B9657">
        <v>1</v>
      </c>
      <c r="C9657">
        <v>8</v>
      </c>
    </row>
    <row r="9658" spans="1:3" x14ac:dyDescent="0.3">
      <c r="A9658">
        <v>64599</v>
      </c>
      <c r="B9658">
        <v>1</v>
      </c>
      <c r="C9658">
        <v>8</v>
      </c>
    </row>
    <row r="9659" spans="1:3" x14ac:dyDescent="0.3">
      <c r="A9659">
        <v>64749</v>
      </c>
      <c r="B9659">
        <v>1</v>
      </c>
      <c r="C9659">
        <v>8</v>
      </c>
    </row>
    <row r="9660" spans="1:3" x14ac:dyDescent="0.3">
      <c r="A9660">
        <v>64766</v>
      </c>
      <c r="B9660">
        <v>1</v>
      </c>
      <c r="C9660">
        <v>8</v>
      </c>
    </row>
    <row r="9661" spans="1:3" x14ac:dyDescent="0.3">
      <c r="A9661">
        <v>64783</v>
      </c>
      <c r="B9661">
        <v>1</v>
      </c>
      <c r="C9661">
        <v>8</v>
      </c>
    </row>
    <row r="9662" spans="1:3" x14ac:dyDescent="0.3">
      <c r="A9662">
        <v>64810</v>
      </c>
      <c r="B9662">
        <v>1</v>
      </c>
      <c r="C9662">
        <v>8</v>
      </c>
    </row>
    <row r="9663" spans="1:3" x14ac:dyDescent="0.3">
      <c r="A9663">
        <v>64888</v>
      </c>
      <c r="B9663">
        <v>1</v>
      </c>
      <c r="C9663">
        <v>8</v>
      </c>
    </row>
    <row r="9664" spans="1:3" x14ac:dyDescent="0.3">
      <c r="A9664">
        <v>64901</v>
      </c>
      <c r="B9664">
        <v>1</v>
      </c>
      <c r="C9664">
        <v>16</v>
      </c>
    </row>
    <row r="9665" spans="1:3" x14ac:dyDescent="0.3">
      <c r="A9665">
        <v>64972</v>
      </c>
      <c r="B9665">
        <v>1</v>
      </c>
      <c r="C9665">
        <v>16</v>
      </c>
    </row>
    <row r="9666" spans="1:3" x14ac:dyDescent="0.3">
      <c r="A9666">
        <v>64990</v>
      </c>
      <c r="B9666">
        <v>1</v>
      </c>
      <c r="C9666">
        <v>8</v>
      </c>
    </row>
    <row r="9667" spans="1:3" x14ac:dyDescent="0.3">
      <c r="A9667">
        <v>64995</v>
      </c>
      <c r="B9667">
        <v>1</v>
      </c>
      <c r="C9667">
        <v>8</v>
      </c>
    </row>
    <row r="9668" spans="1:3" x14ac:dyDescent="0.3">
      <c r="A9668">
        <v>65218</v>
      </c>
      <c r="B9668">
        <v>1</v>
      </c>
      <c r="C9668">
        <v>8</v>
      </c>
    </row>
    <row r="9669" spans="1:3" x14ac:dyDescent="0.3">
      <c r="A9669">
        <v>65267</v>
      </c>
      <c r="B9669">
        <v>2</v>
      </c>
      <c r="C9669">
        <v>16</v>
      </c>
    </row>
    <row r="9670" spans="1:3" x14ac:dyDescent="0.3">
      <c r="A9670">
        <v>65267</v>
      </c>
      <c r="B9670">
        <v>2</v>
      </c>
      <c r="C9670">
        <v>16</v>
      </c>
    </row>
    <row r="9671" spans="1:3" x14ac:dyDescent="0.3">
      <c r="A9671">
        <v>65273</v>
      </c>
      <c r="B9671">
        <v>1</v>
      </c>
      <c r="C9671">
        <v>8</v>
      </c>
    </row>
    <row r="9672" spans="1:3" x14ac:dyDescent="0.3">
      <c r="A9672">
        <v>65306</v>
      </c>
      <c r="B9672">
        <v>1</v>
      </c>
      <c r="C9672">
        <v>8</v>
      </c>
    </row>
    <row r="9673" spans="1:3" x14ac:dyDescent="0.3">
      <c r="A9673">
        <v>65609</v>
      </c>
      <c r="B9673">
        <v>1</v>
      </c>
      <c r="C9673">
        <v>8</v>
      </c>
    </row>
    <row r="9674" spans="1:3" x14ac:dyDescent="0.3">
      <c r="A9674">
        <v>65635</v>
      </c>
      <c r="B9674">
        <v>1</v>
      </c>
      <c r="C9674">
        <v>8</v>
      </c>
    </row>
    <row r="9675" spans="1:3" x14ac:dyDescent="0.3">
      <c r="A9675">
        <v>65786</v>
      </c>
      <c r="B9675">
        <v>1</v>
      </c>
      <c r="C9675">
        <v>8</v>
      </c>
    </row>
    <row r="9676" spans="1:3" x14ac:dyDescent="0.3">
      <c r="A9676">
        <v>65871</v>
      </c>
      <c r="B9676">
        <v>1</v>
      </c>
      <c r="C9676">
        <v>8</v>
      </c>
    </row>
    <row r="9677" spans="1:3" x14ac:dyDescent="0.3">
      <c r="A9677">
        <v>65895</v>
      </c>
      <c r="B9677">
        <v>1</v>
      </c>
      <c r="C9677">
        <v>8</v>
      </c>
    </row>
    <row r="9678" spans="1:3" x14ac:dyDescent="0.3">
      <c r="A9678">
        <v>65983</v>
      </c>
      <c r="B9678">
        <v>1</v>
      </c>
      <c r="C9678">
        <v>8</v>
      </c>
    </row>
    <row r="9679" spans="1:3" x14ac:dyDescent="0.3">
      <c r="A9679">
        <v>66130</v>
      </c>
      <c r="B9679">
        <v>1</v>
      </c>
      <c r="C9679">
        <v>8</v>
      </c>
    </row>
    <row r="9680" spans="1:3" x14ac:dyDescent="0.3">
      <c r="A9680">
        <v>66213</v>
      </c>
      <c r="B9680">
        <v>1</v>
      </c>
      <c r="C9680">
        <v>8</v>
      </c>
    </row>
    <row r="9681" spans="1:3" x14ac:dyDescent="0.3">
      <c r="A9681">
        <v>66235</v>
      </c>
      <c r="B9681">
        <v>1</v>
      </c>
      <c r="C9681">
        <v>8</v>
      </c>
    </row>
    <row r="9682" spans="1:3" x14ac:dyDescent="0.3">
      <c r="A9682">
        <v>66237</v>
      </c>
      <c r="B9682">
        <v>1</v>
      </c>
      <c r="C9682">
        <v>8</v>
      </c>
    </row>
    <row r="9683" spans="1:3" x14ac:dyDescent="0.3">
      <c r="A9683">
        <v>66285</v>
      </c>
      <c r="B9683">
        <v>1</v>
      </c>
      <c r="C9683">
        <v>16</v>
      </c>
    </row>
    <row r="9684" spans="1:3" x14ac:dyDescent="0.3">
      <c r="A9684">
        <v>66291</v>
      </c>
      <c r="B9684">
        <v>1</v>
      </c>
      <c r="C9684">
        <v>8</v>
      </c>
    </row>
    <row r="9685" spans="1:3" x14ac:dyDescent="0.3">
      <c r="A9685">
        <v>66315</v>
      </c>
      <c r="B9685">
        <v>1</v>
      </c>
      <c r="C9685">
        <v>8</v>
      </c>
    </row>
    <row r="9686" spans="1:3" x14ac:dyDescent="0.3">
      <c r="A9686">
        <v>66454</v>
      </c>
      <c r="B9686">
        <v>1</v>
      </c>
      <c r="C9686">
        <v>8</v>
      </c>
    </row>
    <row r="9687" spans="1:3" x14ac:dyDescent="0.3">
      <c r="A9687">
        <v>66518</v>
      </c>
      <c r="B9687">
        <v>1</v>
      </c>
      <c r="C9687">
        <v>8</v>
      </c>
    </row>
    <row r="9688" spans="1:3" x14ac:dyDescent="0.3">
      <c r="A9688">
        <v>66562</v>
      </c>
      <c r="B9688">
        <v>1</v>
      </c>
      <c r="C9688">
        <v>16</v>
      </c>
    </row>
    <row r="9689" spans="1:3" x14ac:dyDescent="0.3">
      <c r="A9689">
        <v>66657</v>
      </c>
      <c r="B9689">
        <v>1</v>
      </c>
      <c r="C9689">
        <v>16</v>
      </c>
    </row>
    <row r="9690" spans="1:3" x14ac:dyDescent="0.3">
      <c r="A9690">
        <v>66796</v>
      </c>
      <c r="B9690">
        <v>1</v>
      </c>
      <c r="C9690">
        <v>16</v>
      </c>
    </row>
    <row r="9691" spans="1:3" x14ac:dyDescent="0.3">
      <c r="A9691">
        <v>66819</v>
      </c>
      <c r="B9691">
        <v>1</v>
      </c>
      <c r="C9691">
        <v>8</v>
      </c>
    </row>
    <row r="9692" spans="1:3" x14ac:dyDescent="0.3">
      <c r="A9692">
        <v>66941</v>
      </c>
      <c r="B9692">
        <v>1</v>
      </c>
      <c r="C9692">
        <v>8</v>
      </c>
    </row>
    <row r="9693" spans="1:3" x14ac:dyDescent="0.3">
      <c r="A9693">
        <v>67026</v>
      </c>
      <c r="B9693">
        <v>1</v>
      </c>
      <c r="C9693">
        <v>8</v>
      </c>
    </row>
    <row r="9694" spans="1:3" x14ac:dyDescent="0.3">
      <c r="A9694">
        <v>67034</v>
      </c>
      <c r="B9694">
        <v>1</v>
      </c>
      <c r="C9694">
        <v>8</v>
      </c>
    </row>
    <row r="9695" spans="1:3" x14ac:dyDescent="0.3">
      <c r="A9695">
        <v>67135</v>
      </c>
      <c r="B9695">
        <v>1</v>
      </c>
      <c r="C9695">
        <v>8</v>
      </c>
    </row>
    <row r="9696" spans="1:3" x14ac:dyDescent="0.3">
      <c r="A9696">
        <v>67139</v>
      </c>
      <c r="B9696">
        <v>1</v>
      </c>
      <c r="C9696">
        <v>8</v>
      </c>
    </row>
    <row r="9697" spans="1:3" x14ac:dyDescent="0.3">
      <c r="A9697">
        <v>67212</v>
      </c>
      <c r="B9697">
        <v>1</v>
      </c>
      <c r="C9697">
        <v>8</v>
      </c>
    </row>
    <row r="9698" spans="1:3" x14ac:dyDescent="0.3">
      <c r="A9698">
        <v>67264</v>
      </c>
      <c r="B9698">
        <v>1</v>
      </c>
      <c r="C9698">
        <v>8</v>
      </c>
    </row>
    <row r="9699" spans="1:3" x14ac:dyDescent="0.3">
      <c r="A9699">
        <v>67349</v>
      </c>
      <c r="B9699">
        <v>1</v>
      </c>
      <c r="C9699">
        <v>8</v>
      </c>
    </row>
    <row r="9700" spans="1:3" x14ac:dyDescent="0.3">
      <c r="A9700">
        <v>67376</v>
      </c>
      <c r="B9700">
        <v>1</v>
      </c>
      <c r="C9700">
        <v>8</v>
      </c>
    </row>
    <row r="9701" spans="1:3" x14ac:dyDescent="0.3">
      <c r="A9701">
        <v>67583</v>
      </c>
      <c r="B9701">
        <v>1</v>
      </c>
      <c r="C9701">
        <v>8</v>
      </c>
    </row>
    <row r="9702" spans="1:3" x14ac:dyDescent="0.3">
      <c r="A9702">
        <v>67660</v>
      </c>
      <c r="B9702">
        <v>1</v>
      </c>
      <c r="C9702">
        <v>8</v>
      </c>
    </row>
    <row r="9703" spans="1:3" x14ac:dyDescent="0.3">
      <c r="A9703">
        <v>67757</v>
      </c>
      <c r="B9703">
        <v>1</v>
      </c>
      <c r="C9703">
        <v>8</v>
      </c>
    </row>
    <row r="9704" spans="1:3" x14ac:dyDescent="0.3">
      <c r="A9704">
        <v>67759</v>
      </c>
      <c r="B9704">
        <v>1</v>
      </c>
      <c r="C9704">
        <v>8</v>
      </c>
    </row>
    <row r="9705" spans="1:3" x14ac:dyDescent="0.3">
      <c r="A9705">
        <v>67788</v>
      </c>
      <c r="B9705">
        <v>2</v>
      </c>
      <c r="C9705">
        <v>8</v>
      </c>
    </row>
    <row r="9706" spans="1:3" x14ac:dyDescent="0.3">
      <c r="A9706">
        <v>67788</v>
      </c>
      <c r="B9706">
        <v>2</v>
      </c>
      <c r="C9706">
        <v>8</v>
      </c>
    </row>
    <row r="9707" spans="1:3" x14ac:dyDescent="0.3">
      <c r="A9707">
        <v>67887</v>
      </c>
      <c r="B9707">
        <v>1</v>
      </c>
      <c r="C9707">
        <v>8</v>
      </c>
    </row>
    <row r="9708" spans="1:3" x14ac:dyDescent="0.3">
      <c r="A9708">
        <v>67990</v>
      </c>
      <c r="B9708">
        <v>1</v>
      </c>
      <c r="C9708">
        <v>8</v>
      </c>
    </row>
    <row r="9709" spans="1:3" x14ac:dyDescent="0.3">
      <c r="A9709">
        <v>68335</v>
      </c>
      <c r="B9709">
        <v>1</v>
      </c>
      <c r="C9709">
        <v>8</v>
      </c>
    </row>
    <row r="9710" spans="1:3" x14ac:dyDescent="0.3">
      <c r="A9710">
        <v>68549</v>
      </c>
      <c r="B9710">
        <v>1</v>
      </c>
      <c r="C9710">
        <v>8</v>
      </c>
    </row>
    <row r="9711" spans="1:3" x14ac:dyDescent="0.3">
      <c r="A9711">
        <v>68741</v>
      </c>
      <c r="B9711">
        <v>1</v>
      </c>
      <c r="C9711">
        <v>8</v>
      </c>
    </row>
    <row r="9712" spans="1:3" x14ac:dyDescent="0.3">
      <c r="A9712">
        <v>68820</v>
      </c>
      <c r="B9712">
        <v>1</v>
      </c>
      <c r="C9712">
        <v>8</v>
      </c>
    </row>
    <row r="9713" spans="1:3" x14ac:dyDescent="0.3">
      <c r="A9713">
        <v>68837</v>
      </c>
      <c r="B9713">
        <v>1</v>
      </c>
      <c r="C9713">
        <v>16</v>
      </c>
    </row>
    <row r="9714" spans="1:3" x14ac:dyDescent="0.3">
      <c r="A9714">
        <v>68883</v>
      </c>
      <c r="B9714">
        <v>1</v>
      </c>
      <c r="C9714">
        <v>8</v>
      </c>
    </row>
    <row r="9715" spans="1:3" x14ac:dyDescent="0.3">
      <c r="A9715">
        <v>69053</v>
      </c>
      <c r="B9715">
        <v>1</v>
      </c>
      <c r="C9715">
        <v>8</v>
      </c>
    </row>
    <row r="9716" spans="1:3" x14ac:dyDescent="0.3">
      <c r="A9716">
        <v>69260</v>
      </c>
      <c r="B9716">
        <v>1</v>
      </c>
      <c r="C9716">
        <v>8</v>
      </c>
    </row>
    <row r="9717" spans="1:3" x14ac:dyDescent="0.3">
      <c r="A9717">
        <v>69308</v>
      </c>
      <c r="B9717">
        <v>1</v>
      </c>
      <c r="C9717">
        <v>16</v>
      </c>
    </row>
    <row r="9718" spans="1:3" x14ac:dyDescent="0.3">
      <c r="A9718">
        <v>69312</v>
      </c>
      <c r="B9718">
        <v>1</v>
      </c>
      <c r="C9718">
        <v>8</v>
      </c>
    </row>
    <row r="9719" spans="1:3" x14ac:dyDescent="0.3">
      <c r="A9719">
        <v>69571</v>
      </c>
      <c r="B9719">
        <v>1</v>
      </c>
      <c r="C9719">
        <v>8</v>
      </c>
    </row>
    <row r="9720" spans="1:3" x14ac:dyDescent="0.3">
      <c r="A9720">
        <v>69616</v>
      </c>
      <c r="B9720">
        <v>1</v>
      </c>
      <c r="C9720">
        <v>8</v>
      </c>
    </row>
    <row r="9721" spans="1:3" x14ac:dyDescent="0.3">
      <c r="A9721">
        <v>69736</v>
      </c>
      <c r="B9721">
        <v>1</v>
      </c>
      <c r="C9721">
        <v>8</v>
      </c>
    </row>
    <row r="9722" spans="1:3" x14ac:dyDescent="0.3">
      <c r="A9722">
        <v>69758</v>
      </c>
      <c r="B9722">
        <v>1</v>
      </c>
      <c r="C9722">
        <v>8</v>
      </c>
    </row>
    <row r="9723" spans="1:3" x14ac:dyDescent="0.3">
      <c r="A9723">
        <v>69896</v>
      </c>
      <c r="B9723">
        <v>1</v>
      </c>
      <c r="C9723">
        <v>16</v>
      </c>
    </row>
    <row r="9724" spans="1:3" x14ac:dyDescent="0.3">
      <c r="A9724">
        <v>69921</v>
      </c>
      <c r="B9724">
        <v>1</v>
      </c>
      <c r="C9724">
        <v>8</v>
      </c>
    </row>
    <row r="9725" spans="1:3" x14ac:dyDescent="0.3">
      <c r="A9725">
        <v>69981</v>
      </c>
      <c r="B9725">
        <v>1</v>
      </c>
      <c r="C9725">
        <v>8</v>
      </c>
    </row>
    <row r="9726" spans="1:3" x14ac:dyDescent="0.3">
      <c r="A9726">
        <v>70136</v>
      </c>
      <c r="B9726">
        <v>1</v>
      </c>
      <c r="C9726">
        <v>8</v>
      </c>
    </row>
    <row r="9727" spans="1:3" x14ac:dyDescent="0.3">
      <c r="A9727">
        <v>70156</v>
      </c>
      <c r="B9727">
        <v>1</v>
      </c>
      <c r="C9727">
        <v>8</v>
      </c>
    </row>
    <row r="9728" spans="1:3" x14ac:dyDescent="0.3">
      <c r="A9728">
        <v>70245</v>
      </c>
      <c r="B9728">
        <v>1</v>
      </c>
      <c r="C9728">
        <v>8</v>
      </c>
    </row>
    <row r="9729" spans="1:3" x14ac:dyDescent="0.3">
      <c r="A9729">
        <v>70268</v>
      </c>
      <c r="B9729">
        <v>1</v>
      </c>
      <c r="C9729">
        <v>8</v>
      </c>
    </row>
    <row r="9730" spans="1:3" x14ac:dyDescent="0.3">
      <c r="A9730">
        <v>70277</v>
      </c>
      <c r="B9730">
        <v>1</v>
      </c>
      <c r="C9730">
        <v>8</v>
      </c>
    </row>
    <row r="9731" spans="1:3" x14ac:dyDescent="0.3">
      <c r="A9731">
        <v>70290</v>
      </c>
      <c r="B9731">
        <v>1</v>
      </c>
      <c r="C9731">
        <v>8</v>
      </c>
    </row>
    <row r="9732" spans="1:3" x14ac:dyDescent="0.3">
      <c r="A9732">
        <v>70315</v>
      </c>
      <c r="B9732">
        <v>1</v>
      </c>
      <c r="C9732">
        <v>8</v>
      </c>
    </row>
    <row r="9733" spans="1:3" x14ac:dyDescent="0.3">
      <c r="A9733">
        <v>70447</v>
      </c>
      <c r="B9733">
        <v>1</v>
      </c>
      <c r="C9733">
        <v>8</v>
      </c>
    </row>
    <row r="9734" spans="1:3" x14ac:dyDescent="0.3">
      <c r="A9734">
        <v>70499</v>
      </c>
      <c r="B9734">
        <v>1</v>
      </c>
      <c r="C9734">
        <v>16</v>
      </c>
    </row>
    <row r="9735" spans="1:3" x14ac:dyDescent="0.3">
      <c r="A9735">
        <v>70516</v>
      </c>
      <c r="B9735">
        <v>1</v>
      </c>
      <c r="C9735">
        <v>8</v>
      </c>
    </row>
    <row r="9736" spans="1:3" x14ac:dyDescent="0.3">
      <c r="A9736">
        <v>70649</v>
      </c>
      <c r="B9736">
        <v>1</v>
      </c>
      <c r="C9736">
        <v>8</v>
      </c>
    </row>
    <row r="9737" spans="1:3" x14ac:dyDescent="0.3">
      <c r="A9737">
        <v>70662</v>
      </c>
      <c r="B9737">
        <v>1</v>
      </c>
      <c r="C9737">
        <v>8</v>
      </c>
    </row>
    <row r="9738" spans="1:3" x14ac:dyDescent="0.3">
      <c r="A9738">
        <v>70674</v>
      </c>
      <c r="B9738">
        <v>1</v>
      </c>
      <c r="C9738">
        <v>16</v>
      </c>
    </row>
    <row r="9739" spans="1:3" x14ac:dyDescent="0.3">
      <c r="A9739">
        <v>70719</v>
      </c>
      <c r="B9739">
        <v>1</v>
      </c>
      <c r="C9739">
        <v>8</v>
      </c>
    </row>
    <row r="9740" spans="1:3" x14ac:dyDescent="0.3">
      <c r="A9740">
        <v>70936</v>
      </c>
      <c r="B9740">
        <v>1</v>
      </c>
      <c r="C9740">
        <v>8</v>
      </c>
    </row>
    <row r="9741" spans="1:3" x14ac:dyDescent="0.3">
      <c r="A9741">
        <v>71005</v>
      </c>
      <c r="B9741">
        <v>1</v>
      </c>
      <c r="C9741">
        <v>16</v>
      </c>
    </row>
    <row r="9742" spans="1:3" x14ac:dyDescent="0.3">
      <c r="A9742">
        <v>71006</v>
      </c>
      <c r="B9742">
        <v>1</v>
      </c>
      <c r="C9742">
        <v>8</v>
      </c>
    </row>
    <row r="9743" spans="1:3" x14ac:dyDescent="0.3">
      <c r="A9743">
        <v>71036</v>
      </c>
      <c r="B9743">
        <v>1</v>
      </c>
      <c r="C9743">
        <v>8</v>
      </c>
    </row>
    <row r="9744" spans="1:3" x14ac:dyDescent="0.3">
      <c r="A9744">
        <v>71118</v>
      </c>
      <c r="B9744">
        <v>1</v>
      </c>
      <c r="C9744">
        <v>8</v>
      </c>
    </row>
    <row r="9745" spans="1:3" x14ac:dyDescent="0.3">
      <c r="A9745">
        <v>71124</v>
      </c>
      <c r="B9745">
        <v>1</v>
      </c>
      <c r="C9745">
        <v>8</v>
      </c>
    </row>
    <row r="9746" spans="1:3" x14ac:dyDescent="0.3">
      <c r="A9746">
        <v>71400</v>
      </c>
      <c r="B9746">
        <v>1</v>
      </c>
      <c r="C9746">
        <v>8</v>
      </c>
    </row>
    <row r="9747" spans="1:3" x14ac:dyDescent="0.3">
      <c r="A9747">
        <v>71467</v>
      </c>
      <c r="B9747">
        <v>1</v>
      </c>
      <c r="C9747">
        <v>8</v>
      </c>
    </row>
    <row r="9748" spans="1:3" x14ac:dyDescent="0.3">
      <c r="A9748">
        <v>71526</v>
      </c>
      <c r="B9748">
        <v>1</v>
      </c>
      <c r="C9748">
        <v>8</v>
      </c>
    </row>
    <row r="9749" spans="1:3" x14ac:dyDescent="0.3">
      <c r="A9749">
        <v>71544</v>
      </c>
      <c r="B9749">
        <v>1</v>
      </c>
      <c r="C9749">
        <v>8</v>
      </c>
    </row>
    <row r="9750" spans="1:3" x14ac:dyDescent="0.3">
      <c r="A9750">
        <v>71555</v>
      </c>
      <c r="B9750">
        <v>1</v>
      </c>
      <c r="C9750">
        <v>8</v>
      </c>
    </row>
    <row r="9751" spans="1:3" x14ac:dyDescent="0.3">
      <c r="A9751">
        <v>71703</v>
      </c>
      <c r="B9751">
        <v>1</v>
      </c>
      <c r="C9751">
        <v>8</v>
      </c>
    </row>
    <row r="9752" spans="1:3" x14ac:dyDescent="0.3">
      <c r="A9752">
        <v>71805</v>
      </c>
      <c r="B9752">
        <v>1</v>
      </c>
      <c r="C9752">
        <v>8</v>
      </c>
    </row>
    <row r="9753" spans="1:3" x14ac:dyDescent="0.3">
      <c r="A9753">
        <v>71825</v>
      </c>
      <c r="B9753">
        <v>1</v>
      </c>
      <c r="C9753">
        <v>8</v>
      </c>
    </row>
    <row r="9754" spans="1:3" x14ac:dyDescent="0.3">
      <c r="A9754">
        <v>71891</v>
      </c>
      <c r="B9754">
        <v>1</v>
      </c>
      <c r="C9754">
        <v>8</v>
      </c>
    </row>
    <row r="9755" spans="1:3" x14ac:dyDescent="0.3">
      <c r="A9755">
        <v>71928</v>
      </c>
      <c r="B9755">
        <v>1</v>
      </c>
      <c r="C9755">
        <v>8</v>
      </c>
    </row>
    <row r="9756" spans="1:3" x14ac:dyDescent="0.3">
      <c r="A9756">
        <v>72013</v>
      </c>
      <c r="B9756">
        <v>1</v>
      </c>
      <c r="C9756">
        <v>8</v>
      </c>
    </row>
    <row r="9757" spans="1:3" x14ac:dyDescent="0.3">
      <c r="A9757">
        <v>72063</v>
      </c>
      <c r="B9757">
        <v>1</v>
      </c>
      <c r="C9757">
        <v>8</v>
      </c>
    </row>
    <row r="9758" spans="1:3" x14ac:dyDescent="0.3">
      <c r="A9758">
        <v>72100</v>
      </c>
      <c r="B9758">
        <v>1</v>
      </c>
      <c r="C9758">
        <v>8</v>
      </c>
    </row>
    <row r="9759" spans="1:3" x14ac:dyDescent="0.3">
      <c r="A9759">
        <v>72114</v>
      </c>
      <c r="B9759">
        <v>1</v>
      </c>
      <c r="C9759">
        <v>8</v>
      </c>
    </row>
    <row r="9760" spans="1:3" x14ac:dyDescent="0.3">
      <c r="A9760">
        <v>72300</v>
      </c>
      <c r="B9760">
        <v>1</v>
      </c>
      <c r="C9760">
        <v>8</v>
      </c>
    </row>
    <row r="9761" spans="1:3" x14ac:dyDescent="0.3">
      <c r="A9761">
        <v>72684</v>
      </c>
      <c r="B9761">
        <v>1</v>
      </c>
      <c r="C9761">
        <v>8</v>
      </c>
    </row>
    <row r="9762" spans="1:3" x14ac:dyDescent="0.3">
      <c r="A9762">
        <v>72735</v>
      </c>
      <c r="B9762">
        <v>1</v>
      </c>
      <c r="C9762">
        <v>8</v>
      </c>
    </row>
    <row r="9763" spans="1:3" x14ac:dyDescent="0.3">
      <c r="A9763">
        <v>72967</v>
      </c>
      <c r="B9763">
        <v>1</v>
      </c>
      <c r="C9763">
        <v>8</v>
      </c>
    </row>
    <row r="9764" spans="1:3" x14ac:dyDescent="0.3">
      <c r="A9764">
        <v>72998</v>
      </c>
      <c r="B9764">
        <v>1</v>
      </c>
      <c r="C9764">
        <v>16</v>
      </c>
    </row>
    <row r="9765" spans="1:3" x14ac:dyDescent="0.3">
      <c r="A9765">
        <v>73254</v>
      </c>
      <c r="B9765">
        <v>1</v>
      </c>
      <c r="C9765">
        <v>8</v>
      </c>
    </row>
    <row r="9766" spans="1:3" x14ac:dyDescent="0.3">
      <c r="A9766">
        <v>73269</v>
      </c>
      <c r="B9766">
        <v>1</v>
      </c>
      <c r="C9766">
        <v>8</v>
      </c>
    </row>
    <row r="9767" spans="1:3" x14ac:dyDescent="0.3">
      <c r="A9767">
        <v>73370</v>
      </c>
      <c r="B9767">
        <v>1</v>
      </c>
      <c r="C9767">
        <v>8</v>
      </c>
    </row>
    <row r="9768" spans="1:3" x14ac:dyDescent="0.3">
      <c r="A9768">
        <v>73401</v>
      </c>
      <c r="B9768">
        <v>1</v>
      </c>
      <c r="C9768">
        <v>8</v>
      </c>
    </row>
    <row r="9769" spans="1:3" x14ac:dyDescent="0.3">
      <c r="A9769">
        <v>73422</v>
      </c>
      <c r="B9769">
        <v>1</v>
      </c>
      <c r="C9769">
        <v>8</v>
      </c>
    </row>
    <row r="9770" spans="1:3" x14ac:dyDescent="0.3">
      <c r="A9770">
        <v>73430</v>
      </c>
      <c r="B9770">
        <v>1</v>
      </c>
      <c r="C9770">
        <v>8</v>
      </c>
    </row>
    <row r="9771" spans="1:3" x14ac:dyDescent="0.3">
      <c r="A9771">
        <v>73488</v>
      </c>
      <c r="B9771">
        <v>1</v>
      </c>
      <c r="C9771">
        <v>8</v>
      </c>
    </row>
    <row r="9772" spans="1:3" x14ac:dyDescent="0.3">
      <c r="A9772">
        <v>73505</v>
      </c>
      <c r="B9772">
        <v>1</v>
      </c>
      <c r="C9772">
        <v>8</v>
      </c>
    </row>
    <row r="9773" spans="1:3" x14ac:dyDescent="0.3">
      <c r="A9773">
        <v>73523</v>
      </c>
      <c r="B9773">
        <v>1</v>
      </c>
      <c r="C9773">
        <v>8</v>
      </c>
    </row>
    <row r="9774" spans="1:3" x14ac:dyDescent="0.3">
      <c r="A9774">
        <v>73549</v>
      </c>
      <c r="B9774">
        <v>1</v>
      </c>
      <c r="C9774">
        <v>8</v>
      </c>
    </row>
    <row r="9775" spans="1:3" x14ac:dyDescent="0.3">
      <c r="A9775">
        <v>73704</v>
      </c>
      <c r="B9775">
        <v>1</v>
      </c>
      <c r="C9775">
        <v>8</v>
      </c>
    </row>
    <row r="9776" spans="1:3" x14ac:dyDescent="0.3">
      <c r="A9776">
        <v>73749</v>
      </c>
      <c r="B9776">
        <v>1</v>
      </c>
      <c r="C9776">
        <v>8</v>
      </c>
    </row>
    <row r="9777" spans="1:3" x14ac:dyDescent="0.3">
      <c r="A9777">
        <v>73811</v>
      </c>
      <c r="B9777">
        <v>1</v>
      </c>
      <c r="C9777">
        <v>8</v>
      </c>
    </row>
    <row r="9778" spans="1:3" x14ac:dyDescent="0.3">
      <c r="A9778">
        <v>74009</v>
      </c>
      <c r="B9778">
        <v>1</v>
      </c>
      <c r="C9778">
        <v>8</v>
      </c>
    </row>
    <row r="9779" spans="1:3" x14ac:dyDescent="0.3">
      <c r="A9779">
        <v>74193</v>
      </c>
      <c r="B9779">
        <v>1</v>
      </c>
      <c r="C9779">
        <v>8</v>
      </c>
    </row>
    <row r="9780" spans="1:3" x14ac:dyDescent="0.3">
      <c r="A9780">
        <v>74195</v>
      </c>
      <c r="B9780">
        <v>1</v>
      </c>
      <c r="C9780">
        <v>8</v>
      </c>
    </row>
    <row r="9781" spans="1:3" x14ac:dyDescent="0.3">
      <c r="A9781">
        <v>74295</v>
      </c>
      <c r="B9781">
        <v>1</v>
      </c>
      <c r="C9781">
        <v>8</v>
      </c>
    </row>
    <row r="9782" spans="1:3" x14ac:dyDescent="0.3">
      <c r="A9782">
        <v>74467</v>
      </c>
      <c r="B9782">
        <v>1</v>
      </c>
      <c r="C9782">
        <v>8</v>
      </c>
    </row>
    <row r="9783" spans="1:3" x14ac:dyDescent="0.3">
      <c r="A9783">
        <v>74489</v>
      </c>
      <c r="B9783">
        <v>1</v>
      </c>
      <c r="C9783">
        <v>8</v>
      </c>
    </row>
    <row r="9784" spans="1:3" x14ac:dyDescent="0.3">
      <c r="A9784">
        <v>74506</v>
      </c>
      <c r="B9784">
        <v>1</v>
      </c>
      <c r="C9784">
        <v>8</v>
      </c>
    </row>
    <row r="9785" spans="1:3" x14ac:dyDescent="0.3">
      <c r="A9785">
        <v>74580</v>
      </c>
      <c r="B9785">
        <v>1</v>
      </c>
      <c r="C9785">
        <v>8</v>
      </c>
    </row>
    <row r="9786" spans="1:3" x14ac:dyDescent="0.3">
      <c r="A9786">
        <v>74757</v>
      </c>
      <c r="B9786">
        <v>1</v>
      </c>
      <c r="C9786">
        <v>8</v>
      </c>
    </row>
    <row r="9787" spans="1:3" x14ac:dyDescent="0.3">
      <c r="A9787">
        <v>74816</v>
      </c>
      <c r="B9787">
        <v>1</v>
      </c>
      <c r="C9787">
        <v>8</v>
      </c>
    </row>
    <row r="9788" spans="1:3" x14ac:dyDescent="0.3">
      <c r="A9788">
        <v>74857</v>
      </c>
      <c r="B9788">
        <v>1</v>
      </c>
      <c r="C9788">
        <v>8</v>
      </c>
    </row>
    <row r="9789" spans="1:3" x14ac:dyDescent="0.3">
      <c r="A9789">
        <v>74910</v>
      </c>
      <c r="B9789">
        <v>1</v>
      </c>
      <c r="C9789">
        <v>8</v>
      </c>
    </row>
    <row r="9790" spans="1:3" x14ac:dyDescent="0.3">
      <c r="A9790">
        <v>74913</v>
      </c>
      <c r="B9790">
        <v>1</v>
      </c>
      <c r="C9790">
        <v>8</v>
      </c>
    </row>
    <row r="9791" spans="1:3" x14ac:dyDescent="0.3">
      <c r="A9791">
        <v>74944</v>
      </c>
      <c r="B9791">
        <v>1</v>
      </c>
      <c r="C9791">
        <v>8</v>
      </c>
    </row>
    <row r="9792" spans="1:3" x14ac:dyDescent="0.3">
      <c r="A9792">
        <v>75051</v>
      </c>
      <c r="B9792">
        <v>1</v>
      </c>
      <c r="C9792">
        <v>8</v>
      </c>
    </row>
    <row r="9793" spans="1:3" x14ac:dyDescent="0.3">
      <c r="A9793">
        <v>75254</v>
      </c>
      <c r="B9793">
        <v>1</v>
      </c>
      <c r="C9793">
        <v>8</v>
      </c>
    </row>
    <row r="9794" spans="1:3" x14ac:dyDescent="0.3">
      <c r="A9794">
        <v>75441</v>
      </c>
      <c r="B9794">
        <v>1</v>
      </c>
      <c r="C9794">
        <v>8</v>
      </c>
    </row>
    <row r="9795" spans="1:3" x14ac:dyDescent="0.3">
      <c r="A9795">
        <v>75481</v>
      </c>
      <c r="B9795">
        <v>1</v>
      </c>
      <c r="C9795">
        <v>8</v>
      </c>
    </row>
    <row r="9796" spans="1:3" x14ac:dyDescent="0.3">
      <c r="A9796">
        <v>75504</v>
      </c>
      <c r="B9796">
        <v>1</v>
      </c>
      <c r="C9796">
        <v>8</v>
      </c>
    </row>
    <row r="9797" spans="1:3" x14ac:dyDescent="0.3">
      <c r="A9797">
        <v>75505</v>
      </c>
      <c r="B9797">
        <v>1</v>
      </c>
      <c r="C9797">
        <v>8</v>
      </c>
    </row>
    <row r="9798" spans="1:3" x14ac:dyDescent="0.3">
      <c r="A9798">
        <v>75574</v>
      </c>
      <c r="B9798">
        <v>1</v>
      </c>
      <c r="C9798">
        <v>8</v>
      </c>
    </row>
    <row r="9799" spans="1:3" x14ac:dyDescent="0.3">
      <c r="A9799">
        <v>75592</v>
      </c>
      <c r="B9799">
        <v>1</v>
      </c>
      <c r="C9799">
        <v>8</v>
      </c>
    </row>
    <row r="9800" spans="1:3" x14ac:dyDescent="0.3">
      <c r="A9800">
        <v>75633</v>
      </c>
      <c r="B9800">
        <v>1</v>
      </c>
      <c r="C9800">
        <v>16</v>
      </c>
    </row>
    <row r="9801" spans="1:3" x14ac:dyDescent="0.3">
      <c r="A9801">
        <v>75668</v>
      </c>
      <c r="B9801">
        <v>1</v>
      </c>
      <c r="C9801">
        <v>8</v>
      </c>
    </row>
    <row r="9802" spans="1:3" x14ac:dyDescent="0.3">
      <c r="A9802">
        <v>75692</v>
      </c>
      <c r="B9802">
        <v>1</v>
      </c>
      <c r="C9802">
        <v>8</v>
      </c>
    </row>
    <row r="9803" spans="1:3" x14ac:dyDescent="0.3">
      <c r="A9803">
        <v>75776</v>
      </c>
      <c r="B9803">
        <v>1</v>
      </c>
      <c r="C9803">
        <v>8</v>
      </c>
    </row>
    <row r="9804" spans="1:3" x14ac:dyDescent="0.3">
      <c r="A9804">
        <v>75791</v>
      </c>
      <c r="B9804">
        <v>1</v>
      </c>
      <c r="C9804">
        <v>8</v>
      </c>
    </row>
    <row r="9805" spans="1:3" x14ac:dyDescent="0.3">
      <c r="A9805">
        <v>75936</v>
      </c>
      <c r="B9805">
        <v>1</v>
      </c>
      <c r="C9805">
        <v>8</v>
      </c>
    </row>
    <row r="9806" spans="1:3" x14ac:dyDescent="0.3">
      <c r="A9806">
        <v>76034</v>
      </c>
      <c r="B9806">
        <v>1</v>
      </c>
      <c r="C9806">
        <v>8</v>
      </c>
    </row>
    <row r="9807" spans="1:3" x14ac:dyDescent="0.3">
      <c r="A9807">
        <v>76043</v>
      </c>
      <c r="B9807">
        <v>1</v>
      </c>
      <c r="C9807">
        <v>8</v>
      </c>
    </row>
    <row r="9808" spans="1:3" x14ac:dyDescent="0.3">
      <c r="A9808">
        <v>76129</v>
      </c>
      <c r="B9808">
        <v>1</v>
      </c>
      <c r="C9808">
        <v>8</v>
      </c>
    </row>
    <row r="9809" spans="1:3" x14ac:dyDescent="0.3">
      <c r="A9809">
        <v>76149</v>
      </c>
      <c r="B9809">
        <v>1</v>
      </c>
      <c r="C9809">
        <v>8</v>
      </c>
    </row>
    <row r="9810" spans="1:3" x14ac:dyDescent="0.3">
      <c r="A9810">
        <v>76237</v>
      </c>
      <c r="B9810">
        <v>1</v>
      </c>
      <c r="C9810">
        <v>8</v>
      </c>
    </row>
    <row r="9811" spans="1:3" x14ac:dyDescent="0.3">
      <c r="A9811">
        <v>76327</v>
      </c>
      <c r="B9811">
        <v>1</v>
      </c>
      <c r="C9811">
        <v>8</v>
      </c>
    </row>
    <row r="9812" spans="1:3" x14ac:dyDescent="0.3">
      <c r="A9812">
        <v>76330</v>
      </c>
      <c r="B9812">
        <v>1</v>
      </c>
      <c r="C9812">
        <v>8</v>
      </c>
    </row>
    <row r="9813" spans="1:3" x14ac:dyDescent="0.3">
      <c r="A9813">
        <v>76347</v>
      </c>
      <c r="B9813">
        <v>1</v>
      </c>
      <c r="C9813">
        <v>8</v>
      </c>
    </row>
    <row r="9814" spans="1:3" x14ac:dyDescent="0.3">
      <c r="A9814">
        <v>76429</v>
      </c>
      <c r="B9814">
        <v>1</v>
      </c>
      <c r="C9814">
        <v>8</v>
      </c>
    </row>
    <row r="9815" spans="1:3" x14ac:dyDescent="0.3">
      <c r="A9815">
        <v>76472</v>
      </c>
      <c r="B9815">
        <v>1</v>
      </c>
      <c r="C9815">
        <v>8</v>
      </c>
    </row>
    <row r="9816" spans="1:3" x14ac:dyDescent="0.3">
      <c r="A9816">
        <v>76478</v>
      </c>
      <c r="B9816">
        <v>1</v>
      </c>
      <c r="C9816">
        <v>8</v>
      </c>
    </row>
    <row r="9817" spans="1:3" x14ac:dyDescent="0.3">
      <c r="A9817">
        <v>76480</v>
      </c>
      <c r="B9817">
        <v>1</v>
      </c>
      <c r="C9817">
        <v>8</v>
      </c>
    </row>
    <row r="9818" spans="1:3" x14ac:dyDescent="0.3">
      <c r="A9818">
        <v>76573</v>
      </c>
      <c r="B9818">
        <v>1</v>
      </c>
      <c r="C9818">
        <v>8</v>
      </c>
    </row>
    <row r="9819" spans="1:3" x14ac:dyDescent="0.3">
      <c r="A9819">
        <v>76576</v>
      </c>
      <c r="B9819">
        <v>1</v>
      </c>
      <c r="C9819">
        <v>8</v>
      </c>
    </row>
    <row r="9820" spans="1:3" x14ac:dyDescent="0.3">
      <c r="A9820">
        <v>76590</v>
      </c>
      <c r="B9820">
        <v>1</v>
      </c>
      <c r="C9820">
        <v>8</v>
      </c>
    </row>
    <row r="9821" spans="1:3" x14ac:dyDescent="0.3">
      <c r="A9821">
        <v>76705</v>
      </c>
      <c r="B9821">
        <v>1</v>
      </c>
      <c r="C9821">
        <v>8</v>
      </c>
    </row>
    <row r="9822" spans="1:3" x14ac:dyDescent="0.3">
      <c r="A9822">
        <v>76718</v>
      </c>
      <c r="B9822">
        <v>1</v>
      </c>
      <c r="C9822">
        <v>8</v>
      </c>
    </row>
    <row r="9823" spans="1:3" x14ac:dyDescent="0.3">
      <c r="A9823">
        <v>76734</v>
      </c>
      <c r="B9823">
        <v>1</v>
      </c>
      <c r="C9823">
        <v>8</v>
      </c>
    </row>
    <row r="9824" spans="1:3" x14ac:dyDescent="0.3">
      <c r="A9824">
        <v>76749</v>
      </c>
      <c r="B9824">
        <v>1</v>
      </c>
      <c r="C9824">
        <v>8</v>
      </c>
    </row>
    <row r="9825" spans="1:3" x14ac:dyDescent="0.3">
      <c r="A9825">
        <v>76754</v>
      </c>
      <c r="B9825">
        <v>1</v>
      </c>
      <c r="C9825">
        <v>8</v>
      </c>
    </row>
    <row r="9826" spans="1:3" x14ac:dyDescent="0.3">
      <c r="A9826">
        <v>76755</v>
      </c>
      <c r="B9826">
        <v>1</v>
      </c>
      <c r="C9826">
        <v>8</v>
      </c>
    </row>
    <row r="9827" spans="1:3" x14ac:dyDescent="0.3">
      <c r="A9827">
        <v>76756</v>
      </c>
      <c r="B9827">
        <v>1</v>
      </c>
      <c r="C9827">
        <v>8</v>
      </c>
    </row>
    <row r="9828" spans="1:3" x14ac:dyDescent="0.3">
      <c r="A9828">
        <v>76770</v>
      </c>
      <c r="B9828">
        <v>1</v>
      </c>
      <c r="C9828">
        <v>8</v>
      </c>
    </row>
    <row r="9829" spans="1:3" x14ac:dyDescent="0.3">
      <c r="A9829">
        <v>76801</v>
      </c>
      <c r="B9829">
        <v>1</v>
      </c>
      <c r="C9829">
        <v>8</v>
      </c>
    </row>
    <row r="9830" spans="1:3" x14ac:dyDescent="0.3">
      <c r="A9830">
        <v>76805</v>
      </c>
      <c r="B9830">
        <v>1</v>
      </c>
      <c r="C9830">
        <v>8</v>
      </c>
    </row>
    <row r="9831" spans="1:3" x14ac:dyDescent="0.3">
      <c r="A9831">
        <v>76860</v>
      </c>
      <c r="B9831">
        <v>1</v>
      </c>
      <c r="C9831">
        <v>8</v>
      </c>
    </row>
    <row r="9832" spans="1:3" x14ac:dyDescent="0.3">
      <c r="A9832">
        <v>76902</v>
      </c>
      <c r="B9832">
        <v>1</v>
      </c>
      <c r="C9832">
        <v>8</v>
      </c>
    </row>
    <row r="9833" spans="1:3" x14ac:dyDescent="0.3">
      <c r="A9833">
        <v>77004</v>
      </c>
      <c r="B9833">
        <v>1</v>
      </c>
      <c r="C9833">
        <v>8</v>
      </c>
    </row>
    <row r="9834" spans="1:3" x14ac:dyDescent="0.3">
      <c r="A9834">
        <v>77018</v>
      </c>
      <c r="B9834">
        <v>1</v>
      </c>
      <c r="C9834">
        <v>8</v>
      </c>
    </row>
    <row r="9835" spans="1:3" x14ac:dyDescent="0.3">
      <c r="A9835">
        <v>77032</v>
      </c>
      <c r="B9835">
        <v>1</v>
      </c>
      <c r="C9835">
        <v>8</v>
      </c>
    </row>
    <row r="9836" spans="1:3" x14ac:dyDescent="0.3">
      <c r="A9836">
        <v>77118</v>
      </c>
      <c r="B9836">
        <v>1</v>
      </c>
      <c r="C9836">
        <v>8</v>
      </c>
    </row>
    <row r="9837" spans="1:3" x14ac:dyDescent="0.3">
      <c r="A9837">
        <v>77132</v>
      </c>
      <c r="B9837">
        <v>1</v>
      </c>
      <c r="C9837">
        <v>8</v>
      </c>
    </row>
    <row r="9838" spans="1:3" x14ac:dyDescent="0.3">
      <c r="A9838">
        <v>77143</v>
      </c>
      <c r="B9838">
        <v>1</v>
      </c>
      <c r="C9838">
        <v>8</v>
      </c>
    </row>
    <row r="9839" spans="1:3" x14ac:dyDescent="0.3">
      <c r="A9839">
        <v>77145</v>
      </c>
      <c r="B9839">
        <v>1</v>
      </c>
      <c r="C9839">
        <v>8</v>
      </c>
    </row>
    <row r="9840" spans="1:3" x14ac:dyDescent="0.3">
      <c r="A9840">
        <v>77147</v>
      </c>
      <c r="B9840">
        <v>1</v>
      </c>
      <c r="C9840">
        <v>8</v>
      </c>
    </row>
    <row r="9841" spans="1:3" x14ac:dyDescent="0.3">
      <c r="A9841">
        <v>77476</v>
      </c>
      <c r="B9841">
        <v>1</v>
      </c>
      <c r="C9841">
        <v>16</v>
      </c>
    </row>
    <row r="9842" spans="1:3" x14ac:dyDescent="0.3">
      <c r="A9842">
        <v>77488</v>
      </c>
      <c r="B9842">
        <v>1</v>
      </c>
      <c r="C9842">
        <v>8</v>
      </c>
    </row>
    <row r="9843" spans="1:3" x14ac:dyDescent="0.3">
      <c r="A9843">
        <v>77545</v>
      </c>
      <c r="B9843">
        <v>1</v>
      </c>
      <c r="C9843">
        <v>8</v>
      </c>
    </row>
    <row r="9844" spans="1:3" x14ac:dyDescent="0.3">
      <c r="A9844">
        <v>77614</v>
      </c>
      <c r="B9844">
        <v>1</v>
      </c>
      <c r="C9844">
        <v>8</v>
      </c>
    </row>
    <row r="9845" spans="1:3" x14ac:dyDescent="0.3">
      <c r="A9845">
        <v>77619</v>
      </c>
      <c r="B9845">
        <v>1</v>
      </c>
      <c r="C9845">
        <v>8</v>
      </c>
    </row>
    <row r="9846" spans="1:3" x14ac:dyDescent="0.3">
      <c r="A9846">
        <v>77626</v>
      </c>
      <c r="B9846">
        <v>1</v>
      </c>
      <c r="C9846">
        <v>8</v>
      </c>
    </row>
    <row r="9847" spans="1:3" x14ac:dyDescent="0.3">
      <c r="A9847">
        <v>77634</v>
      </c>
      <c r="B9847">
        <v>1</v>
      </c>
      <c r="C9847">
        <v>8</v>
      </c>
    </row>
    <row r="9848" spans="1:3" x14ac:dyDescent="0.3">
      <c r="A9848">
        <v>77650</v>
      </c>
      <c r="B9848">
        <v>1</v>
      </c>
      <c r="C9848">
        <v>8</v>
      </c>
    </row>
    <row r="9849" spans="1:3" x14ac:dyDescent="0.3">
      <c r="A9849">
        <v>77651</v>
      </c>
      <c r="B9849">
        <v>1</v>
      </c>
      <c r="C9849">
        <v>8</v>
      </c>
    </row>
    <row r="9850" spans="1:3" x14ac:dyDescent="0.3">
      <c r="A9850">
        <v>77679</v>
      </c>
      <c r="B9850">
        <v>1</v>
      </c>
      <c r="C9850">
        <v>8</v>
      </c>
    </row>
    <row r="9851" spans="1:3" x14ac:dyDescent="0.3">
      <c r="A9851">
        <v>77704</v>
      </c>
      <c r="B9851">
        <v>1</v>
      </c>
      <c r="C9851">
        <v>8</v>
      </c>
    </row>
    <row r="9852" spans="1:3" x14ac:dyDescent="0.3">
      <c r="A9852">
        <v>77705</v>
      </c>
      <c r="B9852">
        <v>1</v>
      </c>
      <c r="C9852">
        <v>8</v>
      </c>
    </row>
    <row r="9853" spans="1:3" x14ac:dyDescent="0.3">
      <c r="A9853">
        <v>77718</v>
      </c>
      <c r="B9853">
        <v>1</v>
      </c>
      <c r="C9853">
        <v>8</v>
      </c>
    </row>
    <row r="9854" spans="1:3" x14ac:dyDescent="0.3">
      <c r="A9854">
        <v>77738</v>
      </c>
      <c r="B9854">
        <v>1</v>
      </c>
      <c r="C9854">
        <v>8</v>
      </c>
    </row>
    <row r="9855" spans="1:3" x14ac:dyDescent="0.3">
      <c r="A9855">
        <v>77810</v>
      </c>
      <c r="B9855">
        <v>1</v>
      </c>
      <c r="C9855">
        <v>8</v>
      </c>
    </row>
    <row r="9856" spans="1:3" x14ac:dyDescent="0.3">
      <c r="A9856">
        <v>77821</v>
      </c>
      <c r="B9856">
        <v>1</v>
      </c>
      <c r="C9856">
        <v>8</v>
      </c>
    </row>
    <row r="9857" spans="1:3" x14ac:dyDescent="0.3">
      <c r="A9857">
        <v>77823</v>
      </c>
      <c r="B9857">
        <v>1</v>
      </c>
      <c r="C9857">
        <v>8</v>
      </c>
    </row>
    <row r="9858" spans="1:3" x14ac:dyDescent="0.3">
      <c r="A9858">
        <v>77900</v>
      </c>
      <c r="B9858">
        <v>1</v>
      </c>
      <c r="C9858">
        <v>8</v>
      </c>
    </row>
    <row r="9859" spans="1:3" x14ac:dyDescent="0.3">
      <c r="A9859">
        <v>77970</v>
      </c>
      <c r="B9859">
        <v>1</v>
      </c>
      <c r="C9859">
        <v>8</v>
      </c>
    </row>
    <row r="9860" spans="1:3" x14ac:dyDescent="0.3">
      <c r="A9860">
        <v>78076</v>
      </c>
      <c r="B9860">
        <v>1</v>
      </c>
      <c r="C9860">
        <v>8</v>
      </c>
    </row>
    <row r="9861" spans="1:3" x14ac:dyDescent="0.3">
      <c r="A9861">
        <v>78092</v>
      </c>
      <c r="B9861">
        <v>1</v>
      </c>
      <c r="C9861">
        <v>8</v>
      </c>
    </row>
    <row r="9862" spans="1:3" x14ac:dyDescent="0.3">
      <c r="A9862">
        <v>78093</v>
      </c>
      <c r="B9862">
        <v>1</v>
      </c>
      <c r="C9862">
        <v>8</v>
      </c>
    </row>
    <row r="9863" spans="1:3" x14ac:dyDescent="0.3">
      <c r="A9863">
        <v>78113</v>
      </c>
      <c r="B9863">
        <v>1</v>
      </c>
      <c r="C9863">
        <v>8</v>
      </c>
    </row>
    <row r="9864" spans="1:3" x14ac:dyDescent="0.3">
      <c r="A9864">
        <v>78149</v>
      </c>
      <c r="B9864">
        <v>1</v>
      </c>
      <c r="C9864">
        <v>8</v>
      </c>
    </row>
    <row r="9865" spans="1:3" x14ac:dyDescent="0.3">
      <c r="A9865">
        <v>78193</v>
      </c>
      <c r="B9865">
        <v>1</v>
      </c>
      <c r="C9865">
        <v>8</v>
      </c>
    </row>
    <row r="9866" spans="1:3" x14ac:dyDescent="0.3">
      <c r="A9866">
        <v>78199</v>
      </c>
      <c r="B9866">
        <v>1</v>
      </c>
      <c r="C9866">
        <v>8</v>
      </c>
    </row>
    <row r="9867" spans="1:3" x14ac:dyDescent="0.3">
      <c r="A9867">
        <v>78250</v>
      </c>
      <c r="B9867">
        <v>1</v>
      </c>
      <c r="C9867">
        <v>8</v>
      </c>
    </row>
    <row r="9868" spans="1:3" x14ac:dyDescent="0.3">
      <c r="A9868">
        <v>78315</v>
      </c>
      <c r="B9868">
        <v>1</v>
      </c>
      <c r="C9868">
        <v>8</v>
      </c>
    </row>
    <row r="9869" spans="1:3" x14ac:dyDescent="0.3">
      <c r="A9869">
        <v>78455</v>
      </c>
      <c r="B9869">
        <v>1</v>
      </c>
      <c r="C9869">
        <v>8</v>
      </c>
    </row>
    <row r="9870" spans="1:3" x14ac:dyDescent="0.3">
      <c r="A9870">
        <v>78459</v>
      </c>
      <c r="B9870">
        <v>1</v>
      </c>
      <c r="C9870">
        <v>8</v>
      </c>
    </row>
    <row r="9871" spans="1:3" x14ac:dyDescent="0.3">
      <c r="A9871">
        <v>78521</v>
      </c>
      <c r="B9871">
        <v>1</v>
      </c>
      <c r="C9871">
        <v>8</v>
      </c>
    </row>
    <row r="9872" spans="1:3" x14ac:dyDescent="0.3">
      <c r="A9872">
        <v>78533</v>
      </c>
      <c r="B9872">
        <v>1</v>
      </c>
      <c r="C9872">
        <v>8</v>
      </c>
    </row>
    <row r="9873" spans="1:3" x14ac:dyDescent="0.3">
      <c r="A9873">
        <v>78568</v>
      </c>
      <c r="B9873">
        <v>1</v>
      </c>
      <c r="C9873">
        <v>8</v>
      </c>
    </row>
    <row r="9874" spans="1:3" x14ac:dyDescent="0.3">
      <c r="A9874">
        <v>78848</v>
      </c>
      <c r="B9874">
        <v>1</v>
      </c>
      <c r="C9874">
        <v>8</v>
      </c>
    </row>
    <row r="9875" spans="1:3" x14ac:dyDescent="0.3">
      <c r="A9875">
        <v>78865</v>
      </c>
      <c r="B9875">
        <v>1</v>
      </c>
      <c r="C9875">
        <v>8</v>
      </c>
    </row>
    <row r="9876" spans="1:3" x14ac:dyDescent="0.3">
      <c r="A9876">
        <v>78966</v>
      </c>
      <c r="B9876">
        <v>1</v>
      </c>
      <c r="C9876">
        <v>8</v>
      </c>
    </row>
    <row r="9877" spans="1:3" x14ac:dyDescent="0.3">
      <c r="A9877">
        <v>79022</v>
      </c>
      <c r="B9877">
        <v>1</v>
      </c>
      <c r="C9877">
        <v>8</v>
      </c>
    </row>
    <row r="9878" spans="1:3" x14ac:dyDescent="0.3">
      <c r="A9878">
        <v>79059</v>
      </c>
      <c r="B9878">
        <v>1</v>
      </c>
      <c r="C9878">
        <v>8</v>
      </c>
    </row>
    <row r="9879" spans="1:3" x14ac:dyDescent="0.3">
      <c r="A9879">
        <v>79076</v>
      </c>
      <c r="B9879">
        <v>1</v>
      </c>
      <c r="C9879">
        <v>8</v>
      </c>
    </row>
    <row r="9880" spans="1:3" x14ac:dyDescent="0.3">
      <c r="A9880">
        <v>79296</v>
      </c>
      <c r="B9880">
        <v>1</v>
      </c>
      <c r="C9880">
        <v>8</v>
      </c>
    </row>
    <row r="9881" spans="1:3" x14ac:dyDescent="0.3">
      <c r="A9881">
        <v>79297</v>
      </c>
      <c r="B9881">
        <v>1</v>
      </c>
      <c r="C9881">
        <v>8</v>
      </c>
    </row>
    <row r="9882" spans="1:3" x14ac:dyDescent="0.3">
      <c r="A9882">
        <v>79306</v>
      </c>
      <c r="B9882">
        <v>1</v>
      </c>
      <c r="C9882">
        <v>8</v>
      </c>
    </row>
    <row r="9883" spans="1:3" x14ac:dyDescent="0.3">
      <c r="A9883">
        <v>79308</v>
      </c>
      <c r="B9883">
        <v>1</v>
      </c>
      <c r="C9883">
        <v>8</v>
      </c>
    </row>
    <row r="9884" spans="1:3" x14ac:dyDescent="0.3">
      <c r="A9884">
        <v>79324</v>
      </c>
      <c r="B9884">
        <v>1</v>
      </c>
      <c r="C9884">
        <v>8</v>
      </c>
    </row>
    <row r="9885" spans="1:3" x14ac:dyDescent="0.3">
      <c r="A9885">
        <v>79325</v>
      </c>
      <c r="B9885">
        <v>1</v>
      </c>
      <c r="C9885">
        <v>8</v>
      </c>
    </row>
    <row r="9886" spans="1:3" x14ac:dyDescent="0.3">
      <c r="A9886">
        <v>79331</v>
      </c>
      <c r="B9886">
        <v>1</v>
      </c>
      <c r="C9886">
        <v>8</v>
      </c>
    </row>
    <row r="9887" spans="1:3" x14ac:dyDescent="0.3">
      <c r="A9887">
        <v>79338</v>
      </c>
      <c r="B9887">
        <v>1</v>
      </c>
      <c r="C9887">
        <v>16</v>
      </c>
    </row>
    <row r="9888" spans="1:3" x14ac:dyDescent="0.3">
      <c r="A9888">
        <v>79379</v>
      </c>
      <c r="B9888">
        <v>1</v>
      </c>
      <c r="C9888">
        <v>8</v>
      </c>
    </row>
    <row r="9889" spans="1:3" x14ac:dyDescent="0.3">
      <c r="A9889">
        <v>79653</v>
      </c>
      <c r="B9889">
        <v>1</v>
      </c>
      <c r="C9889">
        <v>8</v>
      </c>
    </row>
    <row r="9890" spans="1:3" x14ac:dyDescent="0.3">
      <c r="A9890">
        <v>79654</v>
      </c>
      <c r="B9890">
        <v>1</v>
      </c>
      <c r="C9890">
        <v>8</v>
      </c>
    </row>
    <row r="9891" spans="1:3" x14ac:dyDescent="0.3">
      <c r="A9891">
        <v>79761</v>
      </c>
      <c r="B9891">
        <v>1</v>
      </c>
      <c r="C9891">
        <v>8</v>
      </c>
    </row>
    <row r="9892" spans="1:3" x14ac:dyDescent="0.3">
      <c r="A9892">
        <v>79762</v>
      </c>
      <c r="B9892">
        <v>1</v>
      </c>
      <c r="C9892">
        <v>8</v>
      </c>
    </row>
    <row r="9893" spans="1:3" x14ac:dyDescent="0.3">
      <c r="A9893">
        <v>80008</v>
      </c>
      <c r="B9893">
        <v>1</v>
      </c>
      <c r="C9893">
        <v>8</v>
      </c>
    </row>
    <row r="9894" spans="1:3" x14ac:dyDescent="0.3">
      <c r="A9894">
        <v>80025</v>
      </c>
      <c r="B9894">
        <v>1</v>
      </c>
      <c r="C9894">
        <v>8</v>
      </c>
    </row>
    <row r="9895" spans="1:3" x14ac:dyDescent="0.3">
      <c r="A9895">
        <v>80188</v>
      </c>
      <c r="B9895">
        <v>1</v>
      </c>
      <c r="C9895">
        <v>8</v>
      </c>
    </row>
    <row r="9896" spans="1:3" x14ac:dyDescent="0.3">
      <c r="A9896">
        <v>80253</v>
      </c>
      <c r="B9896">
        <v>1</v>
      </c>
      <c r="C9896">
        <v>8</v>
      </c>
    </row>
    <row r="9897" spans="1:3" x14ac:dyDescent="0.3">
      <c r="A9897">
        <v>80359</v>
      </c>
      <c r="B9897">
        <v>1</v>
      </c>
      <c r="C9897">
        <v>8</v>
      </c>
    </row>
    <row r="9898" spans="1:3" x14ac:dyDescent="0.3">
      <c r="A9898">
        <v>80625</v>
      </c>
      <c r="B9898">
        <v>1</v>
      </c>
      <c r="C9898">
        <v>8</v>
      </c>
    </row>
    <row r="9899" spans="1:3" x14ac:dyDescent="0.3">
      <c r="A9899">
        <v>31806</v>
      </c>
      <c r="B9899">
        <v>2</v>
      </c>
      <c r="C9899">
        <v>16</v>
      </c>
    </row>
    <row r="9900" spans="1:3" x14ac:dyDescent="0.3">
      <c r="A9900">
        <v>31806</v>
      </c>
      <c r="B9900">
        <v>2</v>
      </c>
      <c r="C9900">
        <v>16</v>
      </c>
    </row>
    <row r="9901" spans="1:3" x14ac:dyDescent="0.3">
      <c r="A9901">
        <v>10007</v>
      </c>
      <c r="B9901">
        <v>1</v>
      </c>
      <c r="C9901">
        <v>16</v>
      </c>
    </row>
    <row r="9902" spans="1:3" x14ac:dyDescent="0.3">
      <c r="A9902">
        <v>10018</v>
      </c>
      <c r="B9902">
        <v>3</v>
      </c>
      <c r="C9902">
        <v>16</v>
      </c>
    </row>
    <row r="9903" spans="1:3" x14ac:dyDescent="0.3">
      <c r="A9903">
        <v>10018</v>
      </c>
      <c r="B9903">
        <v>3</v>
      </c>
      <c r="C9903">
        <v>16</v>
      </c>
    </row>
    <row r="9904" spans="1:3" x14ac:dyDescent="0.3">
      <c r="A9904">
        <v>10018</v>
      </c>
      <c r="B9904">
        <v>3</v>
      </c>
      <c r="C9904">
        <v>16</v>
      </c>
    </row>
    <row r="9905" spans="1:3" x14ac:dyDescent="0.3">
      <c r="A9905">
        <v>10033</v>
      </c>
      <c r="B9905">
        <v>1</v>
      </c>
      <c r="C9905">
        <v>8</v>
      </c>
    </row>
    <row r="9906" spans="1:3" x14ac:dyDescent="0.3">
      <c r="A9906">
        <v>10037</v>
      </c>
      <c r="B9906">
        <v>1</v>
      </c>
      <c r="C9906">
        <v>8</v>
      </c>
    </row>
    <row r="9907" spans="1:3" x14ac:dyDescent="0.3">
      <c r="A9907">
        <v>10055</v>
      </c>
      <c r="B9907">
        <v>2</v>
      </c>
      <c r="C9907">
        <v>16</v>
      </c>
    </row>
    <row r="9908" spans="1:3" x14ac:dyDescent="0.3">
      <c r="A9908">
        <v>10055</v>
      </c>
      <c r="B9908">
        <v>2</v>
      </c>
      <c r="C9908">
        <v>16</v>
      </c>
    </row>
    <row r="9909" spans="1:3" x14ac:dyDescent="0.3">
      <c r="A9909">
        <v>10084</v>
      </c>
      <c r="B9909">
        <v>1</v>
      </c>
      <c r="C9909">
        <v>16</v>
      </c>
    </row>
    <row r="9910" spans="1:3" x14ac:dyDescent="0.3">
      <c r="A9910">
        <v>10261</v>
      </c>
      <c r="B9910">
        <v>2</v>
      </c>
      <c r="C9910">
        <v>16</v>
      </c>
    </row>
    <row r="9911" spans="1:3" x14ac:dyDescent="0.3">
      <c r="A9911">
        <v>10261</v>
      </c>
      <c r="B9911">
        <v>2</v>
      </c>
      <c r="C9911">
        <v>16</v>
      </c>
    </row>
    <row r="9912" spans="1:3" x14ac:dyDescent="0.3">
      <c r="A9912">
        <v>10517</v>
      </c>
      <c r="B9912">
        <v>2</v>
      </c>
      <c r="C9912">
        <v>16</v>
      </c>
    </row>
    <row r="9913" spans="1:3" x14ac:dyDescent="0.3">
      <c r="A9913">
        <v>10517</v>
      </c>
      <c r="B9913">
        <v>2</v>
      </c>
      <c r="C9913">
        <v>16</v>
      </c>
    </row>
    <row r="9914" spans="1:3" x14ac:dyDescent="0.3">
      <c r="A9914">
        <v>10552</v>
      </c>
      <c r="B9914">
        <v>2</v>
      </c>
      <c r="C9914">
        <v>16</v>
      </c>
    </row>
    <row r="9915" spans="1:3" x14ac:dyDescent="0.3">
      <c r="A9915">
        <v>10552</v>
      </c>
      <c r="B9915">
        <v>2</v>
      </c>
      <c r="C9915">
        <v>16</v>
      </c>
    </row>
    <row r="9916" spans="1:3" x14ac:dyDescent="0.3">
      <c r="A9916">
        <v>10598</v>
      </c>
      <c r="B9916">
        <v>1</v>
      </c>
      <c r="C9916">
        <v>8</v>
      </c>
    </row>
    <row r="9917" spans="1:3" x14ac:dyDescent="0.3">
      <c r="A9917">
        <v>10622</v>
      </c>
      <c r="B9917">
        <v>1</v>
      </c>
      <c r="C9917">
        <v>16</v>
      </c>
    </row>
    <row r="9918" spans="1:3" x14ac:dyDescent="0.3">
      <c r="A9918">
        <v>10723</v>
      </c>
      <c r="B9918">
        <v>1</v>
      </c>
      <c r="C9918">
        <v>8</v>
      </c>
    </row>
    <row r="9919" spans="1:3" x14ac:dyDescent="0.3">
      <c r="A9919">
        <v>10828</v>
      </c>
      <c r="B9919">
        <v>1</v>
      </c>
      <c r="C9919">
        <v>16</v>
      </c>
    </row>
    <row r="9920" spans="1:3" x14ac:dyDescent="0.3">
      <c r="A9920">
        <v>10894</v>
      </c>
      <c r="B9920">
        <v>1</v>
      </c>
      <c r="C9920">
        <v>8</v>
      </c>
    </row>
    <row r="9921" spans="1:3" x14ac:dyDescent="0.3">
      <c r="A9921">
        <v>10916</v>
      </c>
      <c r="B9921">
        <v>1</v>
      </c>
      <c r="C9921">
        <v>8</v>
      </c>
    </row>
    <row r="9922" spans="1:3" x14ac:dyDescent="0.3">
      <c r="A9922">
        <v>10947</v>
      </c>
      <c r="B9922">
        <v>1</v>
      </c>
      <c r="C9922">
        <v>16</v>
      </c>
    </row>
    <row r="9923" spans="1:3" x14ac:dyDescent="0.3">
      <c r="A9923">
        <v>10992</v>
      </c>
      <c r="B9923">
        <v>1</v>
      </c>
      <c r="C9923">
        <v>16</v>
      </c>
    </row>
    <row r="9924" spans="1:3" x14ac:dyDescent="0.3">
      <c r="A9924">
        <v>11008</v>
      </c>
      <c r="B9924">
        <v>2</v>
      </c>
      <c r="C9924">
        <v>16</v>
      </c>
    </row>
    <row r="9925" spans="1:3" x14ac:dyDescent="0.3">
      <c r="A9925">
        <v>11008</v>
      </c>
      <c r="B9925">
        <v>2</v>
      </c>
      <c r="C9925">
        <v>16</v>
      </c>
    </row>
    <row r="9926" spans="1:3" x14ac:dyDescent="0.3">
      <c r="A9926">
        <v>11022</v>
      </c>
      <c r="B9926">
        <v>2</v>
      </c>
      <c r="C9926">
        <v>16</v>
      </c>
    </row>
    <row r="9927" spans="1:3" x14ac:dyDescent="0.3">
      <c r="A9927">
        <v>11022</v>
      </c>
      <c r="B9927">
        <v>2</v>
      </c>
      <c r="C9927">
        <v>16</v>
      </c>
    </row>
    <row r="9928" spans="1:3" x14ac:dyDescent="0.3">
      <c r="A9928">
        <v>11038</v>
      </c>
      <c r="B9928">
        <v>1</v>
      </c>
      <c r="C9928">
        <v>8</v>
      </c>
    </row>
    <row r="9929" spans="1:3" x14ac:dyDescent="0.3">
      <c r="A9929">
        <v>11078</v>
      </c>
      <c r="B9929">
        <v>1</v>
      </c>
      <c r="C9929">
        <v>16</v>
      </c>
    </row>
    <row r="9930" spans="1:3" x14ac:dyDescent="0.3">
      <c r="A9930">
        <v>11079</v>
      </c>
      <c r="B9930">
        <v>1</v>
      </c>
      <c r="C9930">
        <v>16</v>
      </c>
    </row>
    <row r="9931" spans="1:3" x14ac:dyDescent="0.3">
      <c r="A9931">
        <v>11453</v>
      </c>
      <c r="B9931">
        <v>1</v>
      </c>
      <c r="C9931">
        <v>16</v>
      </c>
    </row>
    <row r="9932" spans="1:3" x14ac:dyDescent="0.3">
      <c r="A9932">
        <v>11500</v>
      </c>
      <c r="B9932">
        <v>1</v>
      </c>
      <c r="C9932">
        <v>8</v>
      </c>
    </row>
    <row r="9933" spans="1:3" x14ac:dyDescent="0.3">
      <c r="A9933">
        <v>11928</v>
      </c>
      <c r="B9933">
        <v>1</v>
      </c>
      <c r="C9933">
        <v>16</v>
      </c>
    </row>
    <row r="9934" spans="1:3" x14ac:dyDescent="0.3">
      <c r="A9934">
        <v>11988</v>
      </c>
      <c r="B9934">
        <v>1</v>
      </c>
      <c r="C9934">
        <v>8</v>
      </c>
    </row>
    <row r="9935" spans="1:3" x14ac:dyDescent="0.3">
      <c r="A9935">
        <v>12019</v>
      </c>
      <c r="B9935">
        <v>1</v>
      </c>
      <c r="C9935">
        <v>8</v>
      </c>
    </row>
    <row r="9936" spans="1:3" x14ac:dyDescent="0.3">
      <c r="A9936">
        <v>12033</v>
      </c>
      <c r="B9936">
        <v>1</v>
      </c>
      <c r="C9936">
        <v>8</v>
      </c>
    </row>
    <row r="9937" spans="1:3" x14ac:dyDescent="0.3">
      <c r="A9937">
        <v>12176</v>
      </c>
      <c r="B9937">
        <v>1</v>
      </c>
      <c r="C9937">
        <v>8</v>
      </c>
    </row>
    <row r="9938" spans="1:3" x14ac:dyDescent="0.3">
      <c r="A9938">
        <v>13407</v>
      </c>
      <c r="B9938">
        <v>1</v>
      </c>
      <c r="C9938">
        <v>8</v>
      </c>
    </row>
    <row r="9939" spans="1:3" x14ac:dyDescent="0.3">
      <c r="A9939">
        <v>13671</v>
      </c>
      <c r="B9939">
        <v>1</v>
      </c>
      <c r="C9939">
        <v>16</v>
      </c>
    </row>
    <row r="9940" spans="1:3" x14ac:dyDescent="0.3">
      <c r="A9940">
        <v>14432</v>
      </c>
      <c r="B9940">
        <v>1</v>
      </c>
      <c r="C9940">
        <v>8</v>
      </c>
    </row>
    <row r="9941" spans="1:3" x14ac:dyDescent="0.3">
      <c r="A9941">
        <v>14604</v>
      </c>
      <c r="B9941">
        <v>1</v>
      </c>
      <c r="C9941">
        <v>8</v>
      </c>
    </row>
    <row r="9942" spans="1:3" x14ac:dyDescent="0.3">
      <c r="A9942">
        <v>14651</v>
      </c>
      <c r="B9942">
        <v>1</v>
      </c>
      <c r="C9942">
        <v>8</v>
      </c>
    </row>
    <row r="9943" spans="1:3" x14ac:dyDescent="0.3">
      <c r="A9943">
        <v>14883</v>
      </c>
      <c r="B9943">
        <v>1</v>
      </c>
      <c r="C9943">
        <v>8</v>
      </c>
    </row>
    <row r="9944" spans="1:3" x14ac:dyDescent="0.3">
      <c r="A9944">
        <v>14979</v>
      </c>
      <c r="B9944">
        <v>1</v>
      </c>
      <c r="C9944">
        <v>8</v>
      </c>
    </row>
    <row r="9945" spans="1:3" x14ac:dyDescent="0.3">
      <c r="A9945">
        <v>15003</v>
      </c>
      <c r="B9945">
        <v>1</v>
      </c>
      <c r="C9945">
        <v>8</v>
      </c>
    </row>
    <row r="9946" spans="1:3" x14ac:dyDescent="0.3">
      <c r="A9946">
        <v>15035</v>
      </c>
      <c r="B9946">
        <v>2</v>
      </c>
      <c r="C9946">
        <v>16</v>
      </c>
    </row>
    <row r="9947" spans="1:3" x14ac:dyDescent="0.3">
      <c r="A9947">
        <v>15035</v>
      </c>
      <c r="B9947">
        <v>2</v>
      </c>
      <c r="C9947">
        <v>16</v>
      </c>
    </row>
    <row r="9948" spans="1:3" x14ac:dyDescent="0.3">
      <c r="A9948">
        <v>15053</v>
      </c>
      <c r="B9948">
        <v>1</v>
      </c>
      <c r="C9948">
        <v>8</v>
      </c>
    </row>
    <row r="9949" spans="1:3" x14ac:dyDescent="0.3">
      <c r="A9949">
        <v>15182</v>
      </c>
      <c r="B9949">
        <v>1</v>
      </c>
      <c r="C9949">
        <v>16</v>
      </c>
    </row>
    <row r="9950" spans="1:3" x14ac:dyDescent="0.3">
      <c r="A9950">
        <v>15400</v>
      </c>
      <c r="B9950">
        <v>1</v>
      </c>
      <c r="C9950">
        <v>8</v>
      </c>
    </row>
    <row r="9951" spans="1:3" x14ac:dyDescent="0.3">
      <c r="A9951">
        <v>15518</v>
      </c>
      <c r="B9951">
        <v>1</v>
      </c>
      <c r="C9951">
        <v>8</v>
      </c>
    </row>
    <row r="9952" spans="1:3" x14ac:dyDescent="0.3">
      <c r="A9952">
        <v>15580</v>
      </c>
      <c r="B9952">
        <v>1</v>
      </c>
      <c r="C9952">
        <v>8</v>
      </c>
    </row>
    <row r="9953" spans="1:3" x14ac:dyDescent="0.3">
      <c r="A9953">
        <v>15921</v>
      </c>
      <c r="B9953">
        <v>1</v>
      </c>
      <c r="C9953">
        <v>8</v>
      </c>
    </row>
    <row r="9954" spans="1:3" x14ac:dyDescent="0.3">
      <c r="A9954">
        <v>16175</v>
      </c>
      <c r="B9954">
        <v>1</v>
      </c>
      <c r="C9954">
        <v>8</v>
      </c>
    </row>
    <row r="9955" spans="1:3" x14ac:dyDescent="0.3">
      <c r="A9955">
        <v>16913</v>
      </c>
      <c r="B9955">
        <v>1</v>
      </c>
      <c r="C9955">
        <v>8</v>
      </c>
    </row>
    <row r="9956" spans="1:3" x14ac:dyDescent="0.3">
      <c r="A9956">
        <v>16926</v>
      </c>
      <c r="B9956">
        <v>3</v>
      </c>
      <c r="C9956">
        <v>16</v>
      </c>
    </row>
    <row r="9957" spans="1:3" x14ac:dyDescent="0.3">
      <c r="A9957">
        <v>16926</v>
      </c>
      <c r="B9957">
        <v>3</v>
      </c>
      <c r="C9957">
        <v>16</v>
      </c>
    </row>
    <row r="9958" spans="1:3" x14ac:dyDescent="0.3">
      <c r="A9958">
        <v>16926</v>
      </c>
      <c r="B9958">
        <v>3</v>
      </c>
      <c r="C9958">
        <v>16</v>
      </c>
    </row>
    <row r="9959" spans="1:3" x14ac:dyDescent="0.3">
      <c r="A9959">
        <v>16946</v>
      </c>
      <c r="B9959">
        <v>2</v>
      </c>
      <c r="C9959">
        <v>8</v>
      </c>
    </row>
    <row r="9960" spans="1:3" x14ac:dyDescent="0.3">
      <c r="A9960">
        <v>16946</v>
      </c>
      <c r="B9960">
        <v>2</v>
      </c>
      <c r="C9960">
        <v>8</v>
      </c>
    </row>
    <row r="9961" spans="1:3" x14ac:dyDescent="0.3">
      <c r="A9961">
        <v>17089</v>
      </c>
      <c r="B9961">
        <v>2</v>
      </c>
      <c r="C9961">
        <v>16</v>
      </c>
    </row>
    <row r="9962" spans="1:3" x14ac:dyDescent="0.3">
      <c r="A9962">
        <v>17089</v>
      </c>
      <c r="B9962">
        <v>2</v>
      </c>
      <c r="C9962">
        <v>16</v>
      </c>
    </row>
    <row r="9963" spans="1:3" x14ac:dyDescent="0.3">
      <c r="A9963">
        <v>17185</v>
      </c>
      <c r="B9963">
        <v>2</v>
      </c>
      <c r="C9963">
        <v>16</v>
      </c>
    </row>
    <row r="9964" spans="1:3" x14ac:dyDescent="0.3">
      <c r="A9964">
        <v>17185</v>
      </c>
      <c r="B9964">
        <v>2</v>
      </c>
      <c r="C9964">
        <v>16</v>
      </c>
    </row>
    <row r="9965" spans="1:3" x14ac:dyDescent="0.3">
      <c r="A9965">
        <v>17276</v>
      </c>
      <c r="B9965">
        <v>1</v>
      </c>
      <c r="C9965">
        <v>8</v>
      </c>
    </row>
    <row r="9966" spans="1:3" x14ac:dyDescent="0.3">
      <c r="A9966">
        <v>17409</v>
      </c>
      <c r="B9966">
        <v>2</v>
      </c>
      <c r="C9966">
        <v>16</v>
      </c>
    </row>
    <row r="9967" spans="1:3" x14ac:dyDescent="0.3">
      <c r="A9967">
        <v>17409</v>
      </c>
      <c r="B9967">
        <v>2</v>
      </c>
      <c r="C9967">
        <v>16</v>
      </c>
    </row>
    <row r="9968" spans="1:3" x14ac:dyDescent="0.3">
      <c r="A9968">
        <v>17541</v>
      </c>
      <c r="B9968">
        <v>1</v>
      </c>
      <c r="C9968">
        <v>8</v>
      </c>
    </row>
    <row r="9969" spans="1:3" x14ac:dyDescent="0.3">
      <c r="A9969">
        <v>17624</v>
      </c>
      <c r="B9969">
        <v>1</v>
      </c>
      <c r="C9969">
        <v>8</v>
      </c>
    </row>
    <row r="9970" spans="1:3" x14ac:dyDescent="0.3">
      <c r="A9970">
        <v>17875</v>
      </c>
      <c r="B9970">
        <v>1</v>
      </c>
      <c r="C9970">
        <v>8</v>
      </c>
    </row>
    <row r="9971" spans="1:3" x14ac:dyDescent="0.3">
      <c r="A9971">
        <v>17953</v>
      </c>
      <c r="B9971">
        <v>1</v>
      </c>
      <c r="C9971">
        <v>8</v>
      </c>
    </row>
    <row r="9972" spans="1:3" x14ac:dyDescent="0.3">
      <c r="A9972">
        <v>17992</v>
      </c>
      <c r="B9972">
        <v>1</v>
      </c>
      <c r="C9972">
        <v>8</v>
      </c>
    </row>
    <row r="9973" spans="1:3" x14ac:dyDescent="0.3">
      <c r="A9973">
        <v>18094</v>
      </c>
      <c r="B9973">
        <v>1</v>
      </c>
      <c r="C9973">
        <v>16</v>
      </c>
    </row>
    <row r="9974" spans="1:3" x14ac:dyDescent="0.3">
      <c r="A9974">
        <v>18782</v>
      </c>
      <c r="B9974">
        <v>1</v>
      </c>
      <c r="C9974">
        <v>8</v>
      </c>
    </row>
    <row r="9975" spans="1:3" x14ac:dyDescent="0.3">
      <c r="A9975">
        <v>19045</v>
      </c>
      <c r="B9975">
        <v>1</v>
      </c>
      <c r="C9975">
        <v>16</v>
      </c>
    </row>
    <row r="9976" spans="1:3" x14ac:dyDescent="0.3">
      <c r="A9976">
        <v>19766</v>
      </c>
      <c r="B9976">
        <v>1</v>
      </c>
      <c r="C9976">
        <v>8</v>
      </c>
    </row>
    <row r="9977" spans="1:3" x14ac:dyDescent="0.3">
      <c r="A9977">
        <v>19783</v>
      </c>
      <c r="B9977">
        <v>1</v>
      </c>
      <c r="C9977">
        <v>8</v>
      </c>
    </row>
    <row r="9978" spans="1:3" x14ac:dyDescent="0.3">
      <c r="A9978">
        <v>20546</v>
      </c>
      <c r="B9978">
        <v>1</v>
      </c>
      <c r="C9978">
        <v>16</v>
      </c>
    </row>
    <row r="9979" spans="1:3" x14ac:dyDescent="0.3">
      <c r="A9979">
        <v>21013</v>
      </c>
      <c r="B9979">
        <v>1</v>
      </c>
      <c r="C9979">
        <v>8</v>
      </c>
    </row>
    <row r="9980" spans="1:3" x14ac:dyDescent="0.3">
      <c r="A9980">
        <v>21058</v>
      </c>
      <c r="B9980">
        <v>1</v>
      </c>
      <c r="C9980">
        <v>8</v>
      </c>
    </row>
    <row r="9981" spans="1:3" x14ac:dyDescent="0.3">
      <c r="A9981">
        <v>21460</v>
      </c>
      <c r="B9981">
        <v>1</v>
      </c>
      <c r="C9981">
        <v>8</v>
      </c>
    </row>
    <row r="9982" spans="1:3" x14ac:dyDescent="0.3">
      <c r="A9982">
        <v>21723</v>
      </c>
      <c r="B9982">
        <v>2</v>
      </c>
      <c r="C9982">
        <v>16</v>
      </c>
    </row>
    <row r="9983" spans="1:3" x14ac:dyDescent="0.3">
      <c r="A9983">
        <v>21723</v>
      </c>
      <c r="B9983">
        <v>2</v>
      </c>
      <c r="C9983">
        <v>16</v>
      </c>
    </row>
    <row r="9984" spans="1:3" x14ac:dyDescent="0.3">
      <c r="A9984">
        <v>22279</v>
      </c>
      <c r="B9984">
        <v>1</v>
      </c>
      <c r="C9984">
        <v>16</v>
      </c>
    </row>
    <row r="9985" spans="1:3" x14ac:dyDescent="0.3">
      <c r="A9985">
        <v>22608</v>
      </c>
      <c r="B9985">
        <v>1</v>
      </c>
      <c r="C9985">
        <v>8</v>
      </c>
    </row>
    <row r="9986" spans="1:3" x14ac:dyDescent="0.3">
      <c r="A9986">
        <v>22637</v>
      </c>
      <c r="B9986">
        <v>1</v>
      </c>
      <c r="C9986">
        <v>8</v>
      </c>
    </row>
    <row r="9987" spans="1:3" x14ac:dyDescent="0.3">
      <c r="A9987">
        <v>22914</v>
      </c>
      <c r="B9987">
        <v>1</v>
      </c>
      <c r="C9987">
        <v>16</v>
      </c>
    </row>
    <row r="9988" spans="1:3" x14ac:dyDescent="0.3">
      <c r="A9988">
        <v>22919</v>
      </c>
      <c r="B9988">
        <v>1</v>
      </c>
      <c r="C9988">
        <v>16</v>
      </c>
    </row>
    <row r="9989" spans="1:3" x14ac:dyDescent="0.3">
      <c r="A9989">
        <v>22920</v>
      </c>
      <c r="B9989">
        <v>1</v>
      </c>
      <c r="C9989">
        <v>8</v>
      </c>
    </row>
    <row r="9990" spans="1:3" x14ac:dyDescent="0.3">
      <c r="A9990">
        <v>23068</v>
      </c>
      <c r="B9990">
        <v>1</v>
      </c>
      <c r="C9990">
        <v>8</v>
      </c>
    </row>
    <row r="9991" spans="1:3" x14ac:dyDescent="0.3">
      <c r="A9991">
        <v>23395</v>
      </c>
      <c r="B9991">
        <v>1</v>
      </c>
      <c r="C9991">
        <v>8</v>
      </c>
    </row>
    <row r="9992" spans="1:3" x14ac:dyDescent="0.3">
      <c r="A9992">
        <v>23883</v>
      </c>
      <c r="B9992">
        <v>1</v>
      </c>
      <c r="C9992">
        <v>8</v>
      </c>
    </row>
    <row r="9993" spans="1:3" x14ac:dyDescent="0.3">
      <c r="A9993">
        <v>23894</v>
      </c>
      <c r="B9993">
        <v>1</v>
      </c>
      <c r="C9993">
        <v>8</v>
      </c>
    </row>
    <row r="9994" spans="1:3" x14ac:dyDescent="0.3">
      <c r="A9994">
        <v>23912</v>
      </c>
      <c r="B9994">
        <v>1</v>
      </c>
      <c r="C9994">
        <v>8</v>
      </c>
    </row>
    <row r="9995" spans="1:3" x14ac:dyDescent="0.3">
      <c r="A9995">
        <v>23930</v>
      </c>
      <c r="B9995">
        <v>1</v>
      </c>
      <c r="C9995">
        <v>8</v>
      </c>
    </row>
    <row r="9996" spans="1:3" x14ac:dyDescent="0.3">
      <c r="A9996">
        <v>23939</v>
      </c>
      <c r="B9996">
        <v>1</v>
      </c>
      <c r="C9996">
        <v>8</v>
      </c>
    </row>
    <row r="9997" spans="1:3" x14ac:dyDescent="0.3">
      <c r="A9997">
        <v>23995</v>
      </c>
      <c r="B9997">
        <v>1</v>
      </c>
      <c r="C9997">
        <v>8</v>
      </c>
    </row>
    <row r="9998" spans="1:3" x14ac:dyDescent="0.3">
      <c r="A9998">
        <v>24125</v>
      </c>
      <c r="B9998">
        <v>1</v>
      </c>
      <c r="C9998">
        <v>8</v>
      </c>
    </row>
    <row r="9999" spans="1:3" x14ac:dyDescent="0.3">
      <c r="A9999">
        <v>24470</v>
      </c>
      <c r="B9999">
        <v>1</v>
      </c>
      <c r="C9999">
        <v>8</v>
      </c>
    </row>
    <row r="10000" spans="1:3" x14ac:dyDescent="0.3">
      <c r="A10000">
        <v>25538</v>
      </c>
      <c r="B10000">
        <v>1</v>
      </c>
      <c r="C10000">
        <v>8</v>
      </c>
    </row>
    <row r="10001" spans="1:3" x14ac:dyDescent="0.3">
      <c r="A10001">
        <v>25669</v>
      </c>
      <c r="B10001">
        <v>1</v>
      </c>
      <c r="C10001">
        <v>8</v>
      </c>
    </row>
    <row r="10002" spans="1:3" x14ac:dyDescent="0.3">
      <c r="A10002" s="26">
        <v>26192</v>
      </c>
      <c r="B10002" s="26">
        <v>1</v>
      </c>
      <c r="C10002" s="26">
        <v>8</v>
      </c>
    </row>
    <row r="10003" spans="1:3" x14ac:dyDescent="0.3">
      <c r="A10003">
        <v>26279</v>
      </c>
      <c r="B10003">
        <v>1</v>
      </c>
      <c r="C10003">
        <v>16</v>
      </c>
    </row>
    <row r="10004" spans="1:3" x14ac:dyDescent="0.3">
      <c r="A10004">
        <v>26522</v>
      </c>
      <c r="B10004">
        <v>1</v>
      </c>
      <c r="C10004">
        <v>8</v>
      </c>
    </row>
    <row r="10005" spans="1:3" x14ac:dyDescent="0.3">
      <c r="A10005">
        <v>26527</v>
      </c>
      <c r="B10005">
        <v>1</v>
      </c>
      <c r="C10005">
        <v>8</v>
      </c>
    </row>
    <row r="10006" spans="1:3" x14ac:dyDescent="0.3">
      <c r="A10006">
        <v>26625</v>
      </c>
      <c r="B10006">
        <v>1</v>
      </c>
      <c r="C10006">
        <v>8</v>
      </c>
    </row>
    <row r="10007" spans="1:3" x14ac:dyDescent="0.3">
      <c r="A10007">
        <v>26812</v>
      </c>
      <c r="B10007">
        <v>1</v>
      </c>
      <c r="C10007">
        <v>8</v>
      </c>
    </row>
    <row r="10008" spans="1:3" x14ac:dyDescent="0.3">
      <c r="A10008">
        <v>26935</v>
      </c>
      <c r="B10008">
        <v>1</v>
      </c>
      <c r="C10008">
        <v>8</v>
      </c>
    </row>
    <row r="10009" spans="1:3" x14ac:dyDescent="0.3">
      <c r="A10009">
        <v>27192</v>
      </c>
      <c r="B10009">
        <v>1</v>
      </c>
      <c r="C10009">
        <v>8</v>
      </c>
    </row>
    <row r="10010" spans="1:3" x14ac:dyDescent="0.3">
      <c r="A10010">
        <v>27369</v>
      </c>
      <c r="B10010">
        <v>1</v>
      </c>
      <c r="C10010">
        <v>8</v>
      </c>
    </row>
    <row r="10011" spans="1:3" x14ac:dyDescent="0.3">
      <c r="A10011">
        <v>27434</v>
      </c>
      <c r="B10011">
        <v>3</v>
      </c>
      <c r="C10011">
        <v>16</v>
      </c>
    </row>
    <row r="10012" spans="1:3" x14ac:dyDescent="0.3">
      <c r="A10012">
        <v>27434</v>
      </c>
      <c r="B10012">
        <v>3</v>
      </c>
      <c r="C10012">
        <v>16</v>
      </c>
    </row>
    <row r="10013" spans="1:3" x14ac:dyDescent="0.3">
      <c r="A10013">
        <v>27434</v>
      </c>
      <c r="B10013">
        <v>3</v>
      </c>
      <c r="C10013">
        <v>16</v>
      </c>
    </row>
    <row r="10014" spans="1:3" x14ac:dyDescent="0.3">
      <c r="A10014">
        <v>27494</v>
      </c>
      <c r="B10014">
        <v>1</v>
      </c>
      <c r="C10014">
        <v>8</v>
      </c>
    </row>
    <row r="10015" spans="1:3" x14ac:dyDescent="0.3">
      <c r="A10015">
        <v>27523</v>
      </c>
      <c r="B10015">
        <v>1</v>
      </c>
      <c r="C10015">
        <v>8</v>
      </c>
    </row>
    <row r="10016" spans="1:3" x14ac:dyDescent="0.3">
      <c r="A10016">
        <v>27620</v>
      </c>
      <c r="B10016">
        <v>1</v>
      </c>
      <c r="C10016">
        <v>8</v>
      </c>
    </row>
    <row r="10017" spans="1:3" x14ac:dyDescent="0.3">
      <c r="A10017">
        <v>27886</v>
      </c>
      <c r="B10017">
        <v>1</v>
      </c>
      <c r="C10017">
        <v>16</v>
      </c>
    </row>
    <row r="10018" spans="1:3" x14ac:dyDescent="0.3">
      <c r="A10018">
        <v>28143</v>
      </c>
      <c r="B10018">
        <v>1</v>
      </c>
      <c r="C10018">
        <v>8</v>
      </c>
    </row>
    <row r="10019" spans="1:3" x14ac:dyDescent="0.3">
      <c r="A10019">
        <v>28201</v>
      </c>
      <c r="B10019">
        <v>1</v>
      </c>
      <c r="C10019">
        <v>16</v>
      </c>
    </row>
    <row r="10020" spans="1:3" x14ac:dyDescent="0.3">
      <c r="A10020">
        <v>28286</v>
      </c>
      <c r="B10020">
        <v>1</v>
      </c>
      <c r="C10020">
        <v>8</v>
      </c>
    </row>
    <row r="10021" spans="1:3" x14ac:dyDescent="0.3">
      <c r="A10021">
        <v>28822</v>
      </c>
      <c r="B10021">
        <v>1</v>
      </c>
      <c r="C10021">
        <v>16</v>
      </c>
    </row>
    <row r="10022" spans="1:3" x14ac:dyDescent="0.3">
      <c r="A10022">
        <v>28986</v>
      </c>
      <c r="B10022">
        <v>1</v>
      </c>
      <c r="C10022">
        <v>8</v>
      </c>
    </row>
    <row r="10023" spans="1:3" x14ac:dyDescent="0.3">
      <c r="A10023">
        <v>29006</v>
      </c>
      <c r="B10023">
        <v>1</v>
      </c>
      <c r="C10023">
        <v>8</v>
      </c>
    </row>
    <row r="10024" spans="1:3" x14ac:dyDescent="0.3">
      <c r="A10024">
        <v>29076</v>
      </c>
      <c r="B10024">
        <v>1</v>
      </c>
      <c r="C10024">
        <v>8</v>
      </c>
    </row>
    <row r="10025" spans="1:3" x14ac:dyDescent="0.3">
      <c r="A10025">
        <v>29198</v>
      </c>
      <c r="B10025">
        <v>1</v>
      </c>
      <c r="C10025">
        <v>8</v>
      </c>
    </row>
    <row r="10026" spans="1:3" x14ac:dyDescent="0.3">
      <c r="A10026">
        <v>29313</v>
      </c>
      <c r="B10026">
        <v>1</v>
      </c>
      <c r="C10026">
        <v>8</v>
      </c>
    </row>
    <row r="10027" spans="1:3" x14ac:dyDescent="0.3">
      <c r="A10027">
        <v>29328</v>
      </c>
      <c r="B10027">
        <v>1</v>
      </c>
      <c r="C10027">
        <v>8</v>
      </c>
    </row>
    <row r="10028" spans="1:3" x14ac:dyDescent="0.3">
      <c r="A10028">
        <v>29392</v>
      </c>
      <c r="B10028">
        <v>1</v>
      </c>
      <c r="C10028">
        <v>8</v>
      </c>
    </row>
    <row r="10029" spans="1:3" x14ac:dyDescent="0.3">
      <c r="A10029">
        <v>29396</v>
      </c>
      <c r="B10029">
        <v>1</v>
      </c>
      <c r="C10029">
        <v>8</v>
      </c>
    </row>
    <row r="10030" spans="1:3" x14ac:dyDescent="0.3">
      <c r="A10030">
        <v>29425</v>
      </c>
      <c r="B10030">
        <v>1</v>
      </c>
      <c r="C10030">
        <v>8</v>
      </c>
    </row>
    <row r="10031" spans="1:3" x14ac:dyDescent="0.3">
      <c r="A10031">
        <v>29555</v>
      </c>
      <c r="B10031">
        <v>1</v>
      </c>
      <c r="C10031">
        <v>8</v>
      </c>
    </row>
    <row r="10032" spans="1:3" x14ac:dyDescent="0.3">
      <c r="A10032">
        <v>29788</v>
      </c>
      <c r="B10032">
        <v>1</v>
      </c>
      <c r="C10032">
        <v>8</v>
      </c>
    </row>
    <row r="10033" spans="1:3" x14ac:dyDescent="0.3">
      <c r="A10033">
        <v>29973</v>
      </c>
      <c r="B10033">
        <v>1</v>
      </c>
      <c r="C10033">
        <v>16</v>
      </c>
    </row>
    <row r="10034" spans="1:3" x14ac:dyDescent="0.3">
      <c r="A10034">
        <v>29988</v>
      </c>
      <c r="B10034">
        <v>2</v>
      </c>
      <c r="C10034">
        <v>16</v>
      </c>
    </row>
    <row r="10035" spans="1:3" x14ac:dyDescent="0.3">
      <c r="A10035">
        <v>29988</v>
      </c>
      <c r="B10035">
        <v>2</v>
      </c>
      <c r="C10035">
        <v>16</v>
      </c>
    </row>
    <row r="10036" spans="1:3" x14ac:dyDescent="0.3">
      <c r="A10036">
        <v>30315</v>
      </c>
      <c r="B10036">
        <v>1</v>
      </c>
      <c r="C10036">
        <v>8</v>
      </c>
    </row>
    <row r="10037" spans="1:3" x14ac:dyDescent="0.3">
      <c r="A10037">
        <v>30397</v>
      </c>
      <c r="B10037">
        <v>2</v>
      </c>
      <c r="C10037">
        <v>16</v>
      </c>
    </row>
    <row r="10038" spans="1:3" x14ac:dyDescent="0.3">
      <c r="A10038">
        <v>30397</v>
      </c>
      <c r="B10038">
        <v>2</v>
      </c>
      <c r="C10038">
        <v>16</v>
      </c>
    </row>
    <row r="10039" spans="1:3" x14ac:dyDescent="0.3">
      <c r="A10039">
        <v>30583</v>
      </c>
      <c r="B10039">
        <v>1</v>
      </c>
      <c r="C10039">
        <v>8</v>
      </c>
    </row>
    <row r="10040" spans="1:3" x14ac:dyDescent="0.3">
      <c r="A10040">
        <v>30641</v>
      </c>
      <c r="B10040">
        <v>1</v>
      </c>
      <c r="C10040">
        <v>8</v>
      </c>
    </row>
    <row r="10041" spans="1:3" x14ac:dyDescent="0.3">
      <c r="A10041">
        <v>30926</v>
      </c>
      <c r="B10041">
        <v>1</v>
      </c>
      <c r="C10041">
        <v>8</v>
      </c>
    </row>
    <row r="10042" spans="1:3" x14ac:dyDescent="0.3">
      <c r="A10042">
        <v>30967</v>
      </c>
      <c r="B10042">
        <v>1</v>
      </c>
      <c r="C10042">
        <v>8</v>
      </c>
    </row>
    <row r="10043" spans="1:3" x14ac:dyDescent="0.3">
      <c r="A10043">
        <v>31025</v>
      </c>
      <c r="B10043">
        <v>1</v>
      </c>
      <c r="C10043">
        <v>16</v>
      </c>
    </row>
    <row r="10044" spans="1:3" x14ac:dyDescent="0.3">
      <c r="A10044">
        <v>31059</v>
      </c>
      <c r="B10044">
        <v>1</v>
      </c>
      <c r="C10044">
        <v>8</v>
      </c>
    </row>
    <row r="10045" spans="1:3" x14ac:dyDescent="0.3">
      <c r="A10045">
        <v>31274</v>
      </c>
      <c r="B10045">
        <v>1</v>
      </c>
      <c r="C10045">
        <v>8</v>
      </c>
    </row>
    <row r="10046" spans="1:3" x14ac:dyDescent="0.3">
      <c r="A10046">
        <v>31383</v>
      </c>
      <c r="B10046">
        <v>1</v>
      </c>
      <c r="C10046">
        <v>8</v>
      </c>
    </row>
    <row r="10047" spans="1:3" x14ac:dyDescent="0.3">
      <c r="A10047">
        <v>31562</v>
      </c>
      <c r="B10047">
        <v>1</v>
      </c>
      <c r="C10047">
        <v>8</v>
      </c>
    </row>
    <row r="10048" spans="1:3" x14ac:dyDescent="0.3">
      <c r="A10048">
        <v>31782</v>
      </c>
      <c r="B10048">
        <v>1</v>
      </c>
      <c r="C10048">
        <v>8</v>
      </c>
    </row>
    <row r="10049" spans="1:3" x14ac:dyDescent="0.3">
      <c r="A10049">
        <v>31987</v>
      </c>
      <c r="B10049">
        <v>1</v>
      </c>
      <c r="C10049">
        <v>8</v>
      </c>
    </row>
    <row r="10050" spans="1:3" x14ac:dyDescent="0.3">
      <c r="A10050">
        <v>32015</v>
      </c>
      <c r="B10050">
        <v>2</v>
      </c>
      <c r="C10050">
        <v>16</v>
      </c>
    </row>
    <row r="10051" spans="1:3" x14ac:dyDescent="0.3">
      <c r="A10051">
        <v>32015</v>
      </c>
      <c r="B10051">
        <v>2</v>
      </c>
      <c r="C10051">
        <v>16</v>
      </c>
    </row>
    <row r="10052" spans="1:3" x14ac:dyDescent="0.3">
      <c r="A10052">
        <v>32095</v>
      </c>
      <c r="B10052">
        <v>1</v>
      </c>
      <c r="C10052">
        <v>8</v>
      </c>
    </row>
    <row r="10053" spans="1:3" x14ac:dyDescent="0.3">
      <c r="A10053">
        <v>32105</v>
      </c>
      <c r="B10053">
        <v>2</v>
      </c>
      <c r="C10053">
        <v>16</v>
      </c>
    </row>
    <row r="10054" spans="1:3" x14ac:dyDescent="0.3">
      <c r="A10054">
        <v>32105</v>
      </c>
      <c r="B10054">
        <v>2</v>
      </c>
      <c r="C10054">
        <v>16</v>
      </c>
    </row>
    <row r="10055" spans="1:3" x14ac:dyDescent="0.3">
      <c r="A10055">
        <v>32606</v>
      </c>
      <c r="B10055">
        <v>1</v>
      </c>
      <c r="C10055">
        <v>8</v>
      </c>
    </row>
    <row r="10056" spans="1:3" x14ac:dyDescent="0.3">
      <c r="A10056">
        <v>32615</v>
      </c>
      <c r="B10056">
        <v>1</v>
      </c>
      <c r="C10056">
        <v>8</v>
      </c>
    </row>
    <row r="10057" spans="1:3" x14ac:dyDescent="0.3">
      <c r="A10057">
        <v>32649</v>
      </c>
      <c r="B10057">
        <v>1</v>
      </c>
      <c r="C10057">
        <v>8</v>
      </c>
    </row>
    <row r="10058" spans="1:3" x14ac:dyDescent="0.3">
      <c r="A10058">
        <v>32974</v>
      </c>
      <c r="B10058">
        <v>1</v>
      </c>
      <c r="C10058">
        <v>8</v>
      </c>
    </row>
    <row r="10059" spans="1:3" x14ac:dyDescent="0.3">
      <c r="A10059">
        <v>32989</v>
      </c>
      <c r="B10059">
        <v>1</v>
      </c>
      <c r="C10059">
        <v>8</v>
      </c>
    </row>
    <row r="10060" spans="1:3" x14ac:dyDescent="0.3">
      <c r="A10060">
        <v>33108</v>
      </c>
      <c r="B10060">
        <v>1</v>
      </c>
      <c r="C10060">
        <v>8</v>
      </c>
    </row>
    <row r="10061" spans="1:3" x14ac:dyDescent="0.3">
      <c r="A10061">
        <v>33130</v>
      </c>
      <c r="B10061">
        <v>1</v>
      </c>
      <c r="C10061">
        <v>8</v>
      </c>
    </row>
    <row r="10062" spans="1:3" x14ac:dyDescent="0.3">
      <c r="A10062">
        <v>33457</v>
      </c>
      <c r="B10062">
        <v>1</v>
      </c>
      <c r="C10062">
        <v>16</v>
      </c>
    </row>
    <row r="10063" spans="1:3" x14ac:dyDescent="0.3">
      <c r="A10063">
        <v>33536</v>
      </c>
      <c r="B10063">
        <v>1</v>
      </c>
      <c r="C10063">
        <v>16</v>
      </c>
    </row>
    <row r="10064" spans="1:3" x14ac:dyDescent="0.3">
      <c r="A10064">
        <v>33537</v>
      </c>
      <c r="B10064">
        <v>1</v>
      </c>
      <c r="C10064">
        <v>8</v>
      </c>
    </row>
    <row r="10065" spans="1:3" x14ac:dyDescent="0.3">
      <c r="A10065">
        <v>33737</v>
      </c>
      <c r="B10065">
        <v>1</v>
      </c>
      <c r="C10065">
        <v>8</v>
      </c>
    </row>
    <row r="10066" spans="1:3" x14ac:dyDescent="0.3">
      <c r="A10066">
        <v>34228</v>
      </c>
      <c r="B10066">
        <v>1</v>
      </c>
      <c r="C10066">
        <v>8</v>
      </c>
    </row>
    <row r="10067" spans="1:3" x14ac:dyDescent="0.3">
      <c r="A10067">
        <v>34231</v>
      </c>
      <c r="B10067">
        <v>2</v>
      </c>
      <c r="C10067">
        <v>16</v>
      </c>
    </row>
    <row r="10068" spans="1:3" x14ac:dyDescent="0.3">
      <c r="A10068">
        <v>34231</v>
      </c>
      <c r="B10068">
        <v>2</v>
      </c>
      <c r="C10068">
        <v>16</v>
      </c>
    </row>
    <row r="10069" spans="1:3" x14ac:dyDescent="0.3">
      <c r="A10069">
        <v>34274</v>
      </c>
      <c r="B10069">
        <v>1</v>
      </c>
      <c r="C10069">
        <v>8</v>
      </c>
    </row>
    <row r="10070" spans="1:3" x14ac:dyDescent="0.3">
      <c r="A10070">
        <v>34292</v>
      </c>
      <c r="B10070">
        <v>1</v>
      </c>
      <c r="C10070">
        <v>16</v>
      </c>
    </row>
    <row r="10071" spans="1:3" x14ac:dyDescent="0.3">
      <c r="A10071">
        <v>34332</v>
      </c>
      <c r="B10071">
        <v>2</v>
      </c>
      <c r="C10071">
        <v>16</v>
      </c>
    </row>
    <row r="10072" spans="1:3" x14ac:dyDescent="0.3">
      <c r="A10072">
        <v>34332</v>
      </c>
      <c r="B10072">
        <v>2</v>
      </c>
      <c r="C10072">
        <v>16</v>
      </c>
    </row>
    <row r="10073" spans="1:3" x14ac:dyDescent="0.3">
      <c r="A10073">
        <v>34436</v>
      </c>
      <c r="B10073">
        <v>1</v>
      </c>
      <c r="C10073">
        <v>8</v>
      </c>
    </row>
    <row r="10074" spans="1:3" x14ac:dyDescent="0.3">
      <c r="A10074">
        <v>34445</v>
      </c>
      <c r="B10074">
        <v>1</v>
      </c>
      <c r="C10074">
        <v>8</v>
      </c>
    </row>
    <row r="10075" spans="1:3" x14ac:dyDescent="0.3">
      <c r="A10075">
        <v>34610</v>
      </c>
      <c r="B10075">
        <v>1</v>
      </c>
      <c r="C10075">
        <v>8</v>
      </c>
    </row>
    <row r="10076" spans="1:3" x14ac:dyDescent="0.3">
      <c r="A10076">
        <v>34648</v>
      </c>
      <c r="B10076">
        <v>1</v>
      </c>
      <c r="C10076">
        <v>8</v>
      </c>
    </row>
    <row r="10077" spans="1:3" x14ac:dyDescent="0.3">
      <c r="A10077">
        <v>34677</v>
      </c>
      <c r="B10077">
        <v>1</v>
      </c>
      <c r="C10077">
        <v>8</v>
      </c>
    </row>
    <row r="10078" spans="1:3" x14ac:dyDescent="0.3">
      <c r="A10078">
        <v>34765</v>
      </c>
      <c r="B10078">
        <v>1</v>
      </c>
      <c r="C10078">
        <v>16</v>
      </c>
    </row>
    <row r="10079" spans="1:3" x14ac:dyDescent="0.3">
      <c r="A10079">
        <v>34857</v>
      </c>
      <c r="B10079">
        <v>1</v>
      </c>
      <c r="C10079">
        <v>8</v>
      </c>
    </row>
    <row r="10080" spans="1:3" x14ac:dyDescent="0.3">
      <c r="A10080">
        <v>34917</v>
      </c>
      <c r="B10080">
        <v>1</v>
      </c>
      <c r="C10080">
        <v>8</v>
      </c>
    </row>
    <row r="10081" spans="1:3" x14ac:dyDescent="0.3">
      <c r="A10081">
        <v>34924</v>
      </c>
      <c r="B10081">
        <v>1</v>
      </c>
      <c r="C10081">
        <v>8</v>
      </c>
    </row>
    <row r="10082" spans="1:3" x14ac:dyDescent="0.3">
      <c r="A10082">
        <v>35210</v>
      </c>
      <c r="B10082">
        <v>1</v>
      </c>
      <c r="C10082">
        <v>16</v>
      </c>
    </row>
    <row r="10083" spans="1:3" x14ac:dyDescent="0.3">
      <c r="A10083">
        <v>35751</v>
      </c>
      <c r="B10083">
        <v>1</v>
      </c>
      <c r="C10083">
        <v>8</v>
      </c>
    </row>
    <row r="10084" spans="1:3" x14ac:dyDescent="0.3">
      <c r="A10084">
        <v>35840</v>
      </c>
      <c r="B10084">
        <v>1</v>
      </c>
      <c r="C10084">
        <v>8</v>
      </c>
    </row>
    <row r="10085" spans="1:3" x14ac:dyDescent="0.3">
      <c r="A10085">
        <v>35972</v>
      </c>
      <c r="B10085">
        <v>2</v>
      </c>
      <c r="C10085">
        <v>16</v>
      </c>
    </row>
    <row r="10086" spans="1:3" x14ac:dyDescent="0.3">
      <c r="A10086">
        <v>35972</v>
      </c>
      <c r="B10086">
        <v>2</v>
      </c>
      <c r="C10086">
        <v>16</v>
      </c>
    </row>
    <row r="10087" spans="1:3" x14ac:dyDescent="0.3">
      <c r="A10087">
        <v>35976</v>
      </c>
      <c r="B10087">
        <v>1</v>
      </c>
      <c r="C10087">
        <v>16</v>
      </c>
    </row>
    <row r="10088" spans="1:3" x14ac:dyDescent="0.3">
      <c r="A10088">
        <v>35982</v>
      </c>
      <c r="B10088">
        <v>2</v>
      </c>
      <c r="C10088">
        <v>16</v>
      </c>
    </row>
    <row r="10089" spans="1:3" x14ac:dyDescent="0.3">
      <c r="A10089">
        <v>35982</v>
      </c>
      <c r="B10089">
        <v>2</v>
      </c>
      <c r="C10089">
        <v>16</v>
      </c>
    </row>
    <row r="10090" spans="1:3" x14ac:dyDescent="0.3">
      <c r="A10090">
        <v>36051</v>
      </c>
      <c r="B10090">
        <v>1</v>
      </c>
      <c r="C10090">
        <v>8</v>
      </c>
    </row>
    <row r="10091" spans="1:3" x14ac:dyDescent="0.3">
      <c r="A10091">
        <v>36382</v>
      </c>
      <c r="B10091">
        <v>1</v>
      </c>
      <c r="C10091">
        <v>8</v>
      </c>
    </row>
    <row r="10092" spans="1:3" x14ac:dyDescent="0.3">
      <c r="A10092">
        <v>36445</v>
      </c>
      <c r="B10092">
        <v>1</v>
      </c>
      <c r="C10092">
        <v>8</v>
      </c>
    </row>
    <row r="10093" spans="1:3" x14ac:dyDescent="0.3">
      <c r="A10093">
        <v>36455</v>
      </c>
      <c r="B10093">
        <v>2</v>
      </c>
      <c r="C10093">
        <v>16</v>
      </c>
    </row>
    <row r="10094" spans="1:3" x14ac:dyDescent="0.3">
      <c r="A10094">
        <v>36455</v>
      </c>
      <c r="B10094">
        <v>2</v>
      </c>
      <c r="C10094">
        <v>16</v>
      </c>
    </row>
    <row r="10095" spans="1:3" x14ac:dyDescent="0.3">
      <c r="A10095">
        <v>36666</v>
      </c>
      <c r="B10095">
        <v>1</v>
      </c>
      <c r="C10095">
        <v>8</v>
      </c>
    </row>
    <row r="10096" spans="1:3" x14ac:dyDescent="0.3">
      <c r="A10096">
        <v>36842</v>
      </c>
      <c r="B10096">
        <v>1</v>
      </c>
      <c r="C10096">
        <v>16</v>
      </c>
    </row>
    <row r="10097" spans="1:3" x14ac:dyDescent="0.3">
      <c r="A10097">
        <v>36893</v>
      </c>
      <c r="B10097">
        <v>1</v>
      </c>
      <c r="C10097">
        <v>16</v>
      </c>
    </row>
    <row r="10098" spans="1:3" x14ac:dyDescent="0.3">
      <c r="A10098">
        <v>36980</v>
      </c>
      <c r="B10098">
        <v>1</v>
      </c>
      <c r="C10098">
        <v>8</v>
      </c>
    </row>
    <row r="10099" spans="1:3" x14ac:dyDescent="0.3">
      <c r="A10099">
        <v>37164</v>
      </c>
      <c r="B10099">
        <v>1</v>
      </c>
      <c r="C10099">
        <v>8</v>
      </c>
    </row>
    <row r="10100" spans="1:3" x14ac:dyDescent="0.3">
      <c r="A10100">
        <v>37308</v>
      </c>
      <c r="B10100">
        <v>1</v>
      </c>
      <c r="C10100">
        <v>16</v>
      </c>
    </row>
    <row r="10101" spans="1:3" x14ac:dyDescent="0.3">
      <c r="A10101">
        <v>37495</v>
      </c>
      <c r="B10101">
        <v>1</v>
      </c>
      <c r="C10101">
        <v>8</v>
      </c>
    </row>
    <row r="10102" spans="1:3" x14ac:dyDescent="0.3">
      <c r="A10102">
        <v>37717</v>
      </c>
      <c r="B10102">
        <v>1</v>
      </c>
      <c r="C10102">
        <v>8</v>
      </c>
    </row>
    <row r="10103" spans="1:3" x14ac:dyDescent="0.3">
      <c r="A10103">
        <v>37792</v>
      </c>
      <c r="B10103">
        <v>1</v>
      </c>
      <c r="C10103">
        <v>8</v>
      </c>
    </row>
    <row r="10104" spans="1:3" x14ac:dyDescent="0.3">
      <c r="A10104">
        <v>38082</v>
      </c>
      <c r="B10104">
        <v>1</v>
      </c>
      <c r="C10104">
        <v>16</v>
      </c>
    </row>
    <row r="10105" spans="1:3" x14ac:dyDescent="0.3">
      <c r="A10105">
        <v>38263</v>
      </c>
      <c r="B10105">
        <v>1</v>
      </c>
      <c r="C10105">
        <v>16</v>
      </c>
    </row>
    <row r="10106" spans="1:3" x14ac:dyDescent="0.3">
      <c r="A10106">
        <v>38317</v>
      </c>
      <c r="B10106">
        <v>3</v>
      </c>
      <c r="C10106">
        <v>16</v>
      </c>
    </row>
    <row r="10107" spans="1:3" x14ac:dyDescent="0.3">
      <c r="A10107">
        <v>38317</v>
      </c>
      <c r="B10107">
        <v>3</v>
      </c>
      <c r="C10107">
        <v>16</v>
      </c>
    </row>
    <row r="10108" spans="1:3" x14ac:dyDescent="0.3">
      <c r="A10108">
        <v>38317</v>
      </c>
      <c r="B10108">
        <v>3</v>
      </c>
      <c r="C10108">
        <v>16</v>
      </c>
    </row>
    <row r="10109" spans="1:3" x14ac:dyDescent="0.3">
      <c r="A10109">
        <v>38334</v>
      </c>
      <c r="B10109">
        <v>1</v>
      </c>
      <c r="C10109">
        <v>16</v>
      </c>
    </row>
    <row r="10110" spans="1:3" x14ac:dyDescent="0.3">
      <c r="A10110">
        <v>38438</v>
      </c>
      <c r="B10110">
        <v>1</v>
      </c>
      <c r="C10110">
        <v>8</v>
      </c>
    </row>
    <row r="10111" spans="1:3" x14ac:dyDescent="0.3">
      <c r="A10111">
        <v>38757</v>
      </c>
      <c r="B10111">
        <v>1</v>
      </c>
      <c r="C10111">
        <v>8</v>
      </c>
    </row>
    <row r="10112" spans="1:3" x14ac:dyDescent="0.3">
      <c r="A10112">
        <v>39707</v>
      </c>
      <c r="B10112">
        <v>1</v>
      </c>
      <c r="C10112">
        <v>8</v>
      </c>
    </row>
    <row r="10113" spans="1:3" x14ac:dyDescent="0.3">
      <c r="A10113">
        <v>39788</v>
      </c>
      <c r="B10113">
        <v>1</v>
      </c>
      <c r="C10113">
        <v>8</v>
      </c>
    </row>
    <row r="10114" spans="1:3" x14ac:dyDescent="0.3">
      <c r="A10114">
        <v>39919</v>
      </c>
      <c r="B10114">
        <v>1</v>
      </c>
      <c r="C10114">
        <v>8</v>
      </c>
    </row>
    <row r="10115" spans="1:3" x14ac:dyDescent="0.3">
      <c r="A10115">
        <v>39957</v>
      </c>
      <c r="B10115">
        <v>1</v>
      </c>
      <c r="C10115">
        <v>8</v>
      </c>
    </row>
    <row r="10116" spans="1:3" x14ac:dyDescent="0.3">
      <c r="A10116">
        <v>40078</v>
      </c>
      <c r="B10116">
        <v>1</v>
      </c>
      <c r="C10116">
        <v>8</v>
      </c>
    </row>
    <row r="10117" spans="1:3" x14ac:dyDescent="0.3">
      <c r="A10117">
        <v>40149</v>
      </c>
      <c r="B10117">
        <v>1</v>
      </c>
      <c r="C10117">
        <v>8</v>
      </c>
    </row>
    <row r="10118" spans="1:3" x14ac:dyDescent="0.3">
      <c r="A10118">
        <v>40434</v>
      </c>
      <c r="B10118">
        <v>1</v>
      </c>
      <c r="C10118">
        <v>8</v>
      </c>
    </row>
    <row r="10119" spans="1:3" x14ac:dyDescent="0.3">
      <c r="A10119">
        <v>40555</v>
      </c>
      <c r="B10119">
        <v>1</v>
      </c>
      <c r="C10119">
        <v>8</v>
      </c>
    </row>
    <row r="10120" spans="1:3" x14ac:dyDescent="0.3">
      <c r="A10120">
        <v>40857</v>
      </c>
      <c r="B10120">
        <v>1</v>
      </c>
      <c r="C10120">
        <v>8</v>
      </c>
    </row>
    <row r="10121" spans="1:3" x14ac:dyDescent="0.3">
      <c r="A10121">
        <v>41102</v>
      </c>
      <c r="B10121">
        <v>1</v>
      </c>
      <c r="C10121">
        <v>8</v>
      </c>
    </row>
    <row r="10122" spans="1:3" x14ac:dyDescent="0.3">
      <c r="A10122">
        <v>41131</v>
      </c>
      <c r="B10122">
        <v>1</v>
      </c>
      <c r="C10122">
        <v>8</v>
      </c>
    </row>
    <row r="10123" spans="1:3" x14ac:dyDescent="0.3">
      <c r="A10123">
        <v>41657</v>
      </c>
      <c r="B10123">
        <v>1</v>
      </c>
      <c r="C10123">
        <v>8</v>
      </c>
    </row>
    <row r="10124" spans="1:3" x14ac:dyDescent="0.3">
      <c r="A10124">
        <v>41873</v>
      </c>
      <c r="B10124">
        <v>1</v>
      </c>
      <c r="C10124">
        <v>8</v>
      </c>
    </row>
    <row r="10125" spans="1:3" x14ac:dyDescent="0.3">
      <c r="A10125">
        <v>41900</v>
      </c>
      <c r="B10125">
        <v>1</v>
      </c>
      <c r="C10125">
        <v>8</v>
      </c>
    </row>
    <row r="10126" spans="1:3" x14ac:dyDescent="0.3">
      <c r="A10126">
        <v>41902</v>
      </c>
      <c r="B10126">
        <v>1</v>
      </c>
      <c r="C10126">
        <v>8</v>
      </c>
    </row>
    <row r="10127" spans="1:3" x14ac:dyDescent="0.3">
      <c r="A10127">
        <v>41929</v>
      </c>
      <c r="B10127">
        <v>1</v>
      </c>
      <c r="C10127">
        <v>8</v>
      </c>
    </row>
    <row r="10128" spans="1:3" x14ac:dyDescent="0.3">
      <c r="A10128">
        <v>42114</v>
      </c>
      <c r="B10128">
        <v>1</v>
      </c>
      <c r="C10128">
        <v>8</v>
      </c>
    </row>
    <row r="10129" spans="1:3" x14ac:dyDescent="0.3">
      <c r="A10129">
        <v>42262</v>
      </c>
      <c r="B10129">
        <v>1</v>
      </c>
      <c r="C10129">
        <v>8</v>
      </c>
    </row>
    <row r="10130" spans="1:3" x14ac:dyDescent="0.3">
      <c r="A10130">
        <v>42520</v>
      </c>
      <c r="B10130">
        <v>1</v>
      </c>
      <c r="C10130">
        <v>8</v>
      </c>
    </row>
    <row r="10131" spans="1:3" x14ac:dyDescent="0.3">
      <c r="A10131">
        <v>42654</v>
      </c>
      <c r="B10131">
        <v>1</v>
      </c>
      <c r="C10131">
        <v>8</v>
      </c>
    </row>
    <row r="10132" spans="1:3" x14ac:dyDescent="0.3">
      <c r="A10132">
        <v>42673</v>
      </c>
      <c r="B10132">
        <v>1</v>
      </c>
      <c r="C10132">
        <v>8</v>
      </c>
    </row>
    <row r="10133" spans="1:3" x14ac:dyDescent="0.3">
      <c r="A10133">
        <v>43055</v>
      </c>
      <c r="B10133">
        <v>1</v>
      </c>
      <c r="C10133">
        <v>8</v>
      </c>
    </row>
    <row r="10134" spans="1:3" x14ac:dyDescent="0.3">
      <c r="A10134">
        <v>43189</v>
      </c>
      <c r="B10134">
        <v>2</v>
      </c>
      <c r="C10134">
        <v>16</v>
      </c>
    </row>
    <row r="10135" spans="1:3" x14ac:dyDescent="0.3">
      <c r="A10135">
        <v>43189</v>
      </c>
      <c r="B10135">
        <v>2</v>
      </c>
      <c r="C10135">
        <v>16</v>
      </c>
    </row>
    <row r="10136" spans="1:3" x14ac:dyDescent="0.3">
      <c r="A10136">
        <v>43284</v>
      </c>
      <c r="B10136">
        <v>1</v>
      </c>
      <c r="C10136">
        <v>8</v>
      </c>
    </row>
    <row r="10137" spans="1:3" x14ac:dyDescent="0.3">
      <c r="A10137">
        <v>43285</v>
      </c>
      <c r="B10137">
        <v>1</v>
      </c>
      <c r="C10137">
        <v>8</v>
      </c>
    </row>
    <row r="10138" spans="1:3" x14ac:dyDescent="0.3">
      <c r="A10138">
        <v>43331</v>
      </c>
      <c r="B10138">
        <v>1</v>
      </c>
      <c r="C10138">
        <v>8</v>
      </c>
    </row>
    <row r="10139" spans="1:3" x14ac:dyDescent="0.3">
      <c r="A10139">
        <v>43426</v>
      </c>
      <c r="B10139">
        <v>2</v>
      </c>
      <c r="C10139">
        <v>8</v>
      </c>
    </row>
    <row r="10140" spans="1:3" x14ac:dyDescent="0.3">
      <c r="A10140">
        <v>43426</v>
      </c>
      <c r="B10140">
        <v>2</v>
      </c>
      <c r="C10140">
        <v>8</v>
      </c>
    </row>
    <row r="10141" spans="1:3" x14ac:dyDescent="0.3">
      <c r="A10141">
        <v>44850</v>
      </c>
      <c r="B10141">
        <v>1</v>
      </c>
      <c r="C10141">
        <v>8</v>
      </c>
    </row>
    <row r="10142" spans="1:3" x14ac:dyDescent="0.3">
      <c r="A10142">
        <v>45145</v>
      </c>
      <c r="B10142">
        <v>1</v>
      </c>
      <c r="C10142">
        <v>8</v>
      </c>
    </row>
    <row r="10143" spans="1:3" x14ac:dyDescent="0.3">
      <c r="A10143">
        <v>45337</v>
      </c>
      <c r="B10143">
        <v>1</v>
      </c>
      <c r="C10143">
        <v>8</v>
      </c>
    </row>
    <row r="10144" spans="1:3" x14ac:dyDescent="0.3">
      <c r="A10144">
        <v>45403</v>
      </c>
      <c r="B10144">
        <v>1</v>
      </c>
      <c r="C10144">
        <v>8</v>
      </c>
    </row>
    <row r="10145" spans="1:3" x14ac:dyDescent="0.3">
      <c r="A10145">
        <v>46173</v>
      </c>
      <c r="B10145">
        <v>2</v>
      </c>
      <c r="C10145">
        <v>16</v>
      </c>
    </row>
    <row r="10146" spans="1:3" x14ac:dyDescent="0.3">
      <c r="A10146">
        <v>46173</v>
      </c>
      <c r="B10146">
        <v>2</v>
      </c>
      <c r="C10146">
        <v>16</v>
      </c>
    </row>
    <row r="10147" spans="1:3" x14ac:dyDescent="0.3">
      <c r="A10147">
        <v>46429</v>
      </c>
      <c r="B10147">
        <v>1</v>
      </c>
      <c r="C10147">
        <v>8</v>
      </c>
    </row>
    <row r="10148" spans="1:3" x14ac:dyDescent="0.3">
      <c r="A10148">
        <v>46464</v>
      </c>
      <c r="B10148">
        <v>1</v>
      </c>
      <c r="C10148">
        <v>16</v>
      </c>
    </row>
    <row r="10149" spans="1:3" x14ac:dyDescent="0.3">
      <c r="A10149">
        <v>46591</v>
      </c>
      <c r="B10149">
        <v>1</v>
      </c>
      <c r="C10149">
        <v>8</v>
      </c>
    </row>
    <row r="10150" spans="1:3" x14ac:dyDescent="0.3">
      <c r="A10150">
        <v>46592</v>
      </c>
      <c r="B10150">
        <v>1</v>
      </c>
      <c r="C10150">
        <v>16</v>
      </c>
    </row>
    <row r="10151" spans="1:3" x14ac:dyDescent="0.3">
      <c r="A10151">
        <v>46744</v>
      </c>
      <c r="B10151">
        <v>1</v>
      </c>
      <c r="C10151">
        <v>8</v>
      </c>
    </row>
    <row r="10152" spans="1:3" x14ac:dyDescent="0.3">
      <c r="A10152">
        <v>46943</v>
      </c>
      <c r="B10152">
        <v>1</v>
      </c>
      <c r="C10152">
        <v>16</v>
      </c>
    </row>
    <row r="10153" spans="1:3" x14ac:dyDescent="0.3">
      <c r="A10153">
        <v>47034</v>
      </c>
      <c r="B10153">
        <v>1</v>
      </c>
      <c r="C10153">
        <v>8</v>
      </c>
    </row>
    <row r="10154" spans="1:3" x14ac:dyDescent="0.3">
      <c r="A10154">
        <v>47255</v>
      </c>
      <c r="B10154">
        <v>1</v>
      </c>
      <c r="C10154">
        <v>8</v>
      </c>
    </row>
    <row r="10155" spans="1:3" x14ac:dyDescent="0.3">
      <c r="A10155">
        <v>47588</v>
      </c>
      <c r="B10155">
        <v>1</v>
      </c>
      <c r="C10155">
        <v>8</v>
      </c>
    </row>
    <row r="10156" spans="1:3" x14ac:dyDescent="0.3">
      <c r="A10156">
        <v>47733</v>
      </c>
      <c r="B10156">
        <v>1</v>
      </c>
      <c r="C10156">
        <v>8</v>
      </c>
    </row>
    <row r="10157" spans="1:3" x14ac:dyDescent="0.3">
      <c r="A10157">
        <v>47759</v>
      </c>
      <c r="B10157">
        <v>1</v>
      </c>
      <c r="C10157">
        <v>8</v>
      </c>
    </row>
    <row r="10158" spans="1:3" x14ac:dyDescent="0.3">
      <c r="A10158">
        <v>48103</v>
      </c>
      <c r="B10158">
        <v>1</v>
      </c>
      <c r="C10158">
        <v>8</v>
      </c>
    </row>
    <row r="10159" spans="1:3" x14ac:dyDescent="0.3">
      <c r="A10159">
        <v>48264</v>
      </c>
      <c r="B10159">
        <v>1</v>
      </c>
      <c r="C10159">
        <v>16</v>
      </c>
    </row>
    <row r="10160" spans="1:3" x14ac:dyDescent="0.3">
      <c r="A10160">
        <v>48405</v>
      </c>
      <c r="B10160">
        <v>1</v>
      </c>
      <c r="C10160">
        <v>8</v>
      </c>
    </row>
    <row r="10161" spans="1:3" x14ac:dyDescent="0.3">
      <c r="A10161">
        <v>48542</v>
      </c>
      <c r="B10161">
        <v>1</v>
      </c>
      <c r="C10161">
        <v>8</v>
      </c>
    </row>
    <row r="10162" spans="1:3" x14ac:dyDescent="0.3">
      <c r="A10162">
        <v>48621</v>
      </c>
      <c r="B10162">
        <v>2</v>
      </c>
      <c r="C10162">
        <v>16</v>
      </c>
    </row>
    <row r="10163" spans="1:3" x14ac:dyDescent="0.3">
      <c r="A10163">
        <v>48621</v>
      </c>
      <c r="B10163">
        <v>2</v>
      </c>
      <c r="C10163">
        <v>16</v>
      </c>
    </row>
    <row r="10164" spans="1:3" x14ac:dyDescent="0.3">
      <c r="A10164">
        <v>48767</v>
      </c>
      <c r="B10164">
        <v>1</v>
      </c>
      <c r="C10164">
        <v>8</v>
      </c>
    </row>
    <row r="10165" spans="1:3" x14ac:dyDescent="0.3">
      <c r="A10165">
        <v>49068</v>
      </c>
      <c r="B10165">
        <v>1</v>
      </c>
      <c r="C10165">
        <v>8</v>
      </c>
    </row>
    <row r="10166" spans="1:3" x14ac:dyDescent="0.3">
      <c r="A10166">
        <v>49108</v>
      </c>
      <c r="B10166">
        <v>1</v>
      </c>
      <c r="C10166">
        <v>16</v>
      </c>
    </row>
    <row r="10167" spans="1:3" x14ac:dyDescent="0.3">
      <c r="A10167">
        <v>49228</v>
      </c>
      <c r="B10167">
        <v>1</v>
      </c>
      <c r="C10167">
        <v>8</v>
      </c>
    </row>
    <row r="10168" spans="1:3" x14ac:dyDescent="0.3">
      <c r="A10168">
        <v>49472</v>
      </c>
      <c r="B10168">
        <v>1</v>
      </c>
      <c r="C10168">
        <v>8</v>
      </c>
    </row>
    <row r="10169" spans="1:3" x14ac:dyDescent="0.3">
      <c r="A10169">
        <v>49683</v>
      </c>
      <c r="B10169">
        <v>2</v>
      </c>
      <c r="C10169">
        <v>16</v>
      </c>
    </row>
    <row r="10170" spans="1:3" x14ac:dyDescent="0.3">
      <c r="A10170">
        <v>49683</v>
      </c>
      <c r="B10170">
        <v>2</v>
      </c>
      <c r="C10170">
        <v>16</v>
      </c>
    </row>
    <row r="10171" spans="1:3" x14ac:dyDescent="0.3">
      <c r="A10171">
        <v>50138</v>
      </c>
      <c r="B10171">
        <v>2</v>
      </c>
      <c r="C10171">
        <v>8</v>
      </c>
    </row>
    <row r="10172" spans="1:3" x14ac:dyDescent="0.3">
      <c r="A10172">
        <v>50138</v>
      </c>
      <c r="B10172">
        <v>2</v>
      </c>
      <c r="C10172">
        <v>8</v>
      </c>
    </row>
    <row r="10173" spans="1:3" x14ac:dyDescent="0.3">
      <c r="A10173">
        <v>50187</v>
      </c>
      <c r="B10173">
        <v>1</v>
      </c>
      <c r="C10173">
        <v>8</v>
      </c>
    </row>
    <row r="10174" spans="1:3" x14ac:dyDescent="0.3">
      <c r="A10174">
        <v>50258</v>
      </c>
      <c r="B10174">
        <v>1</v>
      </c>
      <c r="C10174">
        <v>8</v>
      </c>
    </row>
    <row r="10175" spans="1:3" x14ac:dyDescent="0.3">
      <c r="A10175">
        <v>50342</v>
      </c>
      <c r="B10175">
        <v>1</v>
      </c>
      <c r="C10175">
        <v>8</v>
      </c>
    </row>
    <row r="10176" spans="1:3" x14ac:dyDescent="0.3">
      <c r="A10176">
        <v>50512</v>
      </c>
      <c r="B10176">
        <v>1</v>
      </c>
      <c r="C10176">
        <v>8</v>
      </c>
    </row>
    <row r="10177" spans="1:3" x14ac:dyDescent="0.3">
      <c r="A10177">
        <v>50745</v>
      </c>
      <c r="B10177">
        <v>1</v>
      </c>
      <c r="C10177">
        <v>8</v>
      </c>
    </row>
    <row r="10178" spans="1:3" x14ac:dyDescent="0.3">
      <c r="A10178">
        <v>50772</v>
      </c>
      <c r="B10178">
        <v>1</v>
      </c>
      <c r="C10178">
        <v>8</v>
      </c>
    </row>
    <row r="10179" spans="1:3" x14ac:dyDescent="0.3">
      <c r="A10179">
        <v>50824</v>
      </c>
      <c r="B10179">
        <v>1</v>
      </c>
      <c r="C10179">
        <v>8</v>
      </c>
    </row>
    <row r="10180" spans="1:3" x14ac:dyDescent="0.3">
      <c r="A10180">
        <v>50834</v>
      </c>
      <c r="B10180">
        <v>1</v>
      </c>
      <c r="C10180">
        <v>8</v>
      </c>
    </row>
    <row r="10181" spans="1:3" x14ac:dyDescent="0.3">
      <c r="A10181">
        <v>51171</v>
      </c>
      <c r="B10181">
        <v>1</v>
      </c>
      <c r="C10181">
        <v>8</v>
      </c>
    </row>
    <row r="10182" spans="1:3" x14ac:dyDescent="0.3">
      <c r="A10182">
        <v>51428</v>
      </c>
      <c r="B10182">
        <v>1</v>
      </c>
      <c r="C10182">
        <v>8</v>
      </c>
    </row>
    <row r="10183" spans="1:3" x14ac:dyDescent="0.3">
      <c r="A10183">
        <v>51516</v>
      </c>
      <c r="B10183">
        <v>1</v>
      </c>
      <c r="C10183">
        <v>8</v>
      </c>
    </row>
    <row r="10184" spans="1:3" x14ac:dyDescent="0.3">
      <c r="A10184">
        <v>51629</v>
      </c>
      <c r="B10184">
        <v>1</v>
      </c>
      <c r="C10184">
        <v>8</v>
      </c>
    </row>
    <row r="10185" spans="1:3" x14ac:dyDescent="0.3">
      <c r="A10185">
        <v>51752</v>
      </c>
      <c r="B10185">
        <v>1</v>
      </c>
      <c r="C10185">
        <v>8</v>
      </c>
    </row>
    <row r="10186" spans="1:3" x14ac:dyDescent="0.3">
      <c r="A10186">
        <v>52291</v>
      </c>
      <c r="B10186">
        <v>2</v>
      </c>
      <c r="C10186">
        <v>16</v>
      </c>
    </row>
    <row r="10187" spans="1:3" x14ac:dyDescent="0.3">
      <c r="A10187">
        <v>52291</v>
      </c>
      <c r="B10187">
        <v>2</v>
      </c>
      <c r="C10187">
        <v>16</v>
      </c>
    </row>
    <row r="10188" spans="1:3" x14ac:dyDescent="0.3">
      <c r="A10188">
        <v>52387</v>
      </c>
      <c r="B10188">
        <v>1</v>
      </c>
      <c r="C10188">
        <v>8</v>
      </c>
    </row>
    <row r="10189" spans="1:3" x14ac:dyDescent="0.3">
      <c r="A10189">
        <v>52417</v>
      </c>
      <c r="B10189">
        <v>1</v>
      </c>
      <c r="C10189">
        <v>8</v>
      </c>
    </row>
    <row r="10190" spans="1:3" x14ac:dyDescent="0.3">
      <c r="A10190">
        <v>52622</v>
      </c>
      <c r="B10190">
        <v>1</v>
      </c>
      <c r="C10190">
        <v>8</v>
      </c>
    </row>
    <row r="10191" spans="1:3" x14ac:dyDescent="0.3">
      <c r="A10191">
        <v>52718</v>
      </c>
      <c r="B10191">
        <v>1</v>
      </c>
      <c r="C10191">
        <v>8</v>
      </c>
    </row>
    <row r="10192" spans="1:3" x14ac:dyDescent="0.3">
      <c r="A10192">
        <v>52975</v>
      </c>
      <c r="B10192">
        <v>1</v>
      </c>
      <c r="C10192">
        <v>8</v>
      </c>
    </row>
    <row r="10193" spans="1:3" x14ac:dyDescent="0.3">
      <c r="A10193">
        <v>53114</v>
      </c>
      <c r="B10193">
        <v>1</v>
      </c>
      <c r="C10193">
        <v>8</v>
      </c>
    </row>
    <row r="10194" spans="1:3" x14ac:dyDescent="0.3">
      <c r="A10194">
        <v>53116</v>
      </c>
      <c r="B10194">
        <v>1</v>
      </c>
      <c r="C10194">
        <v>8</v>
      </c>
    </row>
    <row r="10195" spans="1:3" x14ac:dyDescent="0.3">
      <c r="A10195">
        <v>53168</v>
      </c>
      <c r="B10195">
        <v>2</v>
      </c>
      <c r="C10195">
        <v>16</v>
      </c>
    </row>
    <row r="10196" spans="1:3" x14ac:dyDescent="0.3">
      <c r="A10196">
        <v>53168</v>
      </c>
      <c r="B10196">
        <v>2</v>
      </c>
      <c r="C10196">
        <v>16</v>
      </c>
    </row>
    <row r="10197" spans="1:3" x14ac:dyDescent="0.3">
      <c r="A10197">
        <v>53173</v>
      </c>
      <c r="B10197">
        <v>1</v>
      </c>
      <c r="C10197">
        <v>8</v>
      </c>
    </row>
    <row r="10198" spans="1:3" x14ac:dyDescent="0.3">
      <c r="A10198">
        <v>53187</v>
      </c>
      <c r="B10198">
        <v>1</v>
      </c>
      <c r="C10198">
        <v>8</v>
      </c>
    </row>
    <row r="10199" spans="1:3" x14ac:dyDescent="0.3">
      <c r="A10199">
        <v>53384</v>
      </c>
      <c r="B10199">
        <v>2</v>
      </c>
      <c r="C10199">
        <v>16</v>
      </c>
    </row>
    <row r="10200" spans="1:3" x14ac:dyDescent="0.3">
      <c r="A10200">
        <v>53384</v>
      </c>
      <c r="B10200">
        <v>2</v>
      </c>
      <c r="C10200">
        <v>16</v>
      </c>
    </row>
    <row r="10201" spans="1:3" x14ac:dyDescent="0.3">
      <c r="A10201">
        <v>53443</v>
      </c>
      <c r="B10201">
        <v>1</v>
      </c>
      <c r="C10201">
        <v>8</v>
      </c>
    </row>
    <row r="10202" spans="1:3" x14ac:dyDescent="0.3">
      <c r="A10202">
        <v>53634</v>
      </c>
      <c r="B10202">
        <v>1</v>
      </c>
      <c r="C10202">
        <v>8</v>
      </c>
    </row>
    <row r="10203" spans="1:3" x14ac:dyDescent="0.3">
      <c r="A10203">
        <v>53667</v>
      </c>
      <c r="B10203">
        <v>1</v>
      </c>
      <c r="C10203">
        <v>16</v>
      </c>
    </row>
    <row r="10204" spans="1:3" x14ac:dyDescent="0.3">
      <c r="A10204">
        <v>53668</v>
      </c>
      <c r="B10204">
        <v>1</v>
      </c>
      <c r="C10204">
        <v>8</v>
      </c>
    </row>
    <row r="10205" spans="1:3" x14ac:dyDescent="0.3">
      <c r="A10205">
        <v>53685</v>
      </c>
      <c r="B10205">
        <v>1</v>
      </c>
      <c r="C10205">
        <v>8</v>
      </c>
    </row>
    <row r="10206" spans="1:3" x14ac:dyDescent="0.3">
      <c r="A10206">
        <v>53863</v>
      </c>
      <c r="B10206">
        <v>1</v>
      </c>
      <c r="C10206">
        <v>8</v>
      </c>
    </row>
    <row r="10207" spans="1:3" x14ac:dyDescent="0.3">
      <c r="A10207">
        <v>53978</v>
      </c>
      <c r="B10207">
        <v>2</v>
      </c>
      <c r="C10207">
        <v>16</v>
      </c>
    </row>
    <row r="10208" spans="1:3" x14ac:dyDescent="0.3">
      <c r="A10208">
        <v>53978</v>
      </c>
      <c r="B10208">
        <v>2</v>
      </c>
      <c r="C10208">
        <v>16</v>
      </c>
    </row>
    <row r="10209" spans="1:3" x14ac:dyDescent="0.3">
      <c r="A10209">
        <v>54692</v>
      </c>
      <c r="B10209">
        <v>1</v>
      </c>
      <c r="C10209">
        <v>8</v>
      </c>
    </row>
    <row r="10210" spans="1:3" x14ac:dyDescent="0.3">
      <c r="A10210">
        <v>54706</v>
      </c>
      <c r="B10210">
        <v>1</v>
      </c>
      <c r="C10210">
        <v>16</v>
      </c>
    </row>
    <row r="10211" spans="1:3" x14ac:dyDescent="0.3">
      <c r="A10211">
        <v>54864</v>
      </c>
      <c r="B10211">
        <v>1</v>
      </c>
      <c r="C10211">
        <v>16</v>
      </c>
    </row>
    <row r="10212" spans="1:3" x14ac:dyDescent="0.3">
      <c r="A10212">
        <v>54899</v>
      </c>
      <c r="B10212">
        <v>1</v>
      </c>
      <c r="C10212">
        <v>8</v>
      </c>
    </row>
    <row r="10213" spans="1:3" x14ac:dyDescent="0.3">
      <c r="A10213">
        <v>55135</v>
      </c>
      <c r="B10213">
        <v>1</v>
      </c>
      <c r="C10213">
        <v>8</v>
      </c>
    </row>
    <row r="10214" spans="1:3" x14ac:dyDescent="0.3">
      <c r="A10214">
        <v>55326</v>
      </c>
      <c r="B10214">
        <v>1</v>
      </c>
      <c r="C10214">
        <v>8</v>
      </c>
    </row>
    <row r="10215" spans="1:3" x14ac:dyDescent="0.3">
      <c r="A10215">
        <v>55329</v>
      </c>
      <c r="B10215">
        <v>1</v>
      </c>
      <c r="C10215">
        <v>8</v>
      </c>
    </row>
    <row r="10216" spans="1:3" x14ac:dyDescent="0.3">
      <c r="A10216">
        <v>55725</v>
      </c>
      <c r="B10216">
        <v>1</v>
      </c>
      <c r="C10216">
        <v>8</v>
      </c>
    </row>
    <row r="10217" spans="1:3" x14ac:dyDescent="0.3">
      <c r="A10217">
        <v>55736</v>
      </c>
      <c r="B10217">
        <v>1</v>
      </c>
      <c r="C10217">
        <v>8</v>
      </c>
    </row>
    <row r="10218" spans="1:3" x14ac:dyDescent="0.3">
      <c r="A10218">
        <v>56193</v>
      </c>
      <c r="B10218">
        <v>1</v>
      </c>
      <c r="C10218">
        <v>8</v>
      </c>
    </row>
    <row r="10219" spans="1:3" x14ac:dyDescent="0.3">
      <c r="A10219">
        <v>56391</v>
      </c>
      <c r="B10219">
        <v>1</v>
      </c>
      <c r="C10219">
        <v>8</v>
      </c>
    </row>
    <row r="10220" spans="1:3" x14ac:dyDescent="0.3">
      <c r="A10220">
        <v>56769</v>
      </c>
      <c r="B10220">
        <v>1</v>
      </c>
      <c r="C10220">
        <v>8</v>
      </c>
    </row>
    <row r="10221" spans="1:3" x14ac:dyDescent="0.3">
      <c r="A10221">
        <v>56834</v>
      </c>
      <c r="B10221">
        <v>1</v>
      </c>
      <c r="C10221">
        <v>8</v>
      </c>
    </row>
    <row r="10222" spans="1:3" x14ac:dyDescent="0.3">
      <c r="A10222">
        <v>56852</v>
      </c>
      <c r="B10222">
        <v>1</v>
      </c>
      <c r="C10222">
        <v>8</v>
      </c>
    </row>
    <row r="10223" spans="1:3" x14ac:dyDescent="0.3">
      <c r="A10223">
        <v>56865</v>
      </c>
      <c r="B10223">
        <v>1</v>
      </c>
      <c r="C10223">
        <v>8</v>
      </c>
    </row>
    <row r="10224" spans="1:3" x14ac:dyDescent="0.3">
      <c r="A10224">
        <v>56868</v>
      </c>
      <c r="B10224">
        <v>1</v>
      </c>
      <c r="C10224">
        <v>8</v>
      </c>
    </row>
    <row r="10225" spans="1:3" x14ac:dyDescent="0.3">
      <c r="A10225">
        <v>56917</v>
      </c>
      <c r="B10225">
        <v>1</v>
      </c>
      <c r="C10225">
        <v>8</v>
      </c>
    </row>
    <row r="10226" spans="1:3" x14ac:dyDescent="0.3">
      <c r="A10226">
        <v>57123</v>
      </c>
      <c r="B10226">
        <v>1</v>
      </c>
      <c r="C10226">
        <v>16</v>
      </c>
    </row>
    <row r="10227" spans="1:3" x14ac:dyDescent="0.3">
      <c r="A10227">
        <v>57134</v>
      </c>
      <c r="B10227">
        <v>1</v>
      </c>
      <c r="C10227">
        <v>8</v>
      </c>
    </row>
    <row r="10228" spans="1:3" x14ac:dyDescent="0.3">
      <c r="A10228">
        <v>57220</v>
      </c>
      <c r="B10228">
        <v>1</v>
      </c>
      <c r="C10228">
        <v>8</v>
      </c>
    </row>
    <row r="10229" spans="1:3" x14ac:dyDescent="0.3">
      <c r="A10229">
        <v>57224</v>
      </c>
      <c r="B10229">
        <v>1</v>
      </c>
      <c r="C10229">
        <v>16</v>
      </c>
    </row>
    <row r="10230" spans="1:3" x14ac:dyDescent="0.3">
      <c r="A10230">
        <v>57266</v>
      </c>
      <c r="B10230">
        <v>1</v>
      </c>
      <c r="C10230">
        <v>8</v>
      </c>
    </row>
    <row r="10231" spans="1:3" x14ac:dyDescent="0.3">
      <c r="A10231">
        <v>57278</v>
      </c>
      <c r="B10231">
        <v>1</v>
      </c>
      <c r="C10231">
        <v>8</v>
      </c>
    </row>
    <row r="10232" spans="1:3" x14ac:dyDescent="0.3">
      <c r="A10232">
        <v>57448</v>
      </c>
      <c r="B10232">
        <v>1</v>
      </c>
      <c r="C10232">
        <v>8</v>
      </c>
    </row>
    <row r="10233" spans="1:3" x14ac:dyDescent="0.3">
      <c r="A10233">
        <v>57533</v>
      </c>
      <c r="B10233">
        <v>1</v>
      </c>
      <c r="C10233">
        <v>16</v>
      </c>
    </row>
    <row r="10234" spans="1:3" x14ac:dyDescent="0.3">
      <c r="A10234">
        <v>57536</v>
      </c>
      <c r="B10234">
        <v>1</v>
      </c>
      <c r="C10234">
        <v>8</v>
      </c>
    </row>
    <row r="10235" spans="1:3" x14ac:dyDescent="0.3">
      <c r="A10235">
        <v>57676</v>
      </c>
      <c r="B10235">
        <v>1</v>
      </c>
      <c r="C10235">
        <v>8</v>
      </c>
    </row>
    <row r="10236" spans="1:3" x14ac:dyDescent="0.3">
      <c r="A10236">
        <v>57692</v>
      </c>
      <c r="B10236">
        <v>1</v>
      </c>
      <c r="C10236">
        <v>8</v>
      </c>
    </row>
    <row r="10237" spans="1:3" x14ac:dyDescent="0.3">
      <c r="A10237">
        <v>58325</v>
      </c>
      <c r="B10237">
        <v>1</v>
      </c>
      <c r="C10237">
        <v>8</v>
      </c>
    </row>
    <row r="10238" spans="1:3" x14ac:dyDescent="0.3">
      <c r="A10238">
        <v>58340</v>
      </c>
      <c r="B10238">
        <v>1</v>
      </c>
      <c r="C10238">
        <v>8</v>
      </c>
    </row>
    <row r="10239" spans="1:3" x14ac:dyDescent="0.3">
      <c r="A10239">
        <v>58356</v>
      </c>
      <c r="B10239">
        <v>1</v>
      </c>
      <c r="C10239">
        <v>8</v>
      </c>
    </row>
    <row r="10240" spans="1:3" x14ac:dyDescent="0.3">
      <c r="A10240">
        <v>58401</v>
      </c>
      <c r="B10240">
        <v>1</v>
      </c>
      <c r="C10240">
        <v>8</v>
      </c>
    </row>
    <row r="10241" spans="1:3" x14ac:dyDescent="0.3">
      <c r="A10241">
        <v>58402</v>
      </c>
      <c r="B10241">
        <v>1</v>
      </c>
      <c r="C10241">
        <v>8</v>
      </c>
    </row>
    <row r="10242" spans="1:3" x14ac:dyDescent="0.3">
      <c r="A10242">
        <v>58508</v>
      </c>
      <c r="B10242">
        <v>1</v>
      </c>
      <c r="C10242">
        <v>8</v>
      </c>
    </row>
    <row r="10243" spans="1:3" x14ac:dyDescent="0.3">
      <c r="A10243">
        <v>58513</v>
      </c>
      <c r="B10243">
        <v>1</v>
      </c>
      <c r="C10243">
        <v>8</v>
      </c>
    </row>
    <row r="10244" spans="1:3" x14ac:dyDescent="0.3">
      <c r="A10244">
        <v>58563</v>
      </c>
      <c r="B10244">
        <v>1</v>
      </c>
      <c r="C10244">
        <v>8</v>
      </c>
    </row>
    <row r="10245" spans="1:3" x14ac:dyDescent="0.3">
      <c r="A10245">
        <v>58943</v>
      </c>
      <c r="B10245">
        <v>1</v>
      </c>
      <c r="C10245">
        <v>16</v>
      </c>
    </row>
    <row r="10246" spans="1:3" x14ac:dyDescent="0.3">
      <c r="A10246">
        <v>59127</v>
      </c>
      <c r="B10246">
        <v>1</v>
      </c>
      <c r="C10246">
        <v>8</v>
      </c>
    </row>
    <row r="10247" spans="1:3" x14ac:dyDescent="0.3">
      <c r="A10247">
        <v>59134</v>
      </c>
      <c r="B10247">
        <v>1</v>
      </c>
      <c r="C10247">
        <v>8</v>
      </c>
    </row>
    <row r="10248" spans="1:3" x14ac:dyDescent="0.3">
      <c r="A10248">
        <v>59238</v>
      </c>
      <c r="B10248">
        <v>1</v>
      </c>
      <c r="C10248">
        <v>8</v>
      </c>
    </row>
    <row r="10249" spans="1:3" x14ac:dyDescent="0.3">
      <c r="A10249">
        <v>59350</v>
      </c>
      <c r="B10249">
        <v>1</v>
      </c>
      <c r="C10249">
        <v>8</v>
      </c>
    </row>
    <row r="10250" spans="1:3" x14ac:dyDescent="0.3">
      <c r="A10250">
        <v>59382</v>
      </c>
      <c r="B10250">
        <v>1</v>
      </c>
      <c r="C10250">
        <v>8</v>
      </c>
    </row>
    <row r="10251" spans="1:3" x14ac:dyDescent="0.3">
      <c r="A10251">
        <v>59503</v>
      </c>
      <c r="B10251">
        <v>1</v>
      </c>
      <c r="C10251">
        <v>8</v>
      </c>
    </row>
    <row r="10252" spans="1:3" x14ac:dyDescent="0.3">
      <c r="A10252">
        <v>59634</v>
      </c>
      <c r="B10252">
        <v>1</v>
      </c>
      <c r="C10252">
        <v>8</v>
      </c>
    </row>
    <row r="10253" spans="1:3" x14ac:dyDescent="0.3">
      <c r="A10253">
        <v>59689</v>
      </c>
      <c r="B10253">
        <v>1</v>
      </c>
      <c r="C10253">
        <v>8</v>
      </c>
    </row>
    <row r="10254" spans="1:3" x14ac:dyDescent="0.3">
      <c r="A10254">
        <v>59699</v>
      </c>
      <c r="B10254">
        <v>1</v>
      </c>
      <c r="C10254">
        <v>8</v>
      </c>
    </row>
    <row r="10255" spans="1:3" x14ac:dyDescent="0.3">
      <c r="A10255">
        <v>59700</v>
      </c>
      <c r="B10255">
        <v>1</v>
      </c>
      <c r="C10255">
        <v>8</v>
      </c>
    </row>
    <row r="10256" spans="1:3" x14ac:dyDescent="0.3">
      <c r="A10256">
        <v>59710</v>
      </c>
      <c r="B10256">
        <v>1</v>
      </c>
      <c r="C10256">
        <v>8</v>
      </c>
    </row>
    <row r="10257" spans="1:3" x14ac:dyDescent="0.3">
      <c r="A10257">
        <v>59711</v>
      </c>
      <c r="B10257">
        <v>1</v>
      </c>
      <c r="C10257">
        <v>8</v>
      </c>
    </row>
    <row r="10258" spans="1:3" x14ac:dyDescent="0.3">
      <c r="A10258">
        <v>59730</v>
      </c>
      <c r="B10258">
        <v>1</v>
      </c>
      <c r="C10258">
        <v>8</v>
      </c>
    </row>
    <row r="10259" spans="1:3" x14ac:dyDescent="0.3">
      <c r="A10259">
        <v>59822</v>
      </c>
      <c r="B10259">
        <v>1</v>
      </c>
      <c r="C10259">
        <v>8</v>
      </c>
    </row>
    <row r="10260" spans="1:3" x14ac:dyDescent="0.3">
      <c r="A10260">
        <v>60108</v>
      </c>
      <c r="B10260">
        <v>1</v>
      </c>
      <c r="C10260">
        <v>8</v>
      </c>
    </row>
    <row r="10261" spans="1:3" x14ac:dyDescent="0.3">
      <c r="A10261">
        <v>60184</v>
      </c>
      <c r="B10261">
        <v>1</v>
      </c>
      <c r="C10261">
        <v>8</v>
      </c>
    </row>
    <row r="10262" spans="1:3" x14ac:dyDescent="0.3">
      <c r="A10262">
        <v>60187</v>
      </c>
      <c r="B10262">
        <v>1</v>
      </c>
      <c r="C10262">
        <v>8</v>
      </c>
    </row>
    <row r="10263" spans="1:3" x14ac:dyDescent="0.3">
      <c r="A10263">
        <v>60259</v>
      </c>
      <c r="B10263">
        <v>1</v>
      </c>
      <c r="C10263">
        <v>8</v>
      </c>
    </row>
    <row r="10264" spans="1:3" x14ac:dyDescent="0.3">
      <c r="A10264">
        <v>60300</v>
      </c>
      <c r="B10264">
        <v>1</v>
      </c>
      <c r="C10264">
        <v>8</v>
      </c>
    </row>
    <row r="10265" spans="1:3" x14ac:dyDescent="0.3">
      <c r="A10265">
        <v>60322</v>
      </c>
      <c r="B10265">
        <v>1</v>
      </c>
      <c r="C10265">
        <v>8</v>
      </c>
    </row>
    <row r="10266" spans="1:3" x14ac:dyDescent="0.3">
      <c r="A10266">
        <v>60323</v>
      </c>
      <c r="B10266">
        <v>1</v>
      </c>
      <c r="C10266">
        <v>16</v>
      </c>
    </row>
    <row r="10267" spans="1:3" x14ac:dyDescent="0.3">
      <c r="A10267">
        <v>60335</v>
      </c>
      <c r="B10267">
        <v>1</v>
      </c>
      <c r="C10267">
        <v>8</v>
      </c>
    </row>
    <row r="10268" spans="1:3" x14ac:dyDescent="0.3">
      <c r="A10268">
        <v>60469</v>
      </c>
      <c r="B10268">
        <v>1</v>
      </c>
      <c r="C10268">
        <v>16</v>
      </c>
    </row>
    <row r="10269" spans="1:3" x14ac:dyDescent="0.3">
      <c r="A10269">
        <v>60480</v>
      </c>
      <c r="B10269">
        <v>1</v>
      </c>
      <c r="C10269">
        <v>8</v>
      </c>
    </row>
    <row r="10270" spans="1:3" x14ac:dyDescent="0.3">
      <c r="A10270">
        <v>60540</v>
      </c>
      <c r="B10270">
        <v>1</v>
      </c>
      <c r="C10270">
        <v>8</v>
      </c>
    </row>
    <row r="10271" spans="1:3" x14ac:dyDescent="0.3">
      <c r="A10271">
        <v>60569</v>
      </c>
      <c r="B10271">
        <v>1</v>
      </c>
      <c r="C10271">
        <v>8</v>
      </c>
    </row>
    <row r="10272" spans="1:3" x14ac:dyDescent="0.3">
      <c r="A10272">
        <v>60654</v>
      </c>
      <c r="B10272">
        <v>1</v>
      </c>
      <c r="C10272">
        <v>8</v>
      </c>
    </row>
    <row r="10273" spans="1:3" x14ac:dyDescent="0.3">
      <c r="A10273">
        <v>60709</v>
      </c>
      <c r="B10273">
        <v>1</v>
      </c>
      <c r="C10273">
        <v>16</v>
      </c>
    </row>
    <row r="10274" spans="1:3" x14ac:dyDescent="0.3">
      <c r="A10274">
        <v>60727</v>
      </c>
      <c r="B10274">
        <v>1</v>
      </c>
      <c r="C10274">
        <v>8</v>
      </c>
    </row>
    <row r="10275" spans="1:3" x14ac:dyDescent="0.3">
      <c r="A10275">
        <v>60827</v>
      </c>
      <c r="B10275">
        <v>1</v>
      </c>
      <c r="C10275">
        <v>16</v>
      </c>
    </row>
    <row r="10276" spans="1:3" x14ac:dyDescent="0.3">
      <c r="A10276">
        <v>60980</v>
      </c>
      <c r="B10276">
        <v>1</v>
      </c>
      <c r="C10276">
        <v>8</v>
      </c>
    </row>
    <row r="10277" spans="1:3" x14ac:dyDescent="0.3">
      <c r="A10277">
        <v>61214</v>
      </c>
      <c r="B10277">
        <v>1</v>
      </c>
      <c r="C10277">
        <v>8</v>
      </c>
    </row>
    <row r="10278" spans="1:3" x14ac:dyDescent="0.3">
      <c r="A10278">
        <v>61240</v>
      </c>
      <c r="B10278">
        <v>1</v>
      </c>
      <c r="C10278">
        <v>8</v>
      </c>
    </row>
    <row r="10279" spans="1:3" x14ac:dyDescent="0.3">
      <c r="A10279">
        <v>61266</v>
      </c>
      <c r="B10279">
        <v>1</v>
      </c>
      <c r="C10279">
        <v>16</v>
      </c>
    </row>
    <row r="10280" spans="1:3" x14ac:dyDescent="0.3">
      <c r="A10280">
        <v>61511</v>
      </c>
      <c r="B10280">
        <v>1</v>
      </c>
      <c r="C10280">
        <v>8</v>
      </c>
    </row>
    <row r="10281" spans="1:3" x14ac:dyDescent="0.3">
      <c r="A10281">
        <v>61595</v>
      </c>
      <c r="B10281">
        <v>1</v>
      </c>
      <c r="C10281">
        <v>8</v>
      </c>
    </row>
    <row r="10282" spans="1:3" x14ac:dyDescent="0.3">
      <c r="A10282">
        <v>61597</v>
      </c>
      <c r="B10282">
        <v>1</v>
      </c>
      <c r="C10282">
        <v>8</v>
      </c>
    </row>
    <row r="10283" spans="1:3" x14ac:dyDescent="0.3">
      <c r="A10283">
        <v>61793</v>
      </c>
      <c r="B10283">
        <v>1</v>
      </c>
      <c r="C10283">
        <v>8</v>
      </c>
    </row>
    <row r="10284" spans="1:3" x14ac:dyDescent="0.3">
      <c r="A10284">
        <v>61807</v>
      </c>
      <c r="B10284">
        <v>1</v>
      </c>
      <c r="C10284">
        <v>8</v>
      </c>
    </row>
    <row r="10285" spans="1:3" x14ac:dyDescent="0.3">
      <c r="A10285">
        <v>61829</v>
      </c>
      <c r="B10285">
        <v>1</v>
      </c>
      <c r="C10285">
        <v>16</v>
      </c>
    </row>
    <row r="10286" spans="1:3" x14ac:dyDescent="0.3">
      <c r="A10286">
        <v>61899</v>
      </c>
      <c r="B10286">
        <v>1</v>
      </c>
      <c r="C10286">
        <v>8</v>
      </c>
    </row>
    <row r="10287" spans="1:3" x14ac:dyDescent="0.3">
      <c r="A10287">
        <v>61952</v>
      </c>
      <c r="B10287">
        <v>1</v>
      </c>
      <c r="C10287">
        <v>8</v>
      </c>
    </row>
    <row r="10288" spans="1:3" x14ac:dyDescent="0.3">
      <c r="A10288">
        <v>62042</v>
      </c>
      <c r="B10288">
        <v>1</v>
      </c>
      <c r="C10288">
        <v>8</v>
      </c>
    </row>
    <row r="10289" spans="1:3" x14ac:dyDescent="0.3">
      <c r="A10289">
        <v>62120</v>
      </c>
      <c r="B10289">
        <v>1</v>
      </c>
      <c r="C10289">
        <v>8</v>
      </c>
    </row>
    <row r="10290" spans="1:3" x14ac:dyDescent="0.3">
      <c r="A10290">
        <v>62187</v>
      </c>
      <c r="B10290">
        <v>1</v>
      </c>
      <c r="C10290">
        <v>8</v>
      </c>
    </row>
    <row r="10291" spans="1:3" x14ac:dyDescent="0.3">
      <c r="A10291">
        <v>62297</v>
      </c>
      <c r="B10291">
        <v>1</v>
      </c>
      <c r="C10291">
        <v>8</v>
      </c>
    </row>
    <row r="10292" spans="1:3" x14ac:dyDescent="0.3">
      <c r="A10292">
        <v>62450</v>
      </c>
      <c r="B10292">
        <v>1</v>
      </c>
      <c r="C10292">
        <v>8</v>
      </c>
    </row>
    <row r="10293" spans="1:3" x14ac:dyDescent="0.3">
      <c r="A10293">
        <v>62746</v>
      </c>
      <c r="B10293">
        <v>1</v>
      </c>
      <c r="C10293">
        <v>8</v>
      </c>
    </row>
    <row r="10294" spans="1:3" x14ac:dyDescent="0.3">
      <c r="A10294">
        <v>62757</v>
      </c>
      <c r="B10294">
        <v>1</v>
      </c>
      <c r="C10294">
        <v>16</v>
      </c>
    </row>
    <row r="10295" spans="1:3" x14ac:dyDescent="0.3">
      <c r="A10295">
        <v>62787</v>
      </c>
      <c r="B10295">
        <v>2</v>
      </c>
      <c r="C10295">
        <v>16</v>
      </c>
    </row>
    <row r="10296" spans="1:3" x14ac:dyDescent="0.3">
      <c r="A10296">
        <v>62787</v>
      </c>
      <c r="B10296">
        <v>2</v>
      </c>
      <c r="C10296">
        <v>16</v>
      </c>
    </row>
    <row r="10297" spans="1:3" x14ac:dyDescent="0.3">
      <c r="A10297">
        <v>62841</v>
      </c>
      <c r="B10297">
        <v>1</v>
      </c>
      <c r="C10297">
        <v>8</v>
      </c>
    </row>
    <row r="10298" spans="1:3" x14ac:dyDescent="0.3">
      <c r="A10298">
        <v>62878</v>
      </c>
      <c r="B10298">
        <v>1</v>
      </c>
      <c r="C10298">
        <v>8</v>
      </c>
    </row>
    <row r="10299" spans="1:3" x14ac:dyDescent="0.3">
      <c r="A10299">
        <v>62893</v>
      </c>
      <c r="B10299">
        <v>1</v>
      </c>
      <c r="C10299">
        <v>8</v>
      </c>
    </row>
    <row r="10300" spans="1:3" x14ac:dyDescent="0.3">
      <c r="A10300">
        <v>62895</v>
      </c>
      <c r="B10300">
        <v>1</v>
      </c>
      <c r="C10300">
        <v>8</v>
      </c>
    </row>
    <row r="10301" spans="1:3" x14ac:dyDescent="0.3">
      <c r="A10301">
        <v>63015</v>
      </c>
      <c r="B10301">
        <v>1</v>
      </c>
      <c r="C10301">
        <v>8</v>
      </c>
    </row>
    <row r="10302" spans="1:3" x14ac:dyDescent="0.3">
      <c r="A10302">
        <v>63103</v>
      </c>
      <c r="B10302">
        <v>1</v>
      </c>
      <c r="C10302">
        <v>8</v>
      </c>
    </row>
    <row r="10303" spans="1:3" x14ac:dyDescent="0.3">
      <c r="A10303">
        <v>63139</v>
      </c>
      <c r="B10303">
        <v>1</v>
      </c>
      <c r="C10303">
        <v>8</v>
      </c>
    </row>
    <row r="10304" spans="1:3" x14ac:dyDescent="0.3">
      <c r="A10304">
        <v>63168</v>
      </c>
      <c r="B10304">
        <v>1</v>
      </c>
      <c r="C10304">
        <v>8</v>
      </c>
    </row>
    <row r="10305" spans="1:3" x14ac:dyDescent="0.3">
      <c r="A10305">
        <v>63357</v>
      </c>
      <c r="B10305">
        <v>2</v>
      </c>
      <c r="C10305">
        <v>8</v>
      </c>
    </row>
    <row r="10306" spans="1:3" x14ac:dyDescent="0.3">
      <c r="A10306">
        <v>63357</v>
      </c>
      <c r="B10306">
        <v>2</v>
      </c>
      <c r="C10306">
        <v>8</v>
      </c>
    </row>
    <row r="10307" spans="1:3" x14ac:dyDescent="0.3">
      <c r="A10307">
        <v>63747</v>
      </c>
      <c r="B10307">
        <v>1</v>
      </c>
      <c r="C10307">
        <v>16</v>
      </c>
    </row>
    <row r="10308" spans="1:3" x14ac:dyDescent="0.3">
      <c r="A10308">
        <v>63758</v>
      </c>
      <c r="B10308">
        <v>1</v>
      </c>
      <c r="C10308">
        <v>8</v>
      </c>
    </row>
    <row r="10309" spans="1:3" x14ac:dyDescent="0.3">
      <c r="A10309">
        <v>63941</v>
      </c>
      <c r="B10309">
        <v>1</v>
      </c>
      <c r="C10309">
        <v>8</v>
      </c>
    </row>
    <row r="10310" spans="1:3" x14ac:dyDescent="0.3">
      <c r="A10310">
        <v>63944</v>
      </c>
      <c r="B10310">
        <v>1</v>
      </c>
      <c r="C10310">
        <v>8</v>
      </c>
    </row>
    <row r="10311" spans="1:3" x14ac:dyDescent="0.3">
      <c r="A10311">
        <v>64302</v>
      </c>
      <c r="B10311">
        <v>1</v>
      </c>
      <c r="C10311">
        <v>8</v>
      </c>
    </row>
    <row r="10312" spans="1:3" x14ac:dyDescent="0.3">
      <c r="A10312">
        <v>64305</v>
      </c>
      <c r="B10312">
        <v>1</v>
      </c>
      <c r="C10312">
        <v>8</v>
      </c>
    </row>
    <row r="10313" spans="1:3" x14ac:dyDescent="0.3">
      <c r="A10313">
        <v>64435</v>
      </c>
      <c r="B10313">
        <v>1</v>
      </c>
      <c r="C10313">
        <v>16</v>
      </c>
    </row>
    <row r="10314" spans="1:3" x14ac:dyDescent="0.3">
      <c r="A10314">
        <v>64437</v>
      </c>
      <c r="B10314">
        <v>1</v>
      </c>
      <c r="C10314">
        <v>8</v>
      </c>
    </row>
    <row r="10315" spans="1:3" x14ac:dyDescent="0.3">
      <c r="A10315">
        <v>64460</v>
      </c>
      <c r="B10315">
        <v>1</v>
      </c>
      <c r="C10315">
        <v>8</v>
      </c>
    </row>
    <row r="10316" spans="1:3" x14ac:dyDescent="0.3">
      <c r="A10316">
        <v>64751</v>
      </c>
      <c r="B10316">
        <v>1</v>
      </c>
      <c r="C10316">
        <v>8</v>
      </c>
    </row>
    <row r="10317" spans="1:3" x14ac:dyDescent="0.3">
      <c r="A10317">
        <v>64759</v>
      </c>
      <c r="B10317">
        <v>1</v>
      </c>
      <c r="C10317">
        <v>8</v>
      </c>
    </row>
    <row r="10318" spans="1:3" x14ac:dyDescent="0.3">
      <c r="A10318">
        <v>64796</v>
      </c>
      <c r="B10318">
        <v>1</v>
      </c>
      <c r="C10318">
        <v>8</v>
      </c>
    </row>
    <row r="10319" spans="1:3" x14ac:dyDescent="0.3">
      <c r="A10319">
        <v>64808</v>
      </c>
      <c r="B10319">
        <v>1</v>
      </c>
      <c r="C10319">
        <v>8</v>
      </c>
    </row>
    <row r="10320" spans="1:3" x14ac:dyDescent="0.3">
      <c r="A10320">
        <v>65219</v>
      </c>
      <c r="B10320">
        <v>1</v>
      </c>
      <c r="C10320">
        <v>8</v>
      </c>
    </row>
    <row r="10321" spans="1:3" x14ac:dyDescent="0.3">
      <c r="A10321">
        <v>65249</v>
      </c>
      <c r="B10321">
        <v>1</v>
      </c>
      <c r="C10321">
        <v>8</v>
      </c>
    </row>
    <row r="10322" spans="1:3" x14ac:dyDescent="0.3">
      <c r="A10322">
        <v>65251</v>
      </c>
      <c r="B10322">
        <v>1</v>
      </c>
      <c r="C10322">
        <v>8</v>
      </c>
    </row>
    <row r="10323" spans="1:3" x14ac:dyDescent="0.3">
      <c r="A10323">
        <v>65474</v>
      </c>
      <c r="B10323">
        <v>1</v>
      </c>
      <c r="C10323">
        <v>8</v>
      </c>
    </row>
    <row r="10324" spans="1:3" x14ac:dyDescent="0.3">
      <c r="A10324">
        <v>65543</v>
      </c>
      <c r="B10324">
        <v>1</v>
      </c>
      <c r="C10324">
        <v>8</v>
      </c>
    </row>
    <row r="10325" spans="1:3" x14ac:dyDescent="0.3">
      <c r="A10325">
        <v>65569</v>
      </c>
      <c r="B10325">
        <v>1</v>
      </c>
      <c r="C10325">
        <v>8</v>
      </c>
    </row>
    <row r="10326" spans="1:3" x14ac:dyDescent="0.3">
      <c r="A10326">
        <v>65610</v>
      </c>
      <c r="B10326">
        <v>1</v>
      </c>
      <c r="C10326">
        <v>8</v>
      </c>
    </row>
    <row r="10327" spans="1:3" x14ac:dyDescent="0.3">
      <c r="A10327">
        <v>65634</v>
      </c>
      <c r="B10327">
        <v>1</v>
      </c>
      <c r="C10327">
        <v>8</v>
      </c>
    </row>
    <row r="10328" spans="1:3" x14ac:dyDescent="0.3">
      <c r="A10328">
        <v>65674</v>
      </c>
      <c r="B10328">
        <v>1</v>
      </c>
      <c r="C10328">
        <v>16</v>
      </c>
    </row>
    <row r="10329" spans="1:3" x14ac:dyDescent="0.3">
      <c r="A10329">
        <v>65741</v>
      </c>
      <c r="B10329">
        <v>1</v>
      </c>
      <c r="C10329">
        <v>8</v>
      </c>
    </row>
    <row r="10330" spans="1:3" x14ac:dyDescent="0.3">
      <c r="A10330">
        <v>65742</v>
      </c>
      <c r="B10330">
        <v>1</v>
      </c>
      <c r="C10330">
        <v>16</v>
      </c>
    </row>
    <row r="10331" spans="1:3" x14ac:dyDescent="0.3">
      <c r="A10331">
        <v>65880</v>
      </c>
      <c r="B10331">
        <v>1</v>
      </c>
      <c r="C10331">
        <v>16</v>
      </c>
    </row>
    <row r="10332" spans="1:3" x14ac:dyDescent="0.3">
      <c r="A10332">
        <v>66014</v>
      </c>
      <c r="B10332">
        <v>1</v>
      </c>
      <c r="C10332">
        <v>8</v>
      </c>
    </row>
    <row r="10333" spans="1:3" x14ac:dyDescent="0.3">
      <c r="A10333">
        <v>66038</v>
      </c>
      <c r="B10333">
        <v>1</v>
      </c>
      <c r="C10333">
        <v>8</v>
      </c>
    </row>
    <row r="10334" spans="1:3" x14ac:dyDescent="0.3">
      <c r="A10334">
        <v>66083</v>
      </c>
      <c r="B10334">
        <v>1</v>
      </c>
      <c r="C10334">
        <v>8</v>
      </c>
    </row>
    <row r="10335" spans="1:3" x14ac:dyDescent="0.3">
      <c r="A10335">
        <v>66214</v>
      </c>
      <c r="B10335">
        <v>1</v>
      </c>
      <c r="C10335">
        <v>8</v>
      </c>
    </row>
    <row r="10336" spans="1:3" x14ac:dyDescent="0.3">
      <c r="A10336">
        <v>66239</v>
      </c>
      <c r="B10336">
        <v>1</v>
      </c>
      <c r="C10336">
        <v>8</v>
      </c>
    </row>
    <row r="10337" spans="1:3" x14ac:dyDescent="0.3">
      <c r="A10337">
        <v>66283</v>
      </c>
      <c r="B10337">
        <v>1</v>
      </c>
      <c r="C10337">
        <v>8</v>
      </c>
    </row>
    <row r="10338" spans="1:3" x14ac:dyDescent="0.3">
      <c r="A10338">
        <v>66289</v>
      </c>
      <c r="B10338">
        <v>1</v>
      </c>
      <c r="C10338">
        <v>8</v>
      </c>
    </row>
    <row r="10339" spans="1:3" x14ac:dyDescent="0.3">
      <c r="A10339">
        <v>66328</v>
      </c>
      <c r="B10339">
        <v>1</v>
      </c>
      <c r="C10339">
        <v>8</v>
      </c>
    </row>
    <row r="10340" spans="1:3" x14ac:dyDescent="0.3">
      <c r="A10340">
        <v>66398</v>
      </c>
      <c r="B10340">
        <v>1</v>
      </c>
      <c r="C10340">
        <v>8</v>
      </c>
    </row>
    <row r="10341" spans="1:3" x14ac:dyDescent="0.3">
      <c r="A10341">
        <v>66411</v>
      </c>
      <c r="B10341">
        <v>1</v>
      </c>
      <c r="C10341">
        <v>8</v>
      </c>
    </row>
    <row r="10342" spans="1:3" x14ac:dyDescent="0.3">
      <c r="A10342">
        <v>66448</v>
      </c>
      <c r="B10342">
        <v>1</v>
      </c>
      <c r="C10342">
        <v>8</v>
      </c>
    </row>
    <row r="10343" spans="1:3" x14ac:dyDescent="0.3">
      <c r="A10343">
        <v>66661</v>
      </c>
      <c r="B10343">
        <v>1</v>
      </c>
      <c r="C10343">
        <v>8</v>
      </c>
    </row>
    <row r="10344" spans="1:3" x14ac:dyDescent="0.3">
      <c r="A10344">
        <v>66671</v>
      </c>
      <c r="B10344">
        <v>1</v>
      </c>
      <c r="C10344">
        <v>8</v>
      </c>
    </row>
    <row r="10345" spans="1:3" x14ac:dyDescent="0.3">
      <c r="A10345">
        <v>66804</v>
      </c>
      <c r="B10345">
        <v>1</v>
      </c>
      <c r="C10345">
        <v>8</v>
      </c>
    </row>
    <row r="10346" spans="1:3" x14ac:dyDescent="0.3">
      <c r="A10346">
        <v>66832</v>
      </c>
      <c r="B10346">
        <v>1</v>
      </c>
      <c r="C10346">
        <v>8</v>
      </c>
    </row>
    <row r="10347" spans="1:3" x14ac:dyDescent="0.3">
      <c r="A10347">
        <v>66877</v>
      </c>
      <c r="B10347">
        <v>1</v>
      </c>
      <c r="C10347">
        <v>8</v>
      </c>
    </row>
    <row r="10348" spans="1:3" x14ac:dyDescent="0.3">
      <c r="A10348">
        <v>66900</v>
      </c>
      <c r="B10348">
        <v>1</v>
      </c>
      <c r="C10348">
        <v>8</v>
      </c>
    </row>
    <row r="10349" spans="1:3" x14ac:dyDescent="0.3">
      <c r="A10349">
        <v>66917</v>
      </c>
      <c r="B10349">
        <v>1</v>
      </c>
      <c r="C10349">
        <v>8</v>
      </c>
    </row>
    <row r="10350" spans="1:3" x14ac:dyDescent="0.3">
      <c r="A10350">
        <v>66940</v>
      </c>
      <c r="B10350">
        <v>1</v>
      </c>
      <c r="C10350">
        <v>8</v>
      </c>
    </row>
    <row r="10351" spans="1:3" x14ac:dyDescent="0.3">
      <c r="A10351">
        <v>67209</v>
      </c>
      <c r="B10351">
        <v>1</v>
      </c>
      <c r="C10351">
        <v>8</v>
      </c>
    </row>
    <row r="10352" spans="1:3" x14ac:dyDescent="0.3">
      <c r="A10352">
        <v>67228</v>
      </c>
      <c r="B10352">
        <v>1</v>
      </c>
      <c r="C10352">
        <v>8</v>
      </c>
    </row>
    <row r="10353" spans="1:3" x14ac:dyDescent="0.3">
      <c r="A10353">
        <v>67294</v>
      </c>
      <c r="B10353">
        <v>1</v>
      </c>
      <c r="C10353">
        <v>8</v>
      </c>
    </row>
    <row r="10354" spans="1:3" x14ac:dyDescent="0.3">
      <c r="A10354">
        <v>67424</v>
      </c>
      <c r="B10354">
        <v>1</v>
      </c>
      <c r="C10354">
        <v>8</v>
      </c>
    </row>
    <row r="10355" spans="1:3" x14ac:dyDescent="0.3">
      <c r="A10355">
        <v>67525</v>
      </c>
      <c r="B10355">
        <v>1</v>
      </c>
      <c r="C10355">
        <v>8</v>
      </c>
    </row>
    <row r="10356" spans="1:3" x14ac:dyDescent="0.3">
      <c r="A10356">
        <v>67532</v>
      </c>
      <c r="B10356">
        <v>1</v>
      </c>
      <c r="C10356">
        <v>16</v>
      </c>
    </row>
    <row r="10357" spans="1:3" x14ac:dyDescent="0.3">
      <c r="A10357">
        <v>67576</v>
      </c>
      <c r="B10357">
        <v>1</v>
      </c>
      <c r="C10357">
        <v>16</v>
      </c>
    </row>
    <row r="10358" spans="1:3" x14ac:dyDescent="0.3">
      <c r="A10358">
        <v>67740</v>
      </c>
      <c r="B10358">
        <v>1</v>
      </c>
      <c r="C10358">
        <v>16</v>
      </c>
    </row>
    <row r="10359" spans="1:3" x14ac:dyDescent="0.3">
      <c r="A10359">
        <v>68350</v>
      </c>
      <c r="B10359">
        <v>1</v>
      </c>
      <c r="C10359">
        <v>8</v>
      </c>
    </row>
    <row r="10360" spans="1:3" x14ac:dyDescent="0.3">
      <c r="A10360">
        <v>68409</v>
      </c>
      <c r="B10360">
        <v>1</v>
      </c>
      <c r="C10360">
        <v>8</v>
      </c>
    </row>
    <row r="10361" spans="1:3" x14ac:dyDescent="0.3">
      <c r="A10361">
        <v>68561</v>
      </c>
      <c r="B10361">
        <v>1</v>
      </c>
      <c r="C10361">
        <v>8</v>
      </c>
    </row>
    <row r="10362" spans="1:3" x14ac:dyDescent="0.3">
      <c r="A10362">
        <v>68661</v>
      </c>
      <c r="B10362">
        <v>1</v>
      </c>
      <c r="C10362">
        <v>8</v>
      </c>
    </row>
    <row r="10363" spans="1:3" x14ac:dyDescent="0.3">
      <c r="A10363">
        <v>68714</v>
      </c>
      <c r="B10363">
        <v>1</v>
      </c>
      <c r="C10363">
        <v>8</v>
      </c>
    </row>
    <row r="10364" spans="1:3" x14ac:dyDescent="0.3">
      <c r="A10364">
        <v>68731</v>
      </c>
      <c r="B10364">
        <v>1</v>
      </c>
      <c r="C10364">
        <v>8</v>
      </c>
    </row>
    <row r="10365" spans="1:3" x14ac:dyDescent="0.3">
      <c r="A10365">
        <v>68808</v>
      </c>
      <c r="B10365">
        <v>1</v>
      </c>
      <c r="C10365">
        <v>8</v>
      </c>
    </row>
    <row r="10366" spans="1:3" x14ac:dyDescent="0.3">
      <c r="A10366">
        <v>68810</v>
      </c>
      <c r="B10366">
        <v>1</v>
      </c>
      <c r="C10366">
        <v>8</v>
      </c>
    </row>
    <row r="10367" spans="1:3" x14ac:dyDescent="0.3">
      <c r="A10367">
        <v>68932</v>
      </c>
      <c r="B10367">
        <v>1</v>
      </c>
      <c r="C10367">
        <v>8</v>
      </c>
    </row>
    <row r="10368" spans="1:3" x14ac:dyDescent="0.3">
      <c r="A10368">
        <v>69024</v>
      </c>
      <c r="B10368">
        <v>1</v>
      </c>
      <c r="C10368">
        <v>8</v>
      </c>
    </row>
    <row r="10369" spans="1:3" x14ac:dyDescent="0.3">
      <c r="A10369">
        <v>69048</v>
      </c>
      <c r="B10369">
        <v>1</v>
      </c>
      <c r="C10369">
        <v>8</v>
      </c>
    </row>
    <row r="10370" spans="1:3" x14ac:dyDescent="0.3">
      <c r="A10370">
        <v>69064</v>
      </c>
      <c r="B10370">
        <v>1</v>
      </c>
      <c r="C10370">
        <v>8</v>
      </c>
    </row>
    <row r="10371" spans="1:3" x14ac:dyDescent="0.3">
      <c r="A10371">
        <v>69560</v>
      </c>
      <c r="B10371">
        <v>1</v>
      </c>
      <c r="C10371">
        <v>8</v>
      </c>
    </row>
    <row r="10372" spans="1:3" x14ac:dyDescent="0.3">
      <c r="A10372">
        <v>69607</v>
      </c>
      <c r="B10372">
        <v>1</v>
      </c>
      <c r="C10372">
        <v>8</v>
      </c>
    </row>
    <row r="10373" spans="1:3" x14ac:dyDescent="0.3">
      <c r="A10373">
        <v>69881</v>
      </c>
      <c r="B10373">
        <v>1</v>
      </c>
      <c r="C10373">
        <v>8</v>
      </c>
    </row>
    <row r="10374" spans="1:3" x14ac:dyDescent="0.3">
      <c r="A10374">
        <v>69895</v>
      </c>
      <c r="B10374">
        <v>1</v>
      </c>
      <c r="C10374">
        <v>8</v>
      </c>
    </row>
    <row r="10375" spans="1:3" x14ac:dyDescent="0.3">
      <c r="A10375">
        <v>70051</v>
      </c>
      <c r="B10375">
        <v>1</v>
      </c>
      <c r="C10375">
        <v>8</v>
      </c>
    </row>
    <row r="10376" spans="1:3" x14ac:dyDescent="0.3">
      <c r="A10376">
        <v>70090</v>
      </c>
      <c r="B10376">
        <v>1</v>
      </c>
      <c r="C10376">
        <v>8</v>
      </c>
    </row>
    <row r="10377" spans="1:3" x14ac:dyDescent="0.3">
      <c r="A10377">
        <v>70157</v>
      </c>
      <c r="B10377">
        <v>1</v>
      </c>
      <c r="C10377">
        <v>8</v>
      </c>
    </row>
    <row r="10378" spans="1:3" x14ac:dyDescent="0.3">
      <c r="A10378">
        <v>70178</v>
      </c>
      <c r="B10378">
        <v>1</v>
      </c>
      <c r="C10378">
        <v>8</v>
      </c>
    </row>
    <row r="10379" spans="1:3" x14ac:dyDescent="0.3">
      <c r="A10379">
        <v>70311</v>
      </c>
      <c r="B10379">
        <v>1</v>
      </c>
      <c r="C10379">
        <v>16</v>
      </c>
    </row>
    <row r="10380" spans="1:3" x14ac:dyDescent="0.3">
      <c r="A10380">
        <v>70317</v>
      </c>
      <c r="B10380">
        <v>1</v>
      </c>
      <c r="C10380">
        <v>8</v>
      </c>
    </row>
    <row r="10381" spans="1:3" x14ac:dyDescent="0.3">
      <c r="A10381">
        <v>70445</v>
      </c>
      <c r="B10381">
        <v>1</v>
      </c>
      <c r="C10381">
        <v>16</v>
      </c>
    </row>
    <row r="10382" spans="1:3" x14ac:dyDescent="0.3">
      <c r="A10382">
        <v>70483</v>
      </c>
      <c r="B10382">
        <v>1</v>
      </c>
      <c r="C10382">
        <v>8</v>
      </c>
    </row>
    <row r="10383" spans="1:3" x14ac:dyDescent="0.3">
      <c r="A10383">
        <v>70546</v>
      </c>
      <c r="B10383">
        <v>1</v>
      </c>
      <c r="C10383">
        <v>16</v>
      </c>
    </row>
    <row r="10384" spans="1:3" x14ac:dyDescent="0.3">
      <c r="A10384">
        <v>70609</v>
      </c>
      <c r="B10384">
        <v>1</v>
      </c>
      <c r="C10384">
        <v>8</v>
      </c>
    </row>
    <row r="10385" spans="1:3" x14ac:dyDescent="0.3">
      <c r="A10385">
        <v>70676</v>
      </c>
      <c r="B10385">
        <v>1</v>
      </c>
      <c r="C10385">
        <v>16</v>
      </c>
    </row>
    <row r="10386" spans="1:3" x14ac:dyDescent="0.3">
      <c r="A10386">
        <v>70723</v>
      </c>
      <c r="B10386">
        <v>1</v>
      </c>
      <c r="C10386">
        <v>8</v>
      </c>
    </row>
    <row r="10387" spans="1:3" x14ac:dyDescent="0.3">
      <c r="A10387">
        <v>70737</v>
      </c>
      <c r="B10387">
        <v>1</v>
      </c>
      <c r="C10387">
        <v>8</v>
      </c>
    </row>
    <row r="10388" spans="1:3" x14ac:dyDescent="0.3">
      <c r="A10388">
        <v>70738</v>
      </c>
      <c r="B10388">
        <v>2</v>
      </c>
      <c r="C10388">
        <v>16</v>
      </c>
    </row>
    <row r="10389" spans="1:3" x14ac:dyDescent="0.3">
      <c r="A10389">
        <v>70738</v>
      </c>
      <c r="B10389">
        <v>2</v>
      </c>
      <c r="C10389">
        <v>16</v>
      </c>
    </row>
    <row r="10390" spans="1:3" x14ac:dyDescent="0.3">
      <c r="A10390">
        <v>70774</v>
      </c>
      <c r="B10390">
        <v>1</v>
      </c>
      <c r="C10390">
        <v>8</v>
      </c>
    </row>
    <row r="10391" spans="1:3" x14ac:dyDescent="0.3">
      <c r="A10391">
        <v>70867</v>
      </c>
      <c r="B10391">
        <v>1</v>
      </c>
      <c r="C10391">
        <v>8</v>
      </c>
    </row>
    <row r="10392" spans="1:3" x14ac:dyDescent="0.3">
      <c r="A10392">
        <v>70910</v>
      </c>
      <c r="B10392">
        <v>1</v>
      </c>
      <c r="C10392">
        <v>8</v>
      </c>
    </row>
    <row r="10393" spans="1:3" x14ac:dyDescent="0.3">
      <c r="A10393">
        <v>70921</v>
      </c>
      <c r="B10393">
        <v>1</v>
      </c>
      <c r="C10393">
        <v>8</v>
      </c>
    </row>
    <row r="10394" spans="1:3" x14ac:dyDescent="0.3">
      <c r="A10394">
        <v>70996</v>
      </c>
      <c r="B10394">
        <v>1</v>
      </c>
      <c r="C10394">
        <v>8</v>
      </c>
    </row>
    <row r="10395" spans="1:3" x14ac:dyDescent="0.3">
      <c r="A10395">
        <v>71203</v>
      </c>
      <c r="B10395">
        <v>1</v>
      </c>
      <c r="C10395">
        <v>8</v>
      </c>
    </row>
    <row r="10396" spans="1:3" x14ac:dyDescent="0.3">
      <c r="A10396">
        <v>71304</v>
      </c>
      <c r="B10396">
        <v>1</v>
      </c>
      <c r="C10396">
        <v>8</v>
      </c>
    </row>
    <row r="10397" spans="1:3" x14ac:dyDescent="0.3">
      <c r="A10397">
        <v>71358</v>
      </c>
      <c r="B10397">
        <v>1</v>
      </c>
      <c r="C10397">
        <v>8</v>
      </c>
    </row>
    <row r="10398" spans="1:3" x14ac:dyDescent="0.3">
      <c r="A10398">
        <v>71593</v>
      </c>
      <c r="B10398">
        <v>1</v>
      </c>
      <c r="C10398">
        <v>8</v>
      </c>
    </row>
    <row r="10399" spans="1:3" x14ac:dyDescent="0.3">
      <c r="A10399">
        <v>71871</v>
      </c>
      <c r="B10399">
        <v>1</v>
      </c>
      <c r="C10399">
        <v>8</v>
      </c>
    </row>
    <row r="10400" spans="1:3" x14ac:dyDescent="0.3">
      <c r="A10400">
        <v>72093</v>
      </c>
      <c r="B10400">
        <v>1</v>
      </c>
      <c r="C10400">
        <v>8</v>
      </c>
    </row>
    <row r="10401" spans="1:3" x14ac:dyDescent="0.3">
      <c r="A10401">
        <v>72149</v>
      </c>
      <c r="B10401">
        <v>1</v>
      </c>
      <c r="C10401">
        <v>8</v>
      </c>
    </row>
    <row r="10402" spans="1:3" x14ac:dyDescent="0.3">
      <c r="A10402" s="26">
        <v>72277</v>
      </c>
      <c r="B10402" s="26">
        <v>1</v>
      </c>
      <c r="C10402" s="26">
        <v>8</v>
      </c>
    </row>
    <row r="10403" spans="1:3" x14ac:dyDescent="0.3">
      <c r="A10403">
        <v>72589</v>
      </c>
      <c r="B10403">
        <v>1</v>
      </c>
      <c r="C10403">
        <v>8</v>
      </c>
    </row>
    <row r="10404" spans="1:3" x14ac:dyDescent="0.3">
      <c r="A10404">
        <v>72683</v>
      </c>
      <c r="B10404">
        <v>1</v>
      </c>
      <c r="C10404">
        <v>8</v>
      </c>
    </row>
    <row r="10405" spans="1:3" x14ac:dyDescent="0.3">
      <c r="A10405">
        <v>72696</v>
      </c>
      <c r="B10405">
        <v>1</v>
      </c>
      <c r="C10405">
        <v>8</v>
      </c>
    </row>
    <row r="10406" spans="1:3" x14ac:dyDescent="0.3">
      <c r="A10406">
        <v>72699</v>
      </c>
      <c r="B10406">
        <v>1</v>
      </c>
      <c r="C10406">
        <v>8</v>
      </c>
    </row>
    <row r="10407" spans="1:3" x14ac:dyDescent="0.3">
      <c r="A10407">
        <v>72828</v>
      </c>
      <c r="B10407">
        <v>1</v>
      </c>
      <c r="C10407">
        <v>8</v>
      </c>
    </row>
    <row r="10408" spans="1:3" x14ac:dyDescent="0.3">
      <c r="A10408">
        <v>72868</v>
      </c>
      <c r="B10408">
        <v>1</v>
      </c>
      <c r="C10408">
        <v>8</v>
      </c>
    </row>
    <row r="10409" spans="1:3" x14ac:dyDescent="0.3">
      <c r="A10409">
        <v>72901</v>
      </c>
      <c r="B10409">
        <v>1</v>
      </c>
      <c r="C10409">
        <v>8</v>
      </c>
    </row>
    <row r="10410" spans="1:3" x14ac:dyDescent="0.3">
      <c r="A10410">
        <v>73071</v>
      </c>
      <c r="B10410">
        <v>1</v>
      </c>
      <c r="C10410">
        <v>8</v>
      </c>
    </row>
    <row r="10411" spans="1:3" x14ac:dyDescent="0.3">
      <c r="A10411">
        <v>73335</v>
      </c>
      <c r="B10411">
        <v>1</v>
      </c>
      <c r="C10411">
        <v>8</v>
      </c>
    </row>
    <row r="10412" spans="1:3" x14ac:dyDescent="0.3">
      <c r="A10412">
        <v>73383</v>
      </c>
      <c r="B10412">
        <v>1</v>
      </c>
      <c r="C10412">
        <v>8</v>
      </c>
    </row>
    <row r="10413" spans="1:3" x14ac:dyDescent="0.3">
      <c r="A10413">
        <v>73543</v>
      </c>
      <c r="B10413">
        <v>1</v>
      </c>
      <c r="C10413">
        <v>8</v>
      </c>
    </row>
    <row r="10414" spans="1:3" x14ac:dyDescent="0.3">
      <c r="A10414">
        <v>73546</v>
      </c>
      <c r="B10414">
        <v>1</v>
      </c>
      <c r="C10414">
        <v>8</v>
      </c>
    </row>
    <row r="10415" spans="1:3" x14ac:dyDescent="0.3">
      <c r="A10415">
        <v>73646</v>
      </c>
      <c r="B10415">
        <v>1</v>
      </c>
      <c r="C10415">
        <v>8</v>
      </c>
    </row>
    <row r="10416" spans="1:3" x14ac:dyDescent="0.3">
      <c r="A10416">
        <v>73753</v>
      </c>
      <c r="B10416">
        <v>1</v>
      </c>
      <c r="C10416">
        <v>8</v>
      </c>
    </row>
    <row r="10417" spans="1:3" x14ac:dyDescent="0.3">
      <c r="A10417">
        <v>73764</v>
      </c>
      <c r="B10417">
        <v>1</v>
      </c>
      <c r="C10417">
        <v>8</v>
      </c>
    </row>
    <row r="10418" spans="1:3" x14ac:dyDescent="0.3">
      <c r="A10418">
        <v>74049</v>
      </c>
      <c r="B10418">
        <v>1</v>
      </c>
      <c r="C10418">
        <v>8</v>
      </c>
    </row>
    <row r="10419" spans="1:3" x14ac:dyDescent="0.3">
      <c r="A10419">
        <v>74202</v>
      </c>
      <c r="B10419">
        <v>1</v>
      </c>
      <c r="C10419">
        <v>8</v>
      </c>
    </row>
    <row r="10420" spans="1:3" x14ac:dyDescent="0.3">
      <c r="A10420">
        <v>74366</v>
      </c>
      <c r="B10420">
        <v>1</v>
      </c>
      <c r="C10420">
        <v>8</v>
      </c>
    </row>
    <row r="10421" spans="1:3" x14ac:dyDescent="0.3">
      <c r="A10421">
        <v>74404</v>
      </c>
      <c r="B10421">
        <v>1</v>
      </c>
      <c r="C10421">
        <v>8</v>
      </c>
    </row>
    <row r="10422" spans="1:3" x14ac:dyDescent="0.3">
      <c r="A10422">
        <v>74408</v>
      </c>
      <c r="B10422">
        <v>1</v>
      </c>
      <c r="C10422">
        <v>8</v>
      </c>
    </row>
    <row r="10423" spans="1:3" x14ac:dyDescent="0.3">
      <c r="A10423">
        <v>74460</v>
      </c>
      <c r="B10423">
        <v>1</v>
      </c>
      <c r="C10423">
        <v>8</v>
      </c>
    </row>
    <row r="10424" spans="1:3" x14ac:dyDescent="0.3">
      <c r="A10424">
        <v>74551</v>
      </c>
      <c r="B10424">
        <v>1</v>
      </c>
      <c r="C10424">
        <v>8</v>
      </c>
    </row>
    <row r="10425" spans="1:3" x14ac:dyDescent="0.3">
      <c r="A10425">
        <v>74553</v>
      </c>
      <c r="B10425">
        <v>1</v>
      </c>
      <c r="C10425">
        <v>8</v>
      </c>
    </row>
    <row r="10426" spans="1:3" x14ac:dyDescent="0.3">
      <c r="A10426">
        <v>74571</v>
      </c>
      <c r="B10426">
        <v>1</v>
      </c>
      <c r="C10426">
        <v>8</v>
      </c>
    </row>
    <row r="10427" spans="1:3" x14ac:dyDescent="0.3">
      <c r="A10427">
        <v>74575</v>
      </c>
      <c r="B10427">
        <v>1</v>
      </c>
      <c r="C10427">
        <v>8</v>
      </c>
    </row>
    <row r="10428" spans="1:3" x14ac:dyDescent="0.3">
      <c r="A10428">
        <v>74599</v>
      </c>
      <c r="B10428">
        <v>1</v>
      </c>
      <c r="C10428">
        <v>8</v>
      </c>
    </row>
    <row r="10429" spans="1:3" x14ac:dyDescent="0.3">
      <c r="A10429">
        <v>74730</v>
      </c>
      <c r="B10429">
        <v>1</v>
      </c>
      <c r="C10429">
        <v>8</v>
      </c>
    </row>
    <row r="10430" spans="1:3" x14ac:dyDescent="0.3">
      <c r="A10430">
        <v>74749</v>
      </c>
      <c r="B10430">
        <v>1</v>
      </c>
      <c r="C10430">
        <v>8</v>
      </c>
    </row>
    <row r="10431" spans="1:3" x14ac:dyDescent="0.3">
      <c r="A10431">
        <v>74860</v>
      </c>
      <c r="B10431">
        <v>1</v>
      </c>
      <c r="C10431">
        <v>8</v>
      </c>
    </row>
    <row r="10432" spans="1:3" x14ac:dyDescent="0.3">
      <c r="A10432">
        <v>74982</v>
      </c>
      <c r="B10432">
        <v>1</v>
      </c>
      <c r="C10432">
        <v>8</v>
      </c>
    </row>
    <row r="10433" spans="1:3" x14ac:dyDescent="0.3">
      <c r="A10433">
        <v>75055</v>
      </c>
      <c r="B10433">
        <v>1</v>
      </c>
      <c r="C10433">
        <v>8</v>
      </c>
    </row>
    <row r="10434" spans="1:3" x14ac:dyDescent="0.3">
      <c r="A10434">
        <v>75056</v>
      </c>
      <c r="B10434">
        <v>1</v>
      </c>
      <c r="C10434">
        <v>8</v>
      </c>
    </row>
    <row r="10435" spans="1:3" x14ac:dyDescent="0.3">
      <c r="A10435">
        <v>75115</v>
      </c>
      <c r="B10435">
        <v>1</v>
      </c>
      <c r="C10435">
        <v>8</v>
      </c>
    </row>
    <row r="10436" spans="1:3" x14ac:dyDescent="0.3">
      <c r="A10436">
        <v>75119</v>
      </c>
      <c r="B10436">
        <v>1</v>
      </c>
      <c r="C10436">
        <v>8</v>
      </c>
    </row>
    <row r="10437" spans="1:3" x14ac:dyDescent="0.3">
      <c r="A10437">
        <v>75252</v>
      </c>
      <c r="B10437">
        <v>1</v>
      </c>
      <c r="C10437">
        <v>16</v>
      </c>
    </row>
    <row r="10438" spans="1:3" x14ac:dyDescent="0.3">
      <c r="A10438">
        <v>75255</v>
      </c>
      <c r="B10438">
        <v>1</v>
      </c>
      <c r="C10438">
        <v>8</v>
      </c>
    </row>
    <row r="10439" spans="1:3" x14ac:dyDescent="0.3">
      <c r="A10439">
        <v>75364</v>
      </c>
      <c r="B10439">
        <v>1</v>
      </c>
      <c r="C10439">
        <v>8</v>
      </c>
    </row>
    <row r="10440" spans="1:3" x14ac:dyDescent="0.3">
      <c r="A10440">
        <v>75402</v>
      </c>
      <c r="B10440">
        <v>1</v>
      </c>
      <c r="C10440">
        <v>8</v>
      </c>
    </row>
    <row r="10441" spans="1:3" x14ac:dyDescent="0.3">
      <c r="A10441">
        <v>75406</v>
      </c>
      <c r="B10441">
        <v>1</v>
      </c>
      <c r="C10441">
        <v>8</v>
      </c>
    </row>
    <row r="10442" spans="1:3" x14ac:dyDescent="0.3">
      <c r="A10442">
        <v>75413</v>
      </c>
      <c r="B10442">
        <v>1</v>
      </c>
      <c r="C10442">
        <v>8</v>
      </c>
    </row>
    <row r="10443" spans="1:3" x14ac:dyDescent="0.3">
      <c r="A10443">
        <v>75447</v>
      </c>
      <c r="B10443">
        <v>1</v>
      </c>
      <c r="C10443">
        <v>8</v>
      </c>
    </row>
    <row r="10444" spans="1:3" x14ac:dyDescent="0.3">
      <c r="A10444">
        <v>75508</v>
      </c>
      <c r="B10444">
        <v>1</v>
      </c>
      <c r="C10444">
        <v>8</v>
      </c>
    </row>
    <row r="10445" spans="1:3" x14ac:dyDescent="0.3">
      <c r="A10445">
        <v>75516</v>
      </c>
      <c r="B10445">
        <v>1</v>
      </c>
      <c r="C10445">
        <v>8</v>
      </c>
    </row>
    <row r="10446" spans="1:3" x14ac:dyDescent="0.3">
      <c r="A10446">
        <v>75580</v>
      </c>
      <c r="B10446">
        <v>1</v>
      </c>
      <c r="C10446">
        <v>8</v>
      </c>
    </row>
    <row r="10447" spans="1:3" x14ac:dyDescent="0.3">
      <c r="A10447">
        <v>75593</v>
      </c>
      <c r="B10447">
        <v>1</v>
      </c>
      <c r="C10447">
        <v>8</v>
      </c>
    </row>
    <row r="10448" spans="1:3" x14ac:dyDescent="0.3">
      <c r="A10448">
        <v>75635</v>
      </c>
      <c r="B10448">
        <v>1</v>
      </c>
      <c r="C10448">
        <v>8</v>
      </c>
    </row>
    <row r="10449" spans="1:3" x14ac:dyDescent="0.3">
      <c r="A10449">
        <v>75651</v>
      </c>
      <c r="B10449">
        <v>1</v>
      </c>
      <c r="C10449">
        <v>8</v>
      </c>
    </row>
    <row r="10450" spans="1:3" x14ac:dyDescent="0.3">
      <c r="A10450">
        <v>75678</v>
      </c>
      <c r="B10450">
        <v>1</v>
      </c>
      <c r="C10450">
        <v>8</v>
      </c>
    </row>
    <row r="10451" spans="1:3" x14ac:dyDescent="0.3">
      <c r="A10451">
        <v>75780</v>
      </c>
      <c r="B10451">
        <v>1</v>
      </c>
      <c r="C10451">
        <v>8</v>
      </c>
    </row>
    <row r="10452" spans="1:3" x14ac:dyDescent="0.3">
      <c r="A10452">
        <v>75847</v>
      </c>
      <c r="B10452">
        <v>1</v>
      </c>
      <c r="C10452">
        <v>8</v>
      </c>
    </row>
    <row r="10453" spans="1:3" x14ac:dyDescent="0.3">
      <c r="A10453">
        <v>75899</v>
      </c>
      <c r="B10453">
        <v>1</v>
      </c>
      <c r="C10453">
        <v>8</v>
      </c>
    </row>
    <row r="10454" spans="1:3" x14ac:dyDescent="0.3">
      <c r="A10454">
        <v>75905</v>
      </c>
      <c r="B10454">
        <v>1</v>
      </c>
      <c r="C10454">
        <v>8</v>
      </c>
    </row>
    <row r="10455" spans="1:3" x14ac:dyDescent="0.3">
      <c r="A10455">
        <v>75922</v>
      </c>
      <c r="B10455">
        <v>1</v>
      </c>
      <c r="C10455">
        <v>8</v>
      </c>
    </row>
    <row r="10456" spans="1:3" x14ac:dyDescent="0.3">
      <c r="A10456">
        <v>76030</v>
      </c>
      <c r="B10456">
        <v>1</v>
      </c>
      <c r="C10456">
        <v>8</v>
      </c>
    </row>
    <row r="10457" spans="1:3" x14ac:dyDescent="0.3">
      <c r="A10457">
        <v>76070</v>
      </c>
      <c r="B10457">
        <v>1</v>
      </c>
      <c r="C10457">
        <v>8</v>
      </c>
    </row>
    <row r="10458" spans="1:3" x14ac:dyDescent="0.3">
      <c r="A10458">
        <v>76130</v>
      </c>
      <c r="B10458">
        <v>1</v>
      </c>
      <c r="C10458">
        <v>8</v>
      </c>
    </row>
    <row r="10459" spans="1:3" x14ac:dyDescent="0.3">
      <c r="A10459">
        <v>76192</v>
      </c>
      <c r="B10459">
        <v>1</v>
      </c>
      <c r="C10459">
        <v>8</v>
      </c>
    </row>
    <row r="10460" spans="1:3" x14ac:dyDescent="0.3">
      <c r="A10460">
        <v>76309</v>
      </c>
      <c r="B10460">
        <v>1</v>
      </c>
      <c r="C10460">
        <v>8</v>
      </c>
    </row>
    <row r="10461" spans="1:3" x14ac:dyDescent="0.3">
      <c r="A10461">
        <v>76313</v>
      </c>
      <c r="B10461">
        <v>1</v>
      </c>
      <c r="C10461">
        <v>8</v>
      </c>
    </row>
    <row r="10462" spans="1:3" x14ac:dyDescent="0.3">
      <c r="A10462">
        <v>76356</v>
      </c>
      <c r="B10462">
        <v>1</v>
      </c>
      <c r="C10462">
        <v>8</v>
      </c>
    </row>
    <row r="10463" spans="1:3" x14ac:dyDescent="0.3">
      <c r="A10463">
        <v>76430</v>
      </c>
      <c r="B10463">
        <v>1</v>
      </c>
      <c r="C10463">
        <v>8</v>
      </c>
    </row>
    <row r="10464" spans="1:3" x14ac:dyDescent="0.3">
      <c r="A10464">
        <v>76451</v>
      </c>
      <c r="B10464">
        <v>1</v>
      </c>
      <c r="C10464">
        <v>8</v>
      </c>
    </row>
    <row r="10465" spans="1:3" x14ac:dyDescent="0.3">
      <c r="A10465">
        <v>76459</v>
      </c>
      <c r="B10465">
        <v>1</v>
      </c>
      <c r="C10465">
        <v>8</v>
      </c>
    </row>
    <row r="10466" spans="1:3" x14ac:dyDescent="0.3">
      <c r="A10466">
        <v>76483</v>
      </c>
      <c r="B10466">
        <v>1</v>
      </c>
      <c r="C10466">
        <v>8</v>
      </c>
    </row>
    <row r="10467" spans="1:3" x14ac:dyDescent="0.3">
      <c r="A10467">
        <v>76504</v>
      </c>
      <c r="B10467">
        <v>1</v>
      </c>
      <c r="C10467">
        <v>8</v>
      </c>
    </row>
    <row r="10468" spans="1:3" x14ac:dyDescent="0.3">
      <c r="A10468">
        <v>76595</v>
      </c>
      <c r="B10468">
        <v>1</v>
      </c>
      <c r="C10468">
        <v>8</v>
      </c>
    </row>
    <row r="10469" spans="1:3" x14ac:dyDescent="0.3">
      <c r="A10469">
        <v>76601</v>
      </c>
      <c r="B10469">
        <v>1</v>
      </c>
      <c r="C10469">
        <v>8</v>
      </c>
    </row>
    <row r="10470" spans="1:3" x14ac:dyDescent="0.3">
      <c r="A10470">
        <v>76616</v>
      </c>
      <c r="B10470">
        <v>1</v>
      </c>
      <c r="C10470">
        <v>8</v>
      </c>
    </row>
    <row r="10471" spans="1:3" x14ac:dyDescent="0.3">
      <c r="A10471">
        <v>76713</v>
      </c>
      <c r="B10471">
        <v>1</v>
      </c>
      <c r="C10471">
        <v>8</v>
      </c>
    </row>
    <row r="10472" spans="1:3" x14ac:dyDescent="0.3">
      <c r="A10472">
        <v>76720</v>
      </c>
      <c r="B10472">
        <v>1</v>
      </c>
      <c r="C10472">
        <v>8</v>
      </c>
    </row>
    <row r="10473" spans="1:3" x14ac:dyDescent="0.3">
      <c r="A10473">
        <v>76772</v>
      </c>
      <c r="B10473">
        <v>1</v>
      </c>
      <c r="C10473">
        <v>8</v>
      </c>
    </row>
    <row r="10474" spans="1:3" x14ac:dyDescent="0.3">
      <c r="A10474">
        <v>76800</v>
      </c>
      <c r="B10474">
        <v>1</v>
      </c>
      <c r="C10474">
        <v>16</v>
      </c>
    </row>
    <row r="10475" spans="1:3" x14ac:dyDescent="0.3">
      <c r="A10475">
        <v>76811</v>
      </c>
      <c r="B10475">
        <v>1</v>
      </c>
      <c r="C10475">
        <v>8</v>
      </c>
    </row>
    <row r="10476" spans="1:3" x14ac:dyDescent="0.3">
      <c r="A10476">
        <v>76891</v>
      </c>
      <c r="B10476">
        <v>1</v>
      </c>
      <c r="C10476">
        <v>8</v>
      </c>
    </row>
    <row r="10477" spans="1:3" x14ac:dyDescent="0.3">
      <c r="A10477">
        <v>76894</v>
      </c>
      <c r="B10477">
        <v>1</v>
      </c>
      <c r="C10477">
        <v>8</v>
      </c>
    </row>
    <row r="10478" spans="1:3" x14ac:dyDescent="0.3">
      <c r="A10478">
        <v>76905</v>
      </c>
      <c r="B10478">
        <v>1</v>
      </c>
      <c r="C10478">
        <v>8</v>
      </c>
    </row>
    <row r="10479" spans="1:3" x14ac:dyDescent="0.3">
      <c r="A10479">
        <v>76906</v>
      </c>
      <c r="B10479">
        <v>1</v>
      </c>
      <c r="C10479">
        <v>8</v>
      </c>
    </row>
    <row r="10480" spans="1:3" x14ac:dyDescent="0.3">
      <c r="A10480">
        <v>76907</v>
      </c>
      <c r="B10480">
        <v>1</v>
      </c>
      <c r="C10480">
        <v>8</v>
      </c>
    </row>
    <row r="10481" spans="1:3" x14ac:dyDescent="0.3">
      <c r="A10481">
        <v>76908</v>
      </c>
      <c r="B10481">
        <v>1</v>
      </c>
      <c r="C10481">
        <v>8</v>
      </c>
    </row>
    <row r="10482" spans="1:3" x14ac:dyDescent="0.3">
      <c r="A10482">
        <v>76913</v>
      </c>
      <c r="B10482">
        <v>1</v>
      </c>
      <c r="C10482">
        <v>8</v>
      </c>
    </row>
    <row r="10483" spans="1:3" x14ac:dyDescent="0.3">
      <c r="A10483">
        <v>76915</v>
      </c>
      <c r="B10483">
        <v>1</v>
      </c>
      <c r="C10483">
        <v>8</v>
      </c>
    </row>
    <row r="10484" spans="1:3" x14ac:dyDescent="0.3">
      <c r="A10484">
        <v>76961</v>
      </c>
      <c r="B10484">
        <v>1</v>
      </c>
      <c r="C10484">
        <v>8</v>
      </c>
    </row>
    <row r="10485" spans="1:3" x14ac:dyDescent="0.3">
      <c r="A10485">
        <v>76970</v>
      </c>
      <c r="B10485">
        <v>1</v>
      </c>
      <c r="C10485">
        <v>8</v>
      </c>
    </row>
    <row r="10486" spans="1:3" x14ac:dyDescent="0.3">
      <c r="A10486">
        <v>76980</v>
      </c>
      <c r="B10486">
        <v>1</v>
      </c>
      <c r="C10486">
        <v>8</v>
      </c>
    </row>
    <row r="10487" spans="1:3" x14ac:dyDescent="0.3">
      <c r="A10487">
        <v>76981</v>
      </c>
      <c r="B10487">
        <v>1</v>
      </c>
      <c r="C10487">
        <v>8</v>
      </c>
    </row>
    <row r="10488" spans="1:3" x14ac:dyDescent="0.3">
      <c r="A10488">
        <v>76983</v>
      </c>
      <c r="B10488">
        <v>1</v>
      </c>
      <c r="C10488">
        <v>8</v>
      </c>
    </row>
    <row r="10489" spans="1:3" x14ac:dyDescent="0.3">
      <c r="A10489">
        <v>77212</v>
      </c>
      <c r="B10489">
        <v>1</v>
      </c>
      <c r="C10489">
        <v>16</v>
      </c>
    </row>
    <row r="10490" spans="1:3" x14ac:dyDescent="0.3">
      <c r="A10490">
        <v>77258</v>
      </c>
      <c r="B10490">
        <v>1</v>
      </c>
      <c r="C10490">
        <v>8</v>
      </c>
    </row>
    <row r="10491" spans="1:3" x14ac:dyDescent="0.3">
      <c r="A10491">
        <v>77260</v>
      </c>
      <c r="B10491">
        <v>1</v>
      </c>
      <c r="C10491">
        <v>8</v>
      </c>
    </row>
    <row r="10492" spans="1:3" x14ac:dyDescent="0.3">
      <c r="A10492">
        <v>77261</v>
      </c>
      <c r="B10492">
        <v>1</v>
      </c>
      <c r="C10492">
        <v>8</v>
      </c>
    </row>
    <row r="10493" spans="1:3" x14ac:dyDescent="0.3">
      <c r="A10493">
        <v>77274</v>
      </c>
      <c r="B10493">
        <v>1</v>
      </c>
      <c r="C10493">
        <v>8</v>
      </c>
    </row>
    <row r="10494" spans="1:3" x14ac:dyDescent="0.3">
      <c r="A10494">
        <v>77341</v>
      </c>
      <c r="B10494">
        <v>1</v>
      </c>
      <c r="C10494">
        <v>8</v>
      </c>
    </row>
    <row r="10495" spans="1:3" x14ac:dyDescent="0.3">
      <c r="A10495">
        <v>77352</v>
      </c>
      <c r="B10495">
        <v>1</v>
      </c>
      <c r="C10495">
        <v>8</v>
      </c>
    </row>
    <row r="10496" spans="1:3" x14ac:dyDescent="0.3">
      <c r="A10496">
        <v>77434</v>
      </c>
      <c r="B10496">
        <v>1</v>
      </c>
      <c r="C10496">
        <v>8</v>
      </c>
    </row>
    <row r="10497" spans="1:3" x14ac:dyDescent="0.3">
      <c r="A10497">
        <v>77500</v>
      </c>
      <c r="B10497">
        <v>1</v>
      </c>
      <c r="C10497">
        <v>8</v>
      </c>
    </row>
    <row r="10498" spans="1:3" x14ac:dyDescent="0.3">
      <c r="A10498">
        <v>77511</v>
      </c>
      <c r="B10498">
        <v>1</v>
      </c>
      <c r="C10498">
        <v>8</v>
      </c>
    </row>
    <row r="10499" spans="1:3" x14ac:dyDescent="0.3">
      <c r="A10499">
        <v>77587</v>
      </c>
      <c r="B10499">
        <v>1</v>
      </c>
      <c r="C10499">
        <v>8</v>
      </c>
    </row>
    <row r="10500" spans="1:3" x14ac:dyDescent="0.3">
      <c r="A10500">
        <v>77637</v>
      </c>
      <c r="B10500">
        <v>1</v>
      </c>
      <c r="C10500">
        <v>8</v>
      </c>
    </row>
    <row r="10501" spans="1:3" x14ac:dyDescent="0.3">
      <c r="A10501">
        <v>77665</v>
      </c>
      <c r="B10501">
        <v>1</v>
      </c>
      <c r="C10501">
        <v>8</v>
      </c>
    </row>
    <row r="10502" spans="1:3" x14ac:dyDescent="0.3">
      <c r="A10502">
        <v>77669</v>
      </c>
      <c r="B10502">
        <v>1</v>
      </c>
      <c r="C10502">
        <v>8</v>
      </c>
    </row>
    <row r="10503" spans="1:3" x14ac:dyDescent="0.3">
      <c r="A10503">
        <v>77671</v>
      </c>
      <c r="B10503">
        <v>1</v>
      </c>
      <c r="C10503">
        <v>16</v>
      </c>
    </row>
    <row r="10504" spans="1:3" x14ac:dyDescent="0.3">
      <c r="A10504">
        <v>77795</v>
      </c>
      <c r="B10504">
        <v>1</v>
      </c>
      <c r="C10504">
        <v>8</v>
      </c>
    </row>
    <row r="10505" spans="1:3" x14ac:dyDescent="0.3">
      <c r="A10505">
        <v>77799</v>
      </c>
      <c r="B10505">
        <v>1</v>
      </c>
      <c r="C10505">
        <v>8</v>
      </c>
    </row>
    <row r="10506" spans="1:3" x14ac:dyDescent="0.3">
      <c r="A10506">
        <v>77802</v>
      </c>
      <c r="B10506">
        <v>1</v>
      </c>
      <c r="C10506">
        <v>8</v>
      </c>
    </row>
    <row r="10507" spans="1:3" x14ac:dyDescent="0.3">
      <c r="A10507">
        <v>77811</v>
      </c>
      <c r="B10507">
        <v>1</v>
      </c>
      <c r="C10507">
        <v>8</v>
      </c>
    </row>
    <row r="10508" spans="1:3" x14ac:dyDescent="0.3">
      <c r="A10508">
        <v>77824</v>
      </c>
      <c r="B10508">
        <v>1</v>
      </c>
      <c r="C10508">
        <v>8</v>
      </c>
    </row>
    <row r="10509" spans="1:3" x14ac:dyDescent="0.3">
      <c r="A10509">
        <v>77886</v>
      </c>
      <c r="B10509">
        <v>1</v>
      </c>
      <c r="C10509">
        <v>8</v>
      </c>
    </row>
    <row r="10510" spans="1:3" x14ac:dyDescent="0.3">
      <c r="A10510">
        <v>77927</v>
      </c>
      <c r="B10510">
        <v>1</v>
      </c>
      <c r="C10510">
        <v>8</v>
      </c>
    </row>
    <row r="10511" spans="1:3" x14ac:dyDescent="0.3">
      <c r="A10511">
        <v>77944</v>
      </c>
      <c r="B10511">
        <v>1</v>
      </c>
      <c r="C10511">
        <v>8</v>
      </c>
    </row>
    <row r="10512" spans="1:3" x14ac:dyDescent="0.3">
      <c r="A10512">
        <v>78020</v>
      </c>
      <c r="B10512">
        <v>1</v>
      </c>
      <c r="C10512">
        <v>8</v>
      </c>
    </row>
    <row r="10513" spans="1:3" x14ac:dyDescent="0.3">
      <c r="A10513">
        <v>78087</v>
      </c>
      <c r="B10513">
        <v>1</v>
      </c>
      <c r="C10513">
        <v>8</v>
      </c>
    </row>
    <row r="10514" spans="1:3" x14ac:dyDescent="0.3">
      <c r="A10514">
        <v>78111</v>
      </c>
      <c r="B10514">
        <v>1</v>
      </c>
      <c r="C10514">
        <v>8</v>
      </c>
    </row>
    <row r="10515" spans="1:3" x14ac:dyDescent="0.3">
      <c r="A10515">
        <v>78181</v>
      </c>
      <c r="B10515">
        <v>1</v>
      </c>
      <c r="C10515">
        <v>8</v>
      </c>
    </row>
    <row r="10516" spans="1:3" x14ac:dyDescent="0.3">
      <c r="A10516">
        <v>78182</v>
      </c>
      <c r="B10516">
        <v>1</v>
      </c>
      <c r="C10516">
        <v>8</v>
      </c>
    </row>
    <row r="10517" spans="1:3" x14ac:dyDescent="0.3">
      <c r="A10517">
        <v>78183</v>
      </c>
      <c r="B10517">
        <v>1</v>
      </c>
      <c r="C10517">
        <v>8</v>
      </c>
    </row>
    <row r="10518" spans="1:3" x14ac:dyDescent="0.3">
      <c r="A10518">
        <v>78194</v>
      </c>
      <c r="B10518">
        <v>1</v>
      </c>
      <c r="C10518">
        <v>8</v>
      </c>
    </row>
    <row r="10519" spans="1:3" x14ac:dyDescent="0.3">
      <c r="A10519">
        <v>78249</v>
      </c>
      <c r="B10519">
        <v>1</v>
      </c>
      <c r="C10519">
        <v>8</v>
      </c>
    </row>
    <row r="10520" spans="1:3" x14ac:dyDescent="0.3">
      <c r="A10520">
        <v>78296</v>
      </c>
      <c r="B10520">
        <v>1</v>
      </c>
      <c r="C10520">
        <v>8</v>
      </c>
    </row>
    <row r="10521" spans="1:3" x14ac:dyDescent="0.3">
      <c r="A10521">
        <v>78310</v>
      </c>
      <c r="B10521">
        <v>1</v>
      </c>
      <c r="C10521">
        <v>8</v>
      </c>
    </row>
    <row r="10522" spans="1:3" x14ac:dyDescent="0.3">
      <c r="A10522">
        <v>78318</v>
      </c>
      <c r="B10522">
        <v>1</v>
      </c>
      <c r="C10522">
        <v>8</v>
      </c>
    </row>
    <row r="10523" spans="1:3" x14ac:dyDescent="0.3">
      <c r="A10523">
        <v>78328</v>
      </c>
      <c r="B10523">
        <v>1</v>
      </c>
      <c r="C10523">
        <v>8</v>
      </c>
    </row>
    <row r="10524" spans="1:3" x14ac:dyDescent="0.3">
      <c r="A10524">
        <v>78372</v>
      </c>
      <c r="B10524">
        <v>1</v>
      </c>
      <c r="C10524">
        <v>8</v>
      </c>
    </row>
    <row r="10525" spans="1:3" x14ac:dyDescent="0.3">
      <c r="A10525">
        <v>78389</v>
      </c>
      <c r="B10525">
        <v>1</v>
      </c>
      <c r="C10525">
        <v>8</v>
      </c>
    </row>
    <row r="10526" spans="1:3" x14ac:dyDescent="0.3">
      <c r="A10526">
        <v>78498</v>
      </c>
      <c r="B10526">
        <v>1</v>
      </c>
      <c r="C10526">
        <v>8</v>
      </c>
    </row>
    <row r="10527" spans="1:3" x14ac:dyDescent="0.3">
      <c r="A10527">
        <v>78522</v>
      </c>
      <c r="B10527">
        <v>1</v>
      </c>
      <c r="C10527">
        <v>8</v>
      </c>
    </row>
    <row r="10528" spans="1:3" x14ac:dyDescent="0.3">
      <c r="A10528">
        <v>78538</v>
      </c>
      <c r="B10528">
        <v>1</v>
      </c>
      <c r="C10528">
        <v>8</v>
      </c>
    </row>
    <row r="10529" spans="1:3" x14ac:dyDescent="0.3">
      <c r="A10529">
        <v>78551</v>
      </c>
      <c r="B10529">
        <v>1</v>
      </c>
      <c r="C10529">
        <v>8</v>
      </c>
    </row>
    <row r="10530" spans="1:3" x14ac:dyDescent="0.3">
      <c r="A10530">
        <v>78555</v>
      </c>
      <c r="B10530">
        <v>1</v>
      </c>
      <c r="C10530">
        <v>8</v>
      </c>
    </row>
    <row r="10531" spans="1:3" x14ac:dyDescent="0.3">
      <c r="A10531">
        <v>78608</v>
      </c>
      <c r="B10531">
        <v>1</v>
      </c>
      <c r="C10531">
        <v>8</v>
      </c>
    </row>
    <row r="10532" spans="1:3" x14ac:dyDescent="0.3">
      <c r="A10532">
        <v>78893</v>
      </c>
      <c r="B10532">
        <v>1</v>
      </c>
      <c r="C10532">
        <v>8</v>
      </c>
    </row>
    <row r="10533" spans="1:3" x14ac:dyDescent="0.3">
      <c r="A10533">
        <v>79056</v>
      </c>
      <c r="B10533">
        <v>1</v>
      </c>
      <c r="C10533">
        <v>8</v>
      </c>
    </row>
    <row r="10534" spans="1:3" x14ac:dyDescent="0.3">
      <c r="A10534">
        <v>79075</v>
      </c>
      <c r="B10534">
        <v>1</v>
      </c>
      <c r="C10534">
        <v>8</v>
      </c>
    </row>
    <row r="10535" spans="1:3" x14ac:dyDescent="0.3">
      <c r="A10535">
        <v>79085</v>
      </c>
      <c r="B10535">
        <v>1</v>
      </c>
      <c r="C10535">
        <v>8</v>
      </c>
    </row>
    <row r="10536" spans="1:3" x14ac:dyDescent="0.3">
      <c r="A10536">
        <v>79128</v>
      </c>
      <c r="B10536">
        <v>1</v>
      </c>
      <c r="C10536">
        <v>8</v>
      </c>
    </row>
    <row r="10537" spans="1:3" x14ac:dyDescent="0.3">
      <c r="A10537">
        <v>79176</v>
      </c>
      <c r="B10537">
        <v>1</v>
      </c>
      <c r="C10537">
        <v>8</v>
      </c>
    </row>
    <row r="10538" spans="1:3" x14ac:dyDescent="0.3">
      <c r="A10538">
        <v>79186</v>
      </c>
      <c r="B10538">
        <v>1</v>
      </c>
      <c r="C10538">
        <v>8</v>
      </c>
    </row>
    <row r="10539" spans="1:3" x14ac:dyDescent="0.3">
      <c r="A10539">
        <v>79187</v>
      </c>
      <c r="B10539">
        <v>1</v>
      </c>
      <c r="C10539">
        <v>8</v>
      </c>
    </row>
    <row r="10540" spans="1:3" x14ac:dyDescent="0.3">
      <c r="A10540">
        <v>79295</v>
      </c>
      <c r="B10540">
        <v>1</v>
      </c>
      <c r="C10540">
        <v>8</v>
      </c>
    </row>
    <row r="10541" spans="1:3" x14ac:dyDescent="0.3">
      <c r="A10541">
        <v>79326</v>
      </c>
      <c r="B10541">
        <v>1</v>
      </c>
      <c r="C10541">
        <v>8</v>
      </c>
    </row>
    <row r="10542" spans="1:3" x14ac:dyDescent="0.3">
      <c r="A10542">
        <v>79342</v>
      </c>
      <c r="B10542">
        <v>1</v>
      </c>
      <c r="C10542">
        <v>8</v>
      </c>
    </row>
    <row r="10543" spans="1:3" x14ac:dyDescent="0.3">
      <c r="A10543">
        <v>79366</v>
      </c>
      <c r="B10543">
        <v>1</v>
      </c>
      <c r="C10543">
        <v>8</v>
      </c>
    </row>
    <row r="10544" spans="1:3" x14ac:dyDescent="0.3">
      <c r="A10544">
        <v>79380</v>
      </c>
      <c r="B10544">
        <v>1</v>
      </c>
      <c r="C10544">
        <v>8</v>
      </c>
    </row>
    <row r="10545" spans="1:3" x14ac:dyDescent="0.3">
      <c r="A10545">
        <v>79406</v>
      </c>
      <c r="B10545">
        <v>1</v>
      </c>
      <c r="C10545">
        <v>8</v>
      </c>
    </row>
    <row r="10546" spans="1:3" x14ac:dyDescent="0.3">
      <c r="A10546">
        <v>79555</v>
      </c>
      <c r="B10546">
        <v>1</v>
      </c>
      <c r="C10546">
        <v>8</v>
      </c>
    </row>
    <row r="10547" spans="1:3" x14ac:dyDescent="0.3">
      <c r="A10547">
        <v>79591</v>
      </c>
      <c r="B10547">
        <v>1</v>
      </c>
      <c r="C10547">
        <v>8</v>
      </c>
    </row>
    <row r="10548" spans="1:3" x14ac:dyDescent="0.3">
      <c r="A10548">
        <v>79592</v>
      </c>
      <c r="B10548">
        <v>1</v>
      </c>
      <c r="C10548">
        <v>8</v>
      </c>
    </row>
    <row r="10549" spans="1:3" x14ac:dyDescent="0.3">
      <c r="A10549">
        <v>79640</v>
      </c>
      <c r="B10549">
        <v>1</v>
      </c>
      <c r="C10549">
        <v>8</v>
      </c>
    </row>
    <row r="10550" spans="1:3" x14ac:dyDescent="0.3">
      <c r="A10550">
        <v>79652</v>
      </c>
      <c r="B10550">
        <v>1</v>
      </c>
      <c r="C10550">
        <v>8</v>
      </c>
    </row>
    <row r="10551" spans="1:3" x14ac:dyDescent="0.3">
      <c r="A10551">
        <v>79768</v>
      </c>
      <c r="B10551">
        <v>1</v>
      </c>
      <c r="C10551">
        <v>8</v>
      </c>
    </row>
    <row r="10552" spans="1:3" x14ac:dyDescent="0.3">
      <c r="A10552">
        <v>79830</v>
      </c>
      <c r="B10552">
        <v>1</v>
      </c>
      <c r="C10552">
        <v>8</v>
      </c>
    </row>
    <row r="10553" spans="1:3" x14ac:dyDescent="0.3">
      <c r="A10553">
        <v>79844</v>
      </c>
      <c r="B10553">
        <v>1</v>
      </c>
      <c r="C10553">
        <v>8</v>
      </c>
    </row>
    <row r="10554" spans="1:3" x14ac:dyDescent="0.3">
      <c r="A10554">
        <v>79955</v>
      </c>
      <c r="B10554">
        <v>1</v>
      </c>
      <c r="C10554">
        <v>8</v>
      </c>
    </row>
    <row r="10555" spans="1:3" x14ac:dyDescent="0.3">
      <c r="A10555">
        <v>80017</v>
      </c>
      <c r="B10555">
        <v>1</v>
      </c>
      <c r="C10555">
        <v>8</v>
      </c>
    </row>
    <row r="10556" spans="1:3" x14ac:dyDescent="0.3">
      <c r="A10556">
        <v>80055</v>
      </c>
      <c r="B10556">
        <v>1</v>
      </c>
      <c r="C10556">
        <v>8</v>
      </c>
    </row>
    <row r="10557" spans="1:3" x14ac:dyDescent="0.3">
      <c r="A10557">
        <v>80092</v>
      </c>
      <c r="B10557">
        <v>1</v>
      </c>
      <c r="C10557">
        <v>8</v>
      </c>
    </row>
    <row r="10558" spans="1:3" x14ac:dyDescent="0.3">
      <c r="A10558">
        <v>80177</v>
      </c>
      <c r="B10558">
        <v>1</v>
      </c>
      <c r="C10558">
        <v>8</v>
      </c>
    </row>
    <row r="10559" spans="1:3" x14ac:dyDescent="0.3">
      <c r="A10559">
        <v>80274</v>
      </c>
      <c r="B10559">
        <v>1</v>
      </c>
      <c r="C10559">
        <v>8</v>
      </c>
    </row>
    <row r="10560" spans="1:3" x14ac:dyDescent="0.3">
      <c r="A10560">
        <v>80355</v>
      </c>
      <c r="B10560">
        <v>1</v>
      </c>
      <c r="C10560">
        <v>8</v>
      </c>
    </row>
    <row r="10561" spans="1:3" x14ac:dyDescent="0.3">
      <c r="A10561">
        <v>80411</v>
      </c>
      <c r="B10561">
        <v>1</v>
      </c>
      <c r="C10561">
        <v>8</v>
      </c>
    </row>
    <row r="10562" spans="1:3" x14ac:dyDescent="0.3">
      <c r="A10562">
        <v>80456</v>
      </c>
      <c r="B10562">
        <v>1</v>
      </c>
      <c r="C10562">
        <v>8</v>
      </c>
    </row>
    <row r="10563" spans="1:3" x14ac:dyDescent="0.3">
      <c r="A10563">
        <v>80626</v>
      </c>
      <c r="B10563">
        <v>1</v>
      </c>
      <c r="C10563">
        <v>8</v>
      </c>
    </row>
    <row r="10564" spans="1:3" x14ac:dyDescent="0.3">
      <c r="A10564">
        <v>80663</v>
      </c>
      <c r="B10564">
        <v>1</v>
      </c>
      <c r="C10564">
        <v>8</v>
      </c>
    </row>
    <row r="10565" spans="1:3" x14ac:dyDescent="0.3">
      <c r="A10565">
        <v>80682</v>
      </c>
      <c r="B10565">
        <v>1</v>
      </c>
      <c r="C10565">
        <v>8</v>
      </c>
    </row>
    <row r="10566" spans="1:3" x14ac:dyDescent="0.3">
      <c r="A10566">
        <v>80686</v>
      </c>
      <c r="B10566">
        <v>1</v>
      </c>
      <c r="C10566">
        <v>8</v>
      </c>
    </row>
    <row r="10567" spans="1:3" x14ac:dyDescent="0.3">
      <c r="A10567">
        <v>80771</v>
      </c>
      <c r="B10567">
        <v>1</v>
      </c>
      <c r="C10567">
        <v>8</v>
      </c>
    </row>
    <row r="10568" spans="1:3" x14ac:dyDescent="0.3">
      <c r="A10568">
        <v>80773</v>
      </c>
      <c r="B10568">
        <v>1</v>
      </c>
      <c r="C10568">
        <v>8</v>
      </c>
    </row>
    <row r="10569" spans="1:3" x14ac:dyDescent="0.3">
      <c r="A10569">
        <v>80896</v>
      </c>
      <c r="B10569">
        <v>1</v>
      </c>
      <c r="C10569">
        <v>8</v>
      </c>
    </row>
    <row r="10570" spans="1:3" x14ac:dyDescent="0.3">
      <c r="A10570">
        <v>80986</v>
      </c>
      <c r="B10570">
        <v>1</v>
      </c>
      <c r="C10570">
        <v>16</v>
      </c>
    </row>
    <row r="10571" spans="1:3" x14ac:dyDescent="0.3">
      <c r="A10571">
        <v>81099</v>
      </c>
      <c r="B10571">
        <v>1</v>
      </c>
      <c r="C10571">
        <v>8</v>
      </c>
    </row>
    <row r="10572" spans="1:3" x14ac:dyDescent="0.3">
      <c r="A10572">
        <v>81103</v>
      </c>
      <c r="B10572">
        <v>1</v>
      </c>
      <c r="C10572">
        <v>8</v>
      </c>
    </row>
    <row r="10573" spans="1:3" x14ac:dyDescent="0.3">
      <c r="A10573">
        <v>81184</v>
      </c>
      <c r="B10573">
        <v>1</v>
      </c>
      <c r="C10573">
        <v>8</v>
      </c>
    </row>
    <row r="10574" spans="1:3" x14ac:dyDescent="0.3">
      <c r="A10574">
        <v>81190</v>
      </c>
      <c r="B10574">
        <v>1</v>
      </c>
      <c r="C10574">
        <v>8</v>
      </c>
    </row>
    <row r="10575" spans="1:3" x14ac:dyDescent="0.3">
      <c r="A10575">
        <v>81191</v>
      </c>
      <c r="B10575">
        <v>1</v>
      </c>
      <c r="C10575">
        <v>8</v>
      </c>
    </row>
    <row r="10576" spans="1:3" x14ac:dyDescent="0.3">
      <c r="A10576">
        <v>81207</v>
      </c>
      <c r="B10576">
        <v>1</v>
      </c>
      <c r="C10576">
        <v>8</v>
      </c>
    </row>
    <row r="10577" spans="1:3" x14ac:dyDescent="0.3">
      <c r="A10577">
        <v>81209</v>
      </c>
      <c r="B10577">
        <v>1</v>
      </c>
      <c r="C10577">
        <v>8</v>
      </c>
    </row>
    <row r="10578" spans="1:3" x14ac:dyDescent="0.3">
      <c r="A10578">
        <v>81240</v>
      </c>
      <c r="B10578">
        <v>1</v>
      </c>
      <c r="C10578">
        <v>8</v>
      </c>
    </row>
    <row r="10579" spans="1:3" x14ac:dyDescent="0.3">
      <c r="A10579">
        <v>10023</v>
      </c>
      <c r="B10579">
        <v>1</v>
      </c>
      <c r="C10579">
        <v>8</v>
      </c>
    </row>
    <row r="10580" spans="1:3" x14ac:dyDescent="0.3">
      <c r="A10580">
        <v>10105</v>
      </c>
      <c r="B10580">
        <v>1</v>
      </c>
      <c r="C10580">
        <v>8</v>
      </c>
    </row>
    <row r="10581" spans="1:3" x14ac:dyDescent="0.3">
      <c r="A10581">
        <v>10162</v>
      </c>
      <c r="B10581">
        <v>1</v>
      </c>
      <c r="C10581">
        <v>16</v>
      </c>
    </row>
    <row r="10582" spans="1:3" x14ac:dyDescent="0.3">
      <c r="A10582">
        <v>10200</v>
      </c>
      <c r="B10582">
        <v>1</v>
      </c>
      <c r="C10582">
        <v>16</v>
      </c>
    </row>
    <row r="10583" spans="1:3" x14ac:dyDescent="0.3">
      <c r="A10583">
        <v>10451</v>
      </c>
      <c r="B10583">
        <v>1</v>
      </c>
      <c r="C10583">
        <v>8</v>
      </c>
    </row>
    <row r="10584" spans="1:3" x14ac:dyDescent="0.3">
      <c r="A10584">
        <v>10457</v>
      </c>
      <c r="B10584">
        <v>1</v>
      </c>
      <c r="C10584">
        <v>8</v>
      </c>
    </row>
    <row r="10585" spans="1:3" x14ac:dyDescent="0.3">
      <c r="A10585">
        <v>10468</v>
      </c>
      <c r="B10585">
        <v>1</v>
      </c>
      <c r="C10585">
        <v>16</v>
      </c>
    </row>
    <row r="10586" spans="1:3" x14ac:dyDescent="0.3">
      <c r="A10586">
        <v>10519</v>
      </c>
      <c r="B10586">
        <v>2</v>
      </c>
      <c r="C10586">
        <v>16</v>
      </c>
    </row>
    <row r="10587" spans="1:3" x14ac:dyDescent="0.3">
      <c r="A10587">
        <v>10519</v>
      </c>
      <c r="B10587">
        <v>2</v>
      </c>
      <c r="C10587">
        <v>16</v>
      </c>
    </row>
    <row r="10588" spans="1:3" x14ac:dyDescent="0.3">
      <c r="A10588">
        <v>10668</v>
      </c>
      <c r="B10588">
        <v>1</v>
      </c>
      <c r="C10588">
        <v>8</v>
      </c>
    </row>
    <row r="10589" spans="1:3" x14ac:dyDescent="0.3">
      <c r="A10589">
        <v>10838</v>
      </c>
      <c r="B10589">
        <v>1</v>
      </c>
      <c r="C10589">
        <v>8</v>
      </c>
    </row>
    <row r="10590" spans="1:3" x14ac:dyDescent="0.3">
      <c r="A10590">
        <v>10846</v>
      </c>
      <c r="B10590">
        <v>2</v>
      </c>
      <c r="C10590">
        <v>16</v>
      </c>
    </row>
    <row r="10591" spans="1:3" x14ac:dyDescent="0.3">
      <c r="A10591">
        <v>10846</v>
      </c>
      <c r="B10591">
        <v>2</v>
      </c>
      <c r="C10591">
        <v>16</v>
      </c>
    </row>
    <row r="10592" spans="1:3" x14ac:dyDescent="0.3">
      <c r="A10592">
        <v>10977</v>
      </c>
      <c r="B10592">
        <v>1</v>
      </c>
      <c r="C10592">
        <v>8</v>
      </c>
    </row>
    <row r="10593" spans="1:3" x14ac:dyDescent="0.3">
      <c r="A10593">
        <v>10979</v>
      </c>
      <c r="B10593">
        <v>2</v>
      </c>
      <c r="C10593">
        <v>16</v>
      </c>
    </row>
    <row r="10594" spans="1:3" x14ac:dyDescent="0.3">
      <c r="A10594">
        <v>10979</v>
      </c>
      <c r="B10594">
        <v>2</v>
      </c>
      <c r="C10594">
        <v>16</v>
      </c>
    </row>
    <row r="10595" spans="1:3" x14ac:dyDescent="0.3">
      <c r="A10595">
        <v>10995</v>
      </c>
      <c r="B10595">
        <v>1</v>
      </c>
      <c r="C10595">
        <v>8</v>
      </c>
    </row>
    <row r="10596" spans="1:3" x14ac:dyDescent="0.3">
      <c r="A10596">
        <v>11704</v>
      </c>
      <c r="B10596">
        <v>1</v>
      </c>
      <c r="C10596">
        <v>8</v>
      </c>
    </row>
    <row r="10597" spans="1:3" x14ac:dyDescent="0.3">
      <c r="A10597">
        <v>11734</v>
      </c>
      <c r="B10597">
        <v>1</v>
      </c>
      <c r="C10597">
        <v>16</v>
      </c>
    </row>
    <row r="10598" spans="1:3" x14ac:dyDescent="0.3">
      <c r="A10598">
        <v>12027</v>
      </c>
      <c r="B10598">
        <v>1</v>
      </c>
      <c r="C10598">
        <v>8</v>
      </c>
    </row>
    <row r="10599" spans="1:3" x14ac:dyDescent="0.3">
      <c r="A10599">
        <v>12045</v>
      </c>
      <c r="B10599">
        <v>1</v>
      </c>
      <c r="C10599">
        <v>8</v>
      </c>
    </row>
    <row r="10600" spans="1:3" x14ac:dyDescent="0.3">
      <c r="A10600">
        <v>12137</v>
      </c>
      <c r="B10600">
        <v>1</v>
      </c>
      <c r="C10600">
        <v>8</v>
      </c>
    </row>
    <row r="10601" spans="1:3" x14ac:dyDescent="0.3">
      <c r="A10601">
        <v>12257</v>
      </c>
      <c r="B10601">
        <v>1</v>
      </c>
      <c r="C10601">
        <v>16</v>
      </c>
    </row>
    <row r="10602" spans="1:3" x14ac:dyDescent="0.3">
      <c r="A10602">
        <v>12345</v>
      </c>
      <c r="B10602">
        <v>1</v>
      </c>
      <c r="C10602">
        <v>8</v>
      </c>
    </row>
    <row r="10603" spans="1:3" x14ac:dyDescent="0.3">
      <c r="A10603">
        <v>12410</v>
      </c>
      <c r="B10603">
        <v>1</v>
      </c>
      <c r="C10603">
        <v>8</v>
      </c>
    </row>
    <row r="10604" spans="1:3" x14ac:dyDescent="0.3">
      <c r="A10604">
        <v>12649</v>
      </c>
      <c r="B10604">
        <v>1</v>
      </c>
      <c r="C10604">
        <v>8</v>
      </c>
    </row>
    <row r="10605" spans="1:3" x14ac:dyDescent="0.3">
      <c r="A10605">
        <v>13252</v>
      </c>
      <c r="B10605">
        <v>1</v>
      </c>
      <c r="C10605">
        <v>8</v>
      </c>
    </row>
    <row r="10606" spans="1:3" x14ac:dyDescent="0.3">
      <c r="A10606">
        <v>14011</v>
      </c>
      <c r="B10606">
        <v>1</v>
      </c>
      <c r="C10606">
        <v>8</v>
      </c>
    </row>
    <row r="10607" spans="1:3" x14ac:dyDescent="0.3">
      <c r="A10607">
        <v>14643</v>
      </c>
      <c r="B10607">
        <v>1</v>
      </c>
      <c r="C10607">
        <v>8</v>
      </c>
    </row>
    <row r="10608" spans="1:3" x14ac:dyDescent="0.3">
      <c r="A10608">
        <v>14663</v>
      </c>
      <c r="B10608">
        <v>1</v>
      </c>
      <c r="C10608">
        <v>8</v>
      </c>
    </row>
    <row r="10609" spans="1:3" x14ac:dyDescent="0.3">
      <c r="A10609">
        <v>16422</v>
      </c>
      <c r="B10609">
        <v>1</v>
      </c>
      <c r="C10609">
        <v>8</v>
      </c>
    </row>
    <row r="10610" spans="1:3" x14ac:dyDescent="0.3">
      <c r="A10610">
        <v>16929</v>
      </c>
      <c r="B10610">
        <v>2</v>
      </c>
      <c r="C10610">
        <v>16</v>
      </c>
    </row>
    <row r="10611" spans="1:3" x14ac:dyDescent="0.3">
      <c r="A10611">
        <v>16929</v>
      </c>
      <c r="B10611">
        <v>2</v>
      </c>
      <c r="C10611">
        <v>16</v>
      </c>
    </row>
    <row r="10612" spans="1:3" x14ac:dyDescent="0.3">
      <c r="A10612">
        <v>17549</v>
      </c>
      <c r="B10612">
        <v>1</v>
      </c>
      <c r="C10612">
        <v>8</v>
      </c>
    </row>
    <row r="10613" spans="1:3" x14ac:dyDescent="0.3">
      <c r="A10613">
        <v>17989</v>
      </c>
      <c r="B10613">
        <v>1</v>
      </c>
      <c r="C10613">
        <v>16</v>
      </c>
    </row>
    <row r="10614" spans="1:3" x14ac:dyDescent="0.3">
      <c r="A10614">
        <v>18097</v>
      </c>
      <c r="B10614">
        <v>1</v>
      </c>
      <c r="C10614">
        <v>8</v>
      </c>
    </row>
    <row r="10615" spans="1:3" x14ac:dyDescent="0.3">
      <c r="A10615">
        <v>18132</v>
      </c>
      <c r="B10615">
        <v>1</v>
      </c>
      <c r="C10615">
        <v>8</v>
      </c>
    </row>
    <row r="10616" spans="1:3" x14ac:dyDescent="0.3">
      <c r="A10616">
        <v>18141</v>
      </c>
      <c r="B10616">
        <v>1</v>
      </c>
      <c r="C10616">
        <v>8</v>
      </c>
    </row>
    <row r="10617" spans="1:3" x14ac:dyDescent="0.3">
      <c r="A10617">
        <v>18230</v>
      </c>
      <c r="B10617">
        <v>1</v>
      </c>
      <c r="C10617">
        <v>8</v>
      </c>
    </row>
    <row r="10618" spans="1:3" x14ac:dyDescent="0.3">
      <c r="A10618">
        <v>18477</v>
      </c>
      <c r="B10618">
        <v>1</v>
      </c>
      <c r="C10618">
        <v>16</v>
      </c>
    </row>
    <row r="10619" spans="1:3" x14ac:dyDescent="0.3">
      <c r="A10619">
        <v>18516</v>
      </c>
      <c r="B10619">
        <v>1</v>
      </c>
      <c r="C10619">
        <v>8</v>
      </c>
    </row>
    <row r="10620" spans="1:3" x14ac:dyDescent="0.3">
      <c r="A10620">
        <v>18936</v>
      </c>
      <c r="B10620">
        <v>1</v>
      </c>
      <c r="C10620">
        <v>8</v>
      </c>
    </row>
    <row r="10621" spans="1:3" x14ac:dyDescent="0.3">
      <c r="A10621">
        <v>20719</v>
      </c>
      <c r="B10621">
        <v>1</v>
      </c>
      <c r="C10621">
        <v>8</v>
      </c>
    </row>
    <row r="10622" spans="1:3" x14ac:dyDescent="0.3">
      <c r="A10622">
        <v>20839</v>
      </c>
      <c r="B10622">
        <v>1</v>
      </c>
      <c r="C10622">
        <v>16</v>
      </c>
    </row>
    <row r="10623" spans="1:3" x14ac:dyDescent="0.3">
      <c r="A10623">
        <v>20851</v>
      </c>
      <c r="B10623">
        <v>2</v>
      </c>
      <c r="C10623">
        <v>16</v>
      </c>
    </row>
    <row r="10624" spans="1:3" x14ac:dyDescent="0.3">
      <c r="A10624">
        <v>20851</v>
      </c>
      <c r="B10624">
        <v>2</v>
      </c>
      <c r="C10624">
        <v>16</v>
      </c>
    </row>
    <row r="10625" spans="1:3" x14ac:dyDescent="0.3">
      <c r="A10625">
        <v>21156</v>
      </c>
      <c r="B10625">
        <v>1</v>
      </c>
      <c r="C10625">
        <v>8</v>
      </c>
    </row>
    <row r="10626" spans="1:3" x14ac:dyDescent="0.3">
      <c r="A10626">
        <v>21334</v>
      </c>
      <c r="B10626">
        <v>1</v>
      </c>
      <c r="C10626">
        <v>8</v>
      </c>
    </row>
    <row r="10627" spans="1:3" x14ac:dyDescent="0.3">
      <c r="A10627">
        <v>21715</v>
      </c>
      <c r="B10627">
        <v>1</v>
      </c>
      <c r="C10627">
        <v>8</v>
      </c>
    </row>
    <row r="10628" spans="1:3" x14ac:dyDescent="0.3">
      <c r="A10628">
        <v>22270</v>
      </c>
      <c r="B10628">
        <v>1</v>
      </c>
      <c r="C10628">
        <v>16</v>
      </c>
    </row>
    <row r="10629" spans="1:3" x14ac:dyDescent="0.3">
      <c r="A10629">
        <v>22470</v>
      </c>
      <c r="B10629">
        <v>1</v>
      </c>
      <c r="C10629">
        <v>8</v>
      </c>
    </row>
    <row r="10630" spans="1:3" x14ac:dyDescent="0.3">
      <c r="A10630">
        <v>22667</v>
      </c>
      <c r="B10630">
        <v>1</v>
      </c>
      <c r="C10630">
        <v>8</v>
      </c>
    </row>
    <row r="10631" spans="1:3" x14ac:dyDescent="0.3">
      <c r="A10631">
        <v>22787</v>
      </c>
      <c r="B10631">
        <v>1</v>
      </c>
      <c r="C10631">
        <v>8</v>
      </c>
    </row>
    <row r="10632" spans="1:3" x14ac:dyDescent="0.3">
      <c r="A10632">
        <v>22929</v>
      </c>
      <c r="B10632">
        <v>1</v>
      </c>
      <c r="C10632">
        <v>8</v>
      </c>
    </row>
    <row r="10633" spans="1:3" x14ac:dyDescent="0.3">
      <c r="A10633">
        <v>22957</v>
      </c>
      <c r="B10633">
        <v>1</v>
      </c>
      <c r="C10633">
        <v>8</v>
      </c>
    </row>
    <row r="10634" spans="1:3" x14ac:dyDescent="0.3">
      <c r="A10634">
        <v>23409</v>
      </c>
      <c r="B10634">
        <v>1</v>
      </c>
      <c r="C10634">
        <v>8</v>
      </c>
    </row>
    <row r="10635" spans="1:3" x14ac:dyDescent="0.3">
      <c r="A10635">
        <v>24094</v>
      </c>
      <c r="B10635">
        <v>1</v>
      </c>
      <c r="C10635">
        <v>16</v>
      </c>
    </row>
    <row r="10636" spans="1:3" x14ac:dyDescent="0.3">
      <c r="A10636">
        <v>24137</v>
      </c>
      <c r="B10636">
        <v>1</v>
      </c>
      <c r="C10636">
        <v>8</v>
      </c>
    </row>
    <row r="10637" spans="1:3" x14ac:dyDescent="0.3">
      <c r="A10637">
        <v>24463</v>
      </c>
      <c r="B10637">
        <v>1</v>
      </c>
      <c r="C10637">
        <v>8</v>
      </c>
    </row>
    <row r="10638" spans="1:3" x14ac:dyDescent="0.3">
      <c r="A10638">
        <v>24659</v>
      </c>
      <c r="B10638">
        <v>1</v>
      </c>
      <c r="C10638">
        <v>8</v>
      </c>
    </row>
    <row r="10639" spans="1:3" x14ac:dyDescent="0.3">
      <c r="A10639">
        <v>24709</v>
      </c>
      <c r="B10639">
        <v>1</v>
      </c>
      <c r="C10639">
        <v>8</v>
      </c>
    </row>
    <row r="10640" spans="1:3" x14ac:dyDescent="0.3">
      <c r="A10640">
        <v>24758</v>
      </c>
      <c r="B10640">
        <v>1</v>
      </c>
      <c r="C10640">
        <v>8</v>
      </c>
    </row>
    <row r="10641" spans="1:3" x14ac:dyDescent="0.3">
      <c r="A10641">
        <v>25026</v>
      </c>
      <c r="B10641">
        <v>1</v>
      </c>
      <c r="C10641">
        <v>8</v>
      </c>
    </row>
    <row r="10642" spans="1:3" x14ac:dyDescent="0.3">
      <c r="A10642">
        <v>25070</v>
      </c>
      <c r="B10642">
        <v>2</v>
      </c>
      <c r="C10642">
        <v>8</v>
      </c>
    </row>
    <row r="10643" spans="1:3" x14ac:dyDescent="0.3">
      <c r="A10643">
        <v>25070</v>
      </c>
      <c r="B10643">
        <v>2</v>
      </c>
      <c r="C10643">
        <v>8</v>
      </c>
    </row>
    <row r="10644" spans="1:3" x14ac:dyDescent="0.3">
      <c r="A10644">
        <v>25120</v>
      </c>
      <c r="B10644">
        <v>1</v>
      </c>
      <c r="C10644">
        <v>16</v>
      </c>
    </row>
    <row r="10645" spans="1:3" x14ac:dyDescent="0.3">
      <c r="A10645">
        <v>25224</v>
      </c>
      <c r="B10645">
        <v>2</v>
      </c>
      <c r="C10645">
        <v>16</v>
      </c>
    </row>
    <row r="10646" spans="1:3" x14ac:dyDescent="0.3">
      <c r="A10646">
        <v>25224</v>
      </c>
      <c r="B10646">
        <v>2</v>
      </c>
      <c r="C10646">
        <v>16</v>
      </c>
    </row>
    <row r="10647" spans="1:3" x14ac:dyDescent="0.3">
      <c r="A10647">
        <v>25556</v>
      </c>
      <c r="B10647">
        <v>1</v>
      </c>
      <c r="C10647">
        <v>8</v>
      </c>
    </row>
    <row r="10648" spans="1:3" x14ac:dyDescent="0.3">
      <c r="A10648">
        <v>25698</v>
      </c>
      <c r="B10648">
        <v>1</v>
      </c>
      <c r="C10648">
        <v>8</v>
      </c>
    </row>
    <row r="10649" spans="1:3" x14ac:dyDescent="0.3">
      <c r="A10649">
        <v>25721</v>
      </c>
      <c r="B10649">
        <v>1</v>
      </c>
      <c r="C10649">
        <v>8</v>
      </c>
    </row>
    <row r="10650" spans="1:3" x14ac:dyDescent="0.3">
      <c r="A10650">
        <v>25820</v>
      </c>
      <c r="B10650">
        <v>1</v>
      </c>
      <c r="C10650">
        <v>8</v>
      </c>
    </row>
    <row r="10651" spans="1:3" x14ac:dyDescent="0.3">
      <c r="A10651">
        <v>25827</v>
      </c>
      <c r="B10651">
        <v>1</v>
      </c>
      <c r="C10651">
        <v>8</v>
      </c>
    </row>
    <row r="10652" spans="1:3" x14ac:dyDescent="0.3">
      <c r="A10652">
        <v>25851</v>
      </c>
      <c r="B10652">
        <v>1</v>
      </c>
      <c r="C10652">
        <v>8</v>
      </c>
    </row>
    <row r="10653" spans="1:3" x14ac:dyDescent="0.3">
      <c r="A10653">
        <v>25894</v>
      </c>
      <c r="B10653">
        <v>1</v>
      </c>
      <c r="C10653">
        <v>8</v>
      </c>
    </row>
    <row r="10654" spans="1:3" x14ac:dyDescent="0.3">
      <c r="A10654">
        <v>26369</v>
      </c>
      <c r="B10654">
        <v>1</v>
      </c>
      <c r="C10654">
        <v>8</v>
      </c>
    </row>
    <row r="10655" spans="1:3" x14ac:dyDescent="0.3">
      <c r="A10655">
        <v>27034</v>
      </c>
      <c r="B10655">
        <v>1</v>
      </c>
      <c r="C10655">
        <v>8</v>
      </c>
    </row>
    <row r="10656" spans="1:3" x14ac:dyDescent="0.3">
      <c r="A10656">
        <v>27088</v>
      </c>
      <c r="B10656">
        <v>1</v>
      </c>
      <c r="C10656">
        <v>16</v>
      </c>
    </row>
    <row r="10657" spans="1:3" x14ac:dyDescent="0.3">
      <c r="A10657">
        <v>27345</v>
      </c>
      <c r="B10657">
        <v>1</v>
      </c>
      <c r="C10657">
        <v>8</v>
      </c>
    </row>
    <row r="10658" spans="1:3" x14ac:dyDescent="0.3">
      <c r="A10658">
        <v>27379</v>
      </c>
      <c r="B10658">
        <v>1</v>
      </c>
      <c r="C10658">
        <v>8</v>
      </c>
    </row>
    <row r="10659" spans="1:3" x14ac:dyDescent="0.3">
      <c r="A10659">
        <v>27582</v>
      </c>
      <c r="B10659">
        <v>1</v>
      </c>
      <c r="C10659">
        <v>8</v>
      </c>
    </row>
    <row r="10660" spans="1:3" x14ac:dyDescent="0.3">
      <c r="A10660">
        <v>27619</v>
      </c>
      <c r="B10660">
        <v>1</v>
      </c>
      <c r="C10660">
        <v>8</v>
      </c>
    </row>
    <row r="10661" spans="1:3" x14ac:dyDescent="0.3">
      <c r="A10661">
        <v>28176</v>
      </c>
      <c r="B10661">
        <v>1</v>
      </c>
      <c r="C10661">
        <v>8</v>
      </c>
    </row>
    <row r="10662" spans="1:3" x14ac:dyDescent="0.3">
      <c r="A10662">
        <v>28329</v>
      </c>
      <c r="B10662">
        <v>2</v>
      </c>
      <c r="C10662">
        <v>16</v>
      </c>
    </row>
    <row r="10663" spans="1:3" x14ac:dyDescent="0.3">
      <c r="A10663">
        <v>28329</v>
      </c>
      <c r="B10663">
        <v>2</v>
      </c>
      <c r="C10663">
        <v>16</v>
      </c>
    </row>
    <row r="10664" spans="1:3" x14ac:dyDescent="0.3">
      <c r="A10664">
        <v>28614</v>
      </c>
      <c r="B10664">
        <v>1</v>
      </c>
      <c r="C10664">
        <v>16</v>
      </c>
    </row>
    <row r="10665" spans="1:3" x14ac:dyDescent="0.3">
      <c r="A10665">
        <v>28815</v>
      </c>
      <c r="B10665">
        <v>2</v>
      </c>
      <c r="C10665">
        <v>8</v>
      </c>
    </row>
    <row r="10666" spans="1:3" x14ac:dyDescent="0.3">
      <c r="A10666">
        <v>28815</v>
      </c>
      <c r="B10666">
        <v>2</v>
      </c>
      <c r="C10666">
        <v>8</v>
      </c>
    </row>
    <row r="10667" spans="1:3" x14ac:dyDescent="0.3">
      <c r="A10667">
        <v>28823</v>
      </c>
      <c r="B10667">
        <v>1</v>
      </c>
      <c r="C10667">
        <v>8</v>
      </c>
    </row>
    <row r="10668" spans="1:3" x14ac:dyDescent="0.3">
      <c r="A10668">
        <v>28914</v>
      </c>
      <c r="B10668">
        <v>1</v>
      </c>
      <c r="C10668">
        <v>8</v>
      </c>
    </row>
    <row r="10669" spans="1:3" x14ac:dyDescent="0.3">
      <c r="A10669">
        <v>29007</v>
      </c>
      <c r="B10669">
        <v>1</v>
      </c>
      <c r="C10669">
        <v>16</v>
      </c>
    </row>
    <row r="10670" spans="1:3" x14ac:dyDescent="0.3">
      <c r="A10670">
        <v>29331</v>
      </c>
      <c r="B10670">
        <v>1</v>
      </c>
      <c r="C10670">
        <v>8</v>
      </c>
    </row>
    <row r="10671" spans="1:3" x14ac:dyDescent="0.3">
      <c r="A10671">
        <v>29442</v>
      </c>
      <c r="B10671">
        <v>1</v>
      </c>
      <c r="C10671">
        <v>8</v>
      </c>
    </row>
    <row r="10672" spans="1:3" x14ac:dyDescent="0.3">
      <c r="A10672">
        <v>29557</v>
      </c>
      <c r="B10672">
        <v>1</v>
      </c>
      <c r="C10672">
        <v>8</v>
      </c>
    </row>
    <row r="10673" spans="1:3" x14ac:dyDescent="0.3">
      <c r="A10673">
        <v>29583</v>
      </c>
      <c r="B10673">
        <v>1</v>
      </c>
      <c r="C10673">
        <v>8</v>
      </c>
    </row>
    <row r="10674" spans="1:3" x14ac:dyDescent="0.3">
      <c r="A10674">
        <v>29701</v>
      </c>
      <c r="B10674">
        <v>1</v>
      </c>
      <c r="C10674">
        <v>8</v>
      </c>
    </row>
    <row r="10675" spans="1:3" x14ac:dyDescent="0.3">
      <c r="A10675">
        <v>29810</v>
      </c>
      <c r="B10675">
        <v>1</v>
      </c>
      <c r="C10675">
        <v>16</v>
      </c>
    </row>
    <row r="10676" spans="1:3" x14ac:dyDescent="0.3">
      <c r="A10676">
        <v>29863</v>
      </c>
      <c r="B10676">
        <v>1</v>
      </c>
      <c r="C10676">
        <v>8</v>
      </c>
    </row>
    <row r="10677" spans="1:3" x14ac:dyDescent="0.3">
      <c r="A10677">
        <v>29894</v>
      </c>
      <c r="B10677">
        <v>1</v>
      </c>
      <c r="C10677">
        <v>8</v>
      </c>
    </row>
    <row r="10678" spans="1:3" x14ac:dyDescent="0.3">
      <c r="A10678">
        <v>29917</v>
      </c>
      <c r="B10678">
        <v>1</v>
      </c>
      <c r="C10678">
        <v>16</v>
      </c>
    </row>
    <row r="10679" spans="1:3" x14ac:dyDescent="0.3">
      <c r="A10679">
        <v>29955</v>
      </c>
      <c r="B10679">
        <v>1</v>
      </c>
      <c r="C10679">
        <v>8</v>
      </c>
    </row>
    <row r="10680" spans="1:3" x14ac:dyDescent="0.3">
      <c r="A10680">
        <v>30114</v>
      </c>
      <c r="B10680">
        <v>2</v>
      </c>
      <c r="C10680">
        <v>8</v>
      </c>
    </row>
    <row r="10681" spans="1:3" x14ac:dyDescent="0.3">
      <c r="A10681">
        <v>30114</v>
      </c>
      <c r="B10681">
        <v>2</v>
      </c>
      <c r="C10681">
        <v>8</v>
      </c>
    </row>
    <row r="10682" spans="1:3" x14ac:dyDescent="0.3">
      <c r="A10682">
        <v>30238</v>
      </c>
      <c r="B10682">
        <v>1</v>
      </c>
      <c r="C10682">
        <v>8</v>
      </c>
    </row>
    <row r="10683" spans="1:3" x14ac:dyDescent="0.3">
      <c r="A10683">
        <v>30264</v>
      </c>
      <c r="B10683">
        <v>1</v>
      </c>
      <c r="C10683">
        <v>8</v>
      </c>
    </row>
    <row r="10684" spans="1:3" x14ac:dyDescent="0.3">
      <c r="A10684">
        <v>30321</v>
      </c>
      <c r="B10684">
        <v>1</v>
      </c>
      <c r="C10684">
        <v>8</v>
      </c>
    </row>
    <row r="10685" spans="1:3" x14ac:dyDescent="0.3">
      <c r="A10685">
        <v>30409</v>
      </c>
      <c r="B10685">
        <v>1</v>
      </c>
      <c r="C10685">
        <v>8</v>
      </c>
    </row>
    <row r="10686" spans="1:3" x14ac:dyDescent="0.3">
      <c r="A10686">
        <v>30761</v>
      </c>
      <c r="B10686">
        <v>1</v>
      </c>
      <c r="C10686">
        <v>8</v>
      </c>
    </row>
    <row r="10687" spans="1:3" x14ac:dyDescent="0.3">
      <c r="A10687">
        <v>30763</v>
      </c>
      <c r="B10687">
        <v>5</v>
      </c>
      <c r="C10687">
        <v>16</v>
      </c>
    </row>
    <row r="10688" spans="1:3" x14ac:dyDescent="0.3">
      <c r="A10688">
        <v>30763</v>
      </c>
      <c r="B10688">
        <v>5</v>
      </c>
      <c r="C10688">
        <v>16</v>
      </c>
    </row>
    <row r="10689" spans="1:3" x14ac:dyDescent="0.3">
      <c r="A10689">
        <v>30763</v>
      </c>
      <c r="B10689">
        <v>5</v>
      </c>
      <c r="C10689">
        <v>16</v>
      </c>
    </row>
    <row r="10690" spans="1:3" x14ac:dyDescent="0.3">
      <c r="A10690">
        <v>30763</v>
      </c>
      <c r="B10690">
        <v>5</v>
      </c>
      <c r="C10690">
        <v>16</v>
      </c>
    </row>
    <row r="10691" spans="1:3" x14ac:dyDescent="0.3">
      <c r="A10691">
        <v>30763</v>
      </c>
      <c r="B10691">
        <v>5</v>
      </c>
      <c r="C10691">
        <v>16</v>
      </c>
    </row>
    <row r="10692" spans="1:3" x14ac:dyDescent="0.3">
      <c r="A10692">
        <v>30774</v>
      </c>
      <c r="B10692">
        <v>1</v>
      </c>
      <c r="C10692">
        <v>8</v>
      </c>
    </row>
    <row r="10693" spans="1:3" x14ac:dyDescent="0.3">
      <c r="A10693">
        <v>30778</v>
      </c>
      <c r="B10693">
        <v>1</v>
      </c>
      <c r="C10693">
        <v>8</v>
      </c>
    </row>
    <row r="10694" spans="1:3" x14ac:dyDescent="0.3">
      <c r="A10694">
        <v>31093</v>
      </c>
      <c r="B10694">
        <v>1</v>
      </c>
      <c r="C10694">
        <v>8</v>
      </c>
    </row>
    <row r="10695" spans="1:3" x14ac:dyDescent="0.3">
      <c r="A10695">
        <v>31280</v>
      </c>
      <c r="B10695">
        <v>2</v>
      </c>
      <c r="C10695">
        <v>16</v>
      </c>
    </row>
    <row r="10696" spans="1:3" x14ac:dyDescent="0.3">
      <c r="A10696">
        <v>31280</v>
      </c>
      <c r="B10696">
        <v>2</v>
      </c>
      <c r="C10696">
        <v>16</v>
      </c>
    </row>
    <row r="10697" spans="1:3" x14ac:dyDescent="0.3">
      <c r="A10697">
        <v>31408</v>
      </c>
      <c r="B10697">
        <v>1</v>
      </c>
      <c r="C10697">
        <v>8</v>
      </c>
    </row>
    <row r="10698" spans="1:3" x14ac:dyDescent="0.3">
      <c r="A10698">
        <v>31563</v>
      </c>
      <c r="B10698">
        <v>1</v>
      </c>
      <c r="C10698">
        <v>8</v>
      </c>
    </row>
    <row r="10699" spans="1:3" x14ac:dyDescent="0.3">
      <c r="A10699">
        <v>31566</v>
      </c>
      <c r="B10699">
        <v>1</v>
      </c>
      <c r="C10699">
        <v>8</v>
      </c>
    </row>
    <row r="10700" spans="1:3" x14ac:dyDescent="0.3">
      <c r="A10700">
        <v>31569</v>
      </c>
      <c r="B10700">
        <v>1</v>
      </c>
      <c r="C10700">
        <v>8</v>
      </c>
    </row>
    <row r="10701" spans="1:3" x14ac:dyDescent="0.3">
      <c r="A10701">
        <v>31688</v>
      </c>
      <c r="B10701">
        <v>1</v>
      </c>
      <c r="C10701">
        <v>8</v>
      </c>
    </row>
    <row r="10702" spans="1:3" x14ac:dyDescent="0.3">
      <c r="A10702">
        <v>31689</v>
      </c>
      <c r="B10702">
        <v>2</v>
      </c>
      <c r="C10702">
        <v>16</v>
      </c>
    </row>
    <row r="10703" spans="1:3" x14ac:dyDescent="0.3">
      <c r="A10703">
        <v>31689</v>
      </c>
      <c r="B10703">
        <v>2</v>
      </c>
      <c r="C10703">
        <v>16</v>
      </c>
    </row>
    <row r="10704" spans="1:3" x14ac:dyDescent="0.3">
      <c r="A10704">
        <v>31783</v>
      </c>
      <c r="B10704">
        <v>1</v>
      </c>
      <c r="C10704">
        <v>8</v>
      </c>
    </row>
    <row r="10705" spans="1:3" x14ac:dyDescent="0.3">
      <c r="A10705">
        <v>31803</v>
      </c>
      <c r="B10705">
        <v>1</v>
      </c>
      <c r="C10705">
        <v>8</v>
      </c>
    </row>
    <row r="10706" spans="1:3" x14ac:dyDescent="0.3">
      <c r="A10706">
        <v>31924</v>
      </c>
      <c r="B10706">
        <v>1</v>
      </c>
      <c r="C10706">
        <v>8</v>
      </c>
    </row>
    <row r="10707" spans="1:3" x14ac:dyDescent="0.3">
      <c r="A10707">
        <v>32372</v>
      </c>
      <c r="B10707">
        <v>1</v>
      </c>
      <c r="C10707">
        <v>8</v>
      </c>
    </row>
    <row r="10708" spans="1:3" x14ac:dyDescent="0.3">
      <c r="A10708">
        <v>32431</v>
      </c>
      <c r="B10708">
        <v>1</v>
      </c>
      <c r="C10708">
        <v>16</v>
      </c>
    </row>
    <row r="10709" spans="1:3" x14ac:dyDescent="0.3">
      <c r="A10709">
        <v>32572</v>
      </c>
      <c r="B10709">
        <v>1</v>
      </c>
      <c r="C10709">
        <v>8</v>
      </c>
    </row>
    <row r="10710" spans="1:3" x14ac:dyDescent="0.3">
      <c r="A10710">
        <v>32975</v>
      </c>
      <c r="B10710">
        <v>1</v>
      </c>
      <c r="C10710">
        <v>8</v>
      </c>
    </row>
    <row r="10711" spans="1:3" x14ac:dyDescent="0.3">
      <c r="A10711">
        <v>33004</v>
      </c>
      <c r="B10711">
        <v>1</v>
      </c>
      <c r="C10711">
        <v>16</v>
      </c>
    </row>
    <row r="10712" spans="1:3" x14ac:dyDescent="0.3">
      <c r="A10712">
        <v>33141</v>
      </c>
      <c r="B10712">
        <v>1</v>
      </c>
      <c r="C10712">
        <v>16</v>
      </c>
    </row>
    <row r="10713" spans="1:3" x14ac:dyDescent="0.3">
      <c r="A10713">
        <v>33204</v>
      </c>
      <c r="B10713">
        <v>1</v>
      </c>
      <c r="C10713">
        <v>16</v>
      </c>
    </row>
    <row r="10714" spans="1:3" x14ac:dyDescent="0.3">
      <c r="A10714">
        <v>33487</v>
      </c>
      <c r="B10714">
        <v>1</v>
      </c>
      <c r="C10714">
        <v>8</v>
      </c>
    </row>
    <row r="10715" spans="1:3" x14ac:dyDescent="0.3">
      <c r="A10715">
        <v>33696</v>
      </c>
      <c r="B10715">
        <v>1</v>
      </c>
      <c r="C10715">
        <v>8</v>
      </c>
    </row>
    <row r="10716" spans="1:3" x14ac:dyDescent="0.3">
      <c r="A10716">
        <v>34265</v>
      </c>
      <c r="B10716">
        <v>2</v>
      </c>
      <c r="C10716">
        <v>8</v>
      </c>
    </row>
    <row r="10717" spans="1:3" x14ac:dyDescent="0.3">
      <c r="A10717">
        <v>34265</v>
      </c>
      <c r="B10717">
        <v>2</v>
      </c>
      <c r="C10717">
        <v>8</v>
      </c>
    </row>
    <row r="10718" spans="1:3" x14ac:dyDescent="0.3">
      <c r="A10718">
        <v>34295</v>
      </c>
      <c r="B10718">
        <v>1</v>
      </c>
      <c r="C10718">
        <v>8</v>
      </c>
    </row>
    <row r="10719" spans="1:3" x14ac:dyDescent="0.3">
      <c r="A10719">
        <v>34504</v>
      </c>
      <c r="B10719">
        <v>1</v>
      </c>
      <c r="C10719">
        <v>8</v>
      </c>
    </row>
    <row r="10720" spans="1:3" x14ac:dyDescent="0.3">
      <c r="A10720">
        <v>34578</v>
      </c>
      <c r="B10720">
        <v>1</v>
      </c>
      <c r="C10720">
        <v>16</v>
      </c>
    </row>
    <row r="10721" spans="1:3" x14ac:dyDescent="0.3">
      <c r="A10721">
        <v>34762</v>
      </c>
      <c r="B10721">
        <v>1</v>
      </c>
      <c r="C10721">
        <v>16</v>
      </c>
    </row>
    <row r="10722" spans="1:3" x14ac:dyDescent="0.3">
      <c r="A10722">
        <v>34926</v>
      </c>
      <c r="B10722">
        <v>1</v>
      </c>
      <c r="C10722">
        <v>8</v>
      </c>
    </row>
    <row r="10723" spans="1:3" x14ac:dyDescent="0.3">
      <c r="A10723">
        <v>34953</v>
      </c>
      <c r="B10723">
        <v>1</v>
      </c>
      <c r="C10723">
        <v>16</v>
      </c>
    </row>
    <row r="10724" spans="1:3" x14ac:dyDescent="0.3">
      <c r="A10724">
        <v>35008</v>
      </c>
      <c r="B10724">
        <v>1</v>
      </c>
      <c r="C10724">
        <v>8</v>
      </c>
    </row>
    <row r="10725" spans="1:3" x14ac:dyDescent="0.3">
      <c r="A10725">
        <v>35631</v>
      </c>
      <c r="B10725">
        <v>1</v>
      </c>
      <c r="C10725">
        <v>16</v>
      </c>
    </row>
    <row r="10726" spans="1:3" x14ac:dyDescent="0.3">
      <c r="A10726">
        <v>35647</v>
      </c>
      <c r="B10726">
        <v>1</v>
      </c>
      <c r="C10726">
        <v>8</v>
      </c>
    </row>
    <row r="10727" spans="1:3" x14ac:dyDescent="0.3">
      <c r="A10727">
        <v>35774</v>
      </c>
      <c r="B10727">
        <v>1</v>
      </c>
      <c r="C10727">
        <v>8</v>
      </c>
    </row>
    <row r="10728" spans="1:3" x14ac:dyDescent="0.3">
      <c r="A10728">
        <v>36261</v>
      </c>
      <c r="B10728">
        <v>1</v>
      </c>
      <c r="C10728">
        <v>8</v>
      </c>
    </row>
    <row r="10729" spans="1:3" x14ac:dyDescent="0.3">
      <c r="A10729">
        <v>36374</v>
      </c>
      <c r="B10729">
        <v>1</v>
      </c>
      <c r="C10729">
        <v>16</v>
      </c>
    </row>
    <row r="10730" spans="1:3" x14ac:dyDescent="0.3">
      <c r="A10730">
        <v>36392</v>
      </c>
      <c r="B10730">
        <v>1</v>
      </c>
      <c r="C10730">
        <v>16</v>
      </c>
    </row>
    <row r="10731" spans="1:3" x14ac:dyDescent="0.3">
      <c r="A10731">
        <v>36451</v>
      </c>
      <c r="B10731">
        <v>1</v>
      </c>
      <c r="C10731">
        <v>8</v>
      </c>
    </row>
    <row r="10732" spans="1:3" x14ac:dyDescent="0.3">
      <c r="A10732">
        <v>36661</v>
      </c>
      <c r="B10732">
        <v>1</v>
      </c>
      <c r="C10732">
        <v>8</v>
      </c>
    </row>
    <row r="10733" spans="1:3" x14ac:dyDescent="0.3">
      <c r="A10733">
        <v>36875</v>
      </c>
      <c r="B10733">
        <v>1</v>
      </c>
      <c r="C10733">
        <v>8</v>
      </c>
    </row>
    <row r="10734" spans="1:3" x14ac:dyDescent="0.3">
      <c r="A10734">
        <v>37131</v>
      </c>
      <c r="B10734">
        <v>1</v>
      </c>
      <c r="C10734">
        <v>8</v>
      </c>
    </row>
    <row r="10735" spans="1:3" x14ac:dyDescent="0.3">
      <c r="A10735">
        <v>37390</v>
      </c>
      <c r="B10735">
        <v>1</v>
      </c>
      <c r="C10735">
        <v>8</v>
      </c>
    </row>
    <row r="10736" spans="1:3" x14ac:dyDescent="0.3">
      <c r="A10736">
        <v>37426</v>
      </c>
      <c r="B10736">
        <v>2</v>
      </c>
      <c r="C10736">
        <v>16</v>
      </c>
    </row>
    <row r="10737" spans="1:3" x14ac:dyDescent="0.3">
      <c r="A10737">
        <v>37426</v>
      </c>
      <c r="B10737">
        <v>2</v>
      </c>
      <c r="C10737">
        <v>16</v>
      </c>
    </row>
    <row r="10738" spans="1:3" x14ac:dyDescent="0.3">
      <c r="A10738">
        <v>37479</v>
      </c>
      <c r="B10738">
        <v>1</v>
      </c>
      <c r="C10738">
        <v>8</v>
      </c>
    </row>
    <row r="10739" spans="1:3" x14ac:dyDescent="0.3">
      <c r="A10739">
        <v>37830</v>
      </c>
      <c r="B10739">
        <v>1</v>
      </c>
      <c r="C10739">
        <v>8</v>
      </c>
    </row>
    <row r="10740" spans="1:3" x14ac:dyDescent="0.3">
      <c r="A10740">
        <v>38064</v>
      </c>
      <c r="B10740">
        <v>1</v>
      </c>
      <c r="C10740">
        <v>8</v>
      </c>
    </row>
    <row r="10741" spans="1:3" x14ac:dyDescent="0.3">
      <c r="A10741">
        <v>38155</v>
      </c>
      <c r="B10741">
        <v>1</v>
      </c>
      <c r="C10741">
        <v>8</v>
      </c>
    </row>
    <row r="10742" spans="1:3" x14ac:dyDescent="0.3">
      <c r="A10742">
        <v>38234</v>
      </c>
      <c r="B10742">
        <v>2</v>
      </c>
      <c r="C10742">
        <v>16</v>
      </c>
    </row>
    <row r="10743" spans="1:3" x14ac:dyDescent="0.3">
      <c r="A10743">
        <v>38234</v>
      </c>
      <c r="B10743">
        <v>2</v>
      </c>
      <c r="C10743">
        <v>16</v>
      </c>
    </row>
    <row r="10744" spans="1:3" x14ac:dyDescent="0.3">
      <c r="A10744">
        <v>38293</v>
      </c>
      <c r="B10744">
        <v>1</v>
      </c>
      <c r="C10744">
        <v>8</v>
      </c>
    </row>
    <row r="10745" spans="1:3" x14ac:dyDescent="0.3">
      <c r="A10745">
        <v>38311</v>
      </c>
      <c r="B10745">
        <v>1</v>
      </c>
      <c r="C10745">
        <v>8</v>
      </c>
    </row>
    <row r="10746" spans="1:3" x14ac:dyDescent="0.3">
      <c r="A10746">
        <v>38314</v>
      </c>
      <c r="B10746">
        <v>1</v>
      </c>
      <c r="C10746">
        <v>8</v>
      </c>
    </row>
    <row r="10747" spans="1:3" x14ac:dyDescent="0.3">
      <c r="A10747">
        <v>38394</v>
      </c>
      <c r="B10747">
        <v>1</v>
      </c>
      <c r="C10747">
        <v>16</v>
      </c>
    </row>
    <row r="10748" spans="1:3" x14ac:dyDescent="0.3">
      <c r="A10748">
        <v>38471</v>
      </c>
      <c r="B10748">
        <v>1</v>
      </c>
      <c r="C10748">
        <v>16</v>
      </c>
    </row>
    <row r="10749" spans="1:3" x14ac:dyDescent="0.3">
      <c r="A10749">
        <v>38627</v>
      </c>
      <c r="B10749">
        <v>1</v>
      </c>
      <c r="C10749">
        <v>8</v>
      </c>
    </row>
    <row r="10750" spans="1:3" x14ac:dyDescent="0.3">
      <c r="A10750">
        <v>38722</v>
      </c>
      <c r="B10750">
        <v>1</v>
      </c>
      <c r="C10750">
        <v>8</v>
      </c>
    </row>
    <row r="10751" spans="1:3" x14ac:dyDescent="0.3">
      <c r="A10751">
        <v>38736</v>
      </c>
      <c r="B10751">
        <v>1</v>
      </c>
      <c r="C10751">
        <v>8</v>
      </c>
    </row>
    <row r="10752" spans="1:3" x14ac:dyDescent="0.3">
      <c r="A10752">
        <v>39051</v>
      </c>
      <c r="B10752">
        <v>2</v>
      </c>
      <c r="C10752">
        <v>16</v>
      </c>
    </row>
    <row r="10753" spans="1:3" x14ac:dyDescent="0.3">
      <c r="A10753">
        <v>39051</v>
      </c>
      <c r="B10753">
        <v>2</v>
      </c>
      <c r="C10753">
        <v>16</v>
      </c>
    </row>
    <row r="10754" spans="1:3" x14ac:dyDescent="0.3">
      <c r="A10754">
        <v>39403</v>
      </c>
      <c r="B10754">
        <v>1</v>
      </c>
      <c r="C10754">
        <v>16</v>
      </c>
    </row>
    <row r="10755" spans="1:3" x14ac:dyDescent="0.3">
      <c r="A10755">
        <v>39418</v>
      </c>
      <c r="B10755">
        <v>1</v>
      </c>
      <c r="C10755">
        <v>8</v>
      </c>
    </row>
    <row r="10756" spans="1:3" x14ac:dyDescent="0.3">
      <c r="A10756">
        <v>39482</v>
      </c>
      <c r="B10756">
        <v>1</v>
      </c>
      <c r="C10756">
        <v>8</v>
      </c>
    </row>
    <row r="10757" spans="1:3" x14ac:dyDescent="0.3">
      <c r="A10757">
        <v>39518</v>
      </c>
      <c r="B10757">
        <v>1</v>
      </c>
      <c r="C10757">
        <v>8</v>
      </c>
    </row>
    <row r="10758" spans="1:3" x14ac:dyDescent="0.3">
      <c r="A10758">
        <v>39783</v>
      </c>
      <c r="B10758">
        <v>1</v>
      </c>
      <c r="C10758">
        <v>8</v>
      </c>
    </row>
    <row r="10759" spans="1:3" x14ac:dyDescent="0.3">
      <c r="A10759">
        <v>39918</v>
      </c>
      <c r="B10759">
        <v>1</v>
      </c>
      <c r="C10759">
        <v>8</v>
      </c>
    </row>
    <row r="10760" spans="1:3" x14ac:dyDescent="0.3">
      <c r="A10760">
        <v>39936</v>
      </c>
      <c r="B10760">
        <v>1</v>
      </c>
      <c r="C10760">
        <v>8</v>
      </c>
    </row>
    <row r="10761" spans="1:3" x14ac:dyDescent="0.3">
      <c r="A10761">
        <v>40304</v>
      </c>
      <c r="B10761">
        <v>1</v>
      </c>
      <c r="C10761">
        <v>8</v>
      </c>
    </row>
    <row r="10762" spans="1:3" x14ac:dyDescent="0.3">
      <c r="A10762">
        <v>40451</v>
      </c>
      <c r="B10762">
        <v>2</v>
      </c>
      <c r="C10762">
        <v>16</v>
      </c>
    </row>
    <row r="10763" spans="1:3" x14ac:dyDescent="0.3">
      <c r="A10763">
        <v>40451</v>
      </c>
      <c r="B10763">
        <v>2</v>
      </c>
      <c r="C10763">
        <v>16</v>
      </c>
    </row>
    <row r="10764" spans="1:3" x14ac:dyDescent="0.3">
      <c r="A10764">
        <v>41642</v>
      </c>
      <c r="B10764">
        <v>1</v>
      </c>
      <c r="C10764">
        <v>8</v>
      </c>
    </row>
    <row r="10765" spans="1:3" x14ac:dyDescent="0.3">
      <c r="A10765">
        <v>41671</v>
      </c>
      <c r="B10765">
        <v>1</v>
      </c>
      <c r="C10765">
        <v>8</v>
      </c>
    </row>
    <row r="10766" spans="1:3" x14ac:dyDescent="0.3">
      <c r="A10766">
        <v>41720</v>
      </c>
      <c r="B10766">
        <v>1</v>
      </c>
      <c r="C10766">
        <v>8</v>
      </c>
    </row>
    <row r="10767" spans="1:3" x14ac:dyDescent="0.3">
      <c r="A10767">
        <v>42168</v>
      </c>
      <c r="B10767">
        <v>1</v>
      </c>
      <c r="C10767">
        <v>8</v>
      </c>
    </row>
    <row r="10768" spans="1:3" x14ac:dyDescent="0.3">
      <c r="A10768">
        <v>42239</v>
      </c>
      <c r="B10768">
        <v>2</v>
      </c>
      <c r="C10768">
        <v>16</v>
      </c>
    </row>
    <row r="10769" spans="1:3" x14ac:dyDescent="0.3">
      <c r="A10769">
        <v>42239</v>
      </c>
      <c r="B10769">
        <v>2</v>
      </c>
      <c r="C10769">
        <v>16</v>
      </c>
    </row>
    <row r="10770" spans="1:3" x14ac:dyDescent="0.3">
      <c r="A10770">
        <v>42284</v>
      </c>
      <c r="B10770">
        <v>1</v>
      </c>
      <c r="C10770">
        <v>16</v>
      </c>
    </row>
    <row r="10771" spans="1:3" x14ac:dyDescent="0.3">
      <c r="A10771">
        <v>42369</v>
      </c>
      <c r="B10771">
        <v>1</v>
      </c>
      <c r="C10771">
        <v>8</v>
      </c>
    </row>
    <row r="10772" spans="1:3" x14ac:dyDescent="0.3">
      <c r="A10772">
        <v>42381</v>
      </c>
      <c r="B10772">
        <v>1</v>
      </c>
      <c r="C10772">
        <v>8</v>
      </c>
    </row>
    <row r="10773" spans="1:3" x14ac:dyDescent="0.3">
      <c r="A10773">
        <v>42386</v>
      </c>
      <c r="B10773">
        <v>1</v>
      </c>
      <c r="C10773">
        <v>8</v>
      </c>
    </row>
    <row r="10774" spans="1:3" x14ac:dyDescent="0.3">
      <c r="A10774">
        <v>42394</v>
      </c>
      <c r="B10774">
        <v>1</v>
      </c>
      <c r="C10774">
        <v>16</v>
      </c>
    </row>
    <row r="10775" spans="1:3" x14ac:dyDescent="0.3">
      <c r="A10775">
        <v>42443</v>
      </c>
      <c r="B10775">
        <v>1</v>
      </c>
      <c r="C10775">
        <v>8</v>
      </c>
    </row>
    <row r="10776" spans="1:3" x14ac:dyDescent="0.3">
      <c r="A10776">
        <v>43034</v>
      </c>
      <c r="B10776">
        <v>1</v>
      </c>
      <c r="C10776">
        <v>8</v>
      </c>
    </row>
    <row r="10777" spans="1:3" x14ac:dyDescent="0.3">
      <c r="A10777">
        <v>43158</v>
      </c>
      <c r="B10777">
        <v>1</v>
      </c>
      <c r="C10777">
        <v>8</v>
      </c>
    </row>
    <row r="10778" spans="1:3" x14ac:dyDescent="0.3">
      <c r="A10778">
        <v>43558</v>
      </c>
      <c r="B10778">
        <v>1</v>
      </c>
      <c r="C10778">
        <v>8</v>
      </c>
    </row>
    <row r="10779" spans="1:3" x14ac:dyDescent="0.3">
      <c r="A10779">
        <v>44023</v>
      </c>
      <c r="B10779">
        <v>2</v>
      </c>
      <c r="C10779">
        <v>16</v>
      </c>
    </row>
    <row r="10780" spans="1:3" x14ac:dyDescent="0.3">
      <c r="A10780">
        <v>44023</v>
      </c>
      <c r="B10780">
        <v>2</v>
      </c>
      <c r="C10780">
        <v>16</v>
      </c>
    </row>
    <row r="10781" spans="1:3" x14ac:dyDescent="0.3">
      <c r="A10781">
        <v>44594</v>
      </c>
      <c r="B10781">
        <v>1</v>
      </c>
      <c r="C10781">
        <v>8</v>
      </c>
    </row>
    <row r="10782" spans="1:3" x14ac:dyDescent="0.3">
      <c r="A10782">
        <v>44596</v>
      </c>
      <c r="B10782">
        <v>1</v>
      </c>
      <c r="C10782">
        <v>8</v>
      </c>
    </row>
    <row r="10783" spans="1:3" x14ac:dyDescent="0.3">
      <c r="A10783">
        <v>45105</v>
      </c>
      <c r="B10783">
        <v>1</v>
      </c>
      <c r="C10783">
        <v>8</v>
      </c>
    </row>
    <row r="10784" spans="1:3" x14ac:dyDescent="0.3">
      <c r="A10784">
        <v>45623</v>
      </c>
      <c r="B10784">
        <v>1</v>
      </c>
      <c r="C10784">
        <v>8</v>
      </c>
    </row>
    <row r="10785" spans="1:3" x14ac:dyDescent="0.3">
      <c r="A10785">
        <v>45939</v>
      </c>
      <c r="B10785">
        <v>1</v>
      </c>
      <c r="C10785">
        <v>8</v>
      </c>
    </row>
    <row r="10786" spans="1:3" x14ac:dyDescent="0.3">
      <c r="A10786">
        <v>46040</v>
      </c>
      <c r="B10786">
        <v>1</v>
      </c>
      <c r="C10786">
        <v>8</v>
      </c>
    </row>
    <row r="10787" spans="1:3" x14ac:dyDescent="0.3">
      <c r="A10787">
        <v>46395</v>
      </c>
      <c r="B10787">
        <v>1</v>
      </c>
      <c r="C10787">
        <v>8</v>
      </c>
    </row>
    <row r="10788" spans="1:3" x14ac:dyDescent="0.3">
      <c r="A10788">
        <v>46396</v>
      </c>
      <c r="B10788">
        <v>1</v>
      </c>
      <c r="C10788">
        <v>8</v>
      </c>
    </row>
    <row r="10789" spans="1:3" x14ac:dyDescent="0.3">
      <c r="A10789">
        <v>47554</v>
      </c>
      <c r="B10789">
        <v>1</v>
      </c>
      <c r="C10789">
        <v>8</v>
      </c>
    </row>
    <row r="10790" spans="1:3" x14ac:dyDescent="0.3">
      <c r="A10790">
        <v>48261</v>
      </c>
      <c r="B10790">
        <v>1</v>
      </c>
      <c r="C10790">
        <v>8</v>
      </c>
    </row>
    <row r="10791" spans="1:3" x14ac:dyDescent="0.3">
      <c r="A10791">
        <v>48357</v>
      </c>
      <c r="B10791">
        <v>1</v>
      </c>
      <c r="C10791">
        <v>8</v>
      </c>
    </row>
    <row r="10792" spans="1:3" x14ac:dyDescent="0.3">
      <c r="A10792">
        <v>48365</v>
      </c>
      <c r="B10792">
        <v>1</v>
      </c>
      <c r="C10792">
        <v>8</v>
      </c>
    </row>
    <row r="10793" spans="1:3" x14ac:dyDescent="0.3">
      <c r="A10793">
        <v>48404</v>
      </c>
      <c r="B10793">
        <v>1</v>
      </c>
      <c r="C10793">
        <v>8</v>
      </c>
    </row>
    <row r="10794" spans="1:3" x14ac:dyDescent="0.3">
      <c r="A10794">
        <v>48502</v>
      </c>
      <c r="B10794">
        <v>1</v>
      </c>
      <c r="C10794">
        <v>8</v>
      </c>
    </row>
    <row r="10795" spans="1:3" x14ac:dyDescent="0.3">
      <c r="A10795">
        <v>48650</v>
      </c>
      <c r="B10795">
        <v>2</v>
      </c>
      <c r="C10795">
        <v>16</v>
      </c>
    </row>
    <row r="10796" spans="1:3" x14ac:dyDescent="0.3">
      <c r="A10796">
        <v>48650</v>
      </c>
      <c r="B10796">
        <v>2</v>
      </c>
      <c r="C10796">
        <v>16</v>
      </c>
    </row>
    <row r="10797" spans="1:3" x14ac:dyDescent="0.3">
      <c r="A10797">
        <v>48652</v>
      </c>
      <c r="B10797">
        <v>2</v>
      </c>
      <c r="C10797">
        <v>8</v>
      </c>
    </row>
    <row r="10798" spans="1:3" x14ac:dyDescent="0.3">
      <c r="A10798">
        <v>48652</v>
      </c>
      <c r="B10798">
        <v>2</v>
      </c>
      <c r="C10798">
        <v>8</v>
      </c>
    </row>
    <row r="10799" spans="1:3" x14ac:dyDescent="0.3">
      <c r="A10799">
        <v>48732</v>
      </c>
      <c r="B10799">
        <v>1</v>
      </c>
      <c r="C10799">
        <v>8</v>
      </c>
    </row>
    <row r="10800" spans="1:3" x14ac:dyDescent="0.3">
      <c r="A10800">
        <v>48771</v>
      </c>
      <c r="B10800">
        <v>1</v>
      </c>
      <c r="C10800">
        <v>8</v>
      </c>
    </row>
    <row r="10801" spans="1:3" x14ac:dyDescent="0.3">
      <c r="A10801">
        <v>48790</v>
      </c>
      <c r="B10801">
        <v>1</v>
      </c>
      <c r="C10801">
        <v>8</v>
      </c>
    </row>
    <row r="10802" spans="1:3" x14ac:dyDescent="0.3">
      <c r="A10802" s="26">
        <v>48873</v>
      </c>
      <c r="B10802" s="26">
        <v>2</v>
      </c>
      <c r="C10802" s="26">
        <v>16</v>
      </c>
    </row>
    <row r="10803" spans="1:3" x14ac:dyDescent="0.3">
      <c r="A10803">
        <v>48873</v>
      </c>
      <c r="B10803">
        <v>2</v>
      </c>
      <c r="C10803">
        <v>16</v>
      </c>
    </row>
    <row r="10804" spans="1:3" x14ac:dyDescent="0.3">
      <c r="A10804">
        <v>49061</v>
      </c>
      <c r="B10804">
        <v>1</v>
      </c>
      <c r="C10804">
        <v>8</v>
      </c>
    </row>
    <row r="10805" spans="1:3" x14ac:dyDescent="0.3">
      <c r="A10805">
        <v>49091</v>
      </c>
      <c r="B10805">
        <v>1</v>
      </c>
      <c r="C10805">
        <v>8</v>
      </c>
    </row>
    <row r="10806" spans="1:3" x14ac:dyDescent="0.3">
      <c r="A10806">
        <v>49112</v>
      </c>
      <c r="B10806">
        <v>1</v>
      </c>
      <c r="C10806">
        <v>8</v>
      </c>
    </row>
    <row r="10807" spans="1:3" x14ac:dyDescent="0.3">
      <c r="A10807">
        <v>49212</v>
      </c>
      <c r="B10807">
        <v>1</v>
      </c>
      <c r="C10807">
        <v>8</v>
      </c>
    </row>
    <row r="10808" spans="1:3" x14ac:dyDescent="0.3">
      <c r="A10808">
        <v>49329</v>
      </c>
      <c r="B10808">
        <v>2</v>
      </c>
      <c r="C10808">
        <v>16</v>
      </c>
    </row>
    <row r="10809" spans="1:3" x14ac:dyDescent="0.3">
      <c r="A10809">
        <v>49329</v>
      </c>
      <c r="B10809">
        <v>2</v>
      </c>
      <c r="C10809">
        <v>16</v>
      </c>
    </row>
    <row r="10810" spans="1:3" x14ac:dyDescent="0.3">
      <c r="A10810">
        <v>49347</v>
      </c>
      <c r="B10810">
        <v>1</v>
      </c>
      <c r="C10810">
        <v>8</v>
      </c>
    </row>
    <row r="10811" spans="1:3" x14ac:dyDescent="0.3">
      <c r="A10811">
        <v>49774</v>
      </c>
      <c r="B10811">
        <v>1</v>
      </c>
      <c r="C10811">
        <v>8</v>
      </c>
    </row>
    <row r="10812" spans="1:3" x14ac:dyDescent="0.3">
      <c r="A10812">
        <v>50195</v>
      </c>
      <c r="B10812">
        <v>1</v>
      </c>
      <c r="C10812">
        <v>8</v>
      </c>
    </row>
    <row r="10813" spans="1:3" x14ac:dyDescent="0.3">
      <c r="A10813">
        <v>50241</v>
      </c>
      <c r="B10813">
        <v>1</v>
      </c>
      <c r="C10813">
        <v>8</v>
      </c>
    </row>
    <row r="10814" spans="1:3" x14ac:dyDescent="0.3">
      <c r="A10814">
        <v>50247</v>
      </c>
      <c r="B10814">
        <v>1</v>
      </c>
      <c r="C10814">
        <v>8</v>
      </c>
    </row>
    <row r="10815" spans="1:3" x14ac:dyDescent="0.3">
      <c r="A10815">
        <v>50369</v>
      </c>
      <c r="B10815">
        <v>1</v>
      </c>
      <c r="C10815">
        <v>8</v>
      </c>
    </row>
    <row r="10816" spans="1:3" x14ac:dyDescent="0.3">
      <c r="A10816">
        <v>50393</v>
      </c>
      <c r="B10816">
        <v>1</v>
      </c>
      <c r="C10816">
        <v>8</v>
      </c>
    </row>
    <row r="10817" spans="1:3" x14ac:dyDescent="0.3">
      <c r="A10817">
        <v>50395</v>
      </c>
      <c r="B10817">
        <v>1</v>
      </c>
      <c r="C10817">
        <v>8</v>
      </c>
    </row>
    <row r="10818" spans="1:3" x14ac:dyDescent="0.3">
      <c r="A10818">
        <v>50409</v>
      </c>
      <c r="B10818">
        <v>1</v>
      </c>
      <c r="C10818">
        <v>16</v>
      </c>
    </row>
    <row r="10819" spans="1:3" x14ac:dyDescent="0.3">
      <c r="A10819">
        <v>50465</v>
      </c>
      <c r="B10819">
        <v>1</v>
      </c>
      <c r="C10819">
        <v>8</v>
      </c>
    </row>
    <row r="10820" spans="1:3" x14ac:dyDescent="0.3">
      <c r="A10820">
        <v>50472</v>
      </c>
      <c r="B10820">
        <v>1</v>
      </c>
      <c r="C10820">
        <v>8</v>
      </c>
    </row>
    <row r="10821" spans="1:3" x14ac:dyDescent="0.3">
      <c r="A10821">
        <v>50523</v>
      </c>
      <c r="B10821">
        <v>1</v>
      </c>
      <c r="C10821">
        <v>8</v>
      </c>
    </row>
    <row r="10822" spans="1:3" x14ac:dyDescent="0.3">
      <c r="A10822">
        <v>50594</v>
      </c>
      <c r="B10822">
        <v>1</v>
      </c>
      <c r="C10822">
        <v>8</v>
      </c>
    </row>
    <row r="10823" spans="1:3" x14ac:dyDescent="0.3">
      <c r="A10823">
        <v>50595</v>
      </c>
      <c r="B10823">
        <v>1</v>
      </c>
      <c r="C10823">
        <v>8</v>
      </c>
    </row>
    <row r="10824" spans="1:3" x14ac:dyDescent="0.3">
      <c r="A10824">
        <v>50878</v>
      </c>
      <c r="B10824">
        <v>2</v>
      </c>
      <c r="C10824">
        <v>16</v>
      </c>
    </row>
    <row r="10825" spans="1:3" x14ac:dyDescent="0.3">
      <c r="A10825">
        <v>50878</v>
      </c>
      <c r="B10825">
        <v>2</v>
      </c>
      <c r="C10825">
        <v>16</v>
      </c>
    </row>
    <row r="10826" spans="1:3" x14ac:dyDescent="0.3">
      <c r="A10826">
        <v>51037</v>
      </c>
      <c r="B10826">
        <v>1</v>
      </c>
      <c r="C10826">
        <v>8</v>
      </c>
    </row>
    <row r="10827" spans="1:3" x14ac:dyDescent="0.3">
      <c r="A10827">
        <v>51044</v>
      </c>
      <c r="B10827">
        <v>1</v>
      </c>
      <c r="C10827">
        <v>8</v>
      </c>
    </row>
    <row r="10828" spans="1:3" x14ac:dyDescent="0.3">
      <c r="A10828">
        <v>51181</v>
      </c>
      <c r="B10828">
        <v>1</v>
      </c>
      <c r="C10828">
        <v>8</v>
      </c>
    </row>
    <row r="10829" spans="1:3" x14ac:dyDescent="0.3">
      <c r="A10829">
        <v>51260</v>
      </c>
      <c r="B10829">
        <v>1</v>
      </c>
      <c r="C10829">
        <v>8</v>
      </c>
    </row>
    <row r="10830" spans="1:3" x14ac:dyDescent="0.3">
      <c r="A10830">
        <v>51522</v>
      </c>
      <c r="B10830">
        <v>1</v>
      </c>
      <c r="C10830">
        <v>16</v>
      </c>
    </row>
    <row r="10831" spans="1:3" x14ac:dyDescent="0.3">
      <c r="A10831">
        <v>51530</v>
      </c>
      <c r="B10831">
        <v>1</v>
      </c>
      <c r="C10831">
        <v>16</v>
      </c>
    </row>
    <row r="10832" spans="1:3" x14ac:dyDescent="0.3">
      <c r="A10832">
        <v>52226</v>
      </c>
      <c r="B10832">
        <v>1</v>
      </c>
      <c r="C10832">
        <v>16</v>
      </c>
    </row>
    <row r="10833" spans="1:3" x14ac:dyDescent="0.3">
      <c r="A10833">
        <v>52364</v>
      </c>
      <c r="B10833">
        <v>1</v>
      </c>
      <c r="C10833">
        <v>16</v>
      </c>
    </row>
    <row r="10834" spans="1:3" x14ac:dyDescent="0.3">
      <c r="A10834">
        <v>52385</v>
      </c>
      <c r="B10834">
        <v>1</v>
      </c>
      <c r="C10834">
        <v>8</v>
      </c>
    </row>
    <row r="10835" spans="1:3" x14ac:dyDescent="0.3">
      <c r="A10835">
        <v>52560</v>
      </c>
      <c r="B10835">
        <v>1</v>
      </c>
      <c r="C10835">
        <v>8</v>
      </c>
    </row>
    <row r="10836" spans="1:3" x14ac:dyDescent="0.3">
      <c r="A10836">
        <v>52923</v>
      </c>
      <c r="B10836">
        <v>1</v>
      </c>
      <c r="C10836">
        <v>8</v>
      </c>
    </row>
    <row r="10837" spans="1:3" x14ac:dyDescent="0.3">
      <c r="A10837">
        <v>52972</v>
      </c>
      <c r="B10837">
        <v>1</v>
      </c>
      <c r="C10837">
        <v>8</v>
      </c>
    </row>
    <row r="10838" spans="1:3" x14ac:dyDescent="0.3">
      <c r="A10838">
        <v>53022</v>
      </c>
      <c r="B10838">
        <v>1</v>
      </c>
      <c r="C10838">
        <v>16</v>
      </c>
    </row>
    <row r="10839" spans="1:3" x14ac:dyDescent="0.3">
      <c r="A10839">
        <v>53147</v>
      </c>
      <c r="B10839">
        <v>1</v>
      </c>
      <c r="C10839">
        <v>8</v>
      </c>
    </row>
    <row r="10840" spans="1:3" x14ac:dyDescent="0.3">
      <c r="A10840">
        <v>53417</v>
      </c>
      <c r="B10840">
        <v>1</v>
      </c>
      <c r="C10840">
        <v>8</v>
      </c>
    </row>
    <row r="10841" spans="1:3" x14ac:dyDescent="0.3">
      <c r="A10841">
        <v>53456</v>
      </c>
      <c r="B10841">
        <v>1</v>
      </c>
      <c r="C10841">
        <v>16</v>
      </c>
    </row>
    <row r="10842" spans="1:3" x14ac:dyDescent="0.3">
      <c r="A10842">
        <v>53647</v>
      </c>
      <c r="B10842">
        <v>2</v>
      </c>
      <c r="C10842">
        <v>16</v>
      </c>
    </row>
    <row r="10843" spans="1:3" x14ac:dyDescent="0.3">
      <c r="A10843">
        <v>53647</v>
      </c>
      <c r="B10843">
        <v>2</v>
      </c>
      <c r="C10843">
        <v>16</v>
      </c>
    </row>
    <row r="10844" spans="1:3" x14ac:dyDescent="0.3">
      <c r="A10844">
        <v>53821</v>
      </c>
      <c r="B10844">
        <v>1</v>
      </c>
      <c r="C10844">
        <v>8</v>
      </c>
    </row>
    <row r="10845" spans="1:3" x14ac:dyDescent="0.3">
      <c r="A10845">
        <v>53963</v>
      </c>
      <c r="B10845">
        <v>1</v>
      </c>
      <c r="C10845">
        <v>8</v>
      </c>
    </row>
    <row r="10846" spans="1:3" x14ac:dyDescent="0.3">
      <c r="A10846">
        <v>54145</v>
      </c>
      <c r="B10846">
        <v>1</v>
      </c>
      <c r="C10846">
        <v>8</v>
      </c>
    </row>
    <row r="10847" spans="1:3" x14ac:dyDescent="0.3">
      <c r="A10847">
        <v>54248</v>
      </c>
      <c r="B10847">
        <v>1</v>
      </c>
      <c r="C10847">
        <v>8</v>
      </c>
    </row>
    <row r="10848" spans="1:3" x14ac:dyDescent="0.3">
      <c r="A10848">
        <v>54252</v>
      </c>
      <c r="B10848">
        <v>1</v>
      </c>
      <c r="C10848">
        <v>8</v>
      </c>
    </row>
    <row r="10849" spans="1:3" x14ac:dyDescent="0.3">
      <c r="A10849">
        <v>54673</v>
      </c>
      <c r="B10849">
        <v>1</v>
      </c>
      <c r="C10849">
        <v>8</v>
      </c>
    </row>
    <row r="10850" spans="1:3" x14ac:dyDescent="0.3">
      <c r="A10850">
        <v>54827</v>
      </c>
      <c r="B10850">
        <v>1</v>
      </c>
      <c r="C10850">
        <v>8</v>
      </c>
    </row>
    <row r="10851" spans="1:3" x14ac:dyDescent="0.3">
      <c r="A10851">
        <v>54863</v>
      </c>
      <c r="B10851">
        <v>1</v>
      </c>
      <c r="C10851">
        <v>8</v>
      </c>
    </row>
    <row r="10852" spans="1:3" x14ac:dyDescent="0.3">
      <c r="A10852">
        <v>55143</v>
      </c>
      <c r="B10852">
        <v>1</v>
      </c>
      <c r="C10852">
        <v>8</v>
      </c>
    </row>
    <row r="10853" spans="1:3" x14ac:dyDescent="0.3">
      <c r="A10853">
        <v>55145</v>
      </c>
      <c r="B10853">
        <v>1</v>
      </c>
      <c r="C10853">
        <v>16</v>
      </c>
    </row>
    <row r="10854" spans="1:3" x14ac:dyDescent="0.3">
      <c r="A10854">
        <v>55304</v>
      </c>
      <c r="B10854">
        <v>1</v>
      </c>
      <c r="C10854">
        <v>8</v>
      </c>
    </row>
    <row r="10855" spans="1:3" x14ac:dyDescent="0.3">
      <c r="A10855">
        <v>55532</v>
      </c>
      <c r="B10855">
        <v>1</v>
      </c>
      <c r="C10855">
        <v>8</v>
      </c>
    </row>
    <row r="10856" spans="1:3" x14ac:dyDescent="0.3">
      <c r="A10856">
        <v>55780</v>
      </c>
      <c r="B10856">
        <v>1</v>
      </c>
      <c r="C10856">
        <v>16</v>
      </c>
    </row>
    <row r="10857" spans="1:3" x14ac:dyDescent="0.3">
      <c r="A10857">
        <v>56102</v>
      </c>
      <c r="B10857">
        <v>1</v>
      </c>
      <c r="C10857">
        <v>8</v>
      </c>
    </row>
    <row r="10858" spans="1:3" x14ac:dyDescent="0.3">
      <c r="A10858">
        <v>56432</v>
      </c>
      <c r="B10858">
        <v>2</v>
      </c>
      <c r="C10858">
        <v>16</v>
      </c>
    </row>
    <row r="10859" spans="1:3" x14ac:dyDescent="0.3">
      <c r="A10859">
        <v>56432</v>
      </c>
      <c r="B10859">
        <v>2</v>
      </c>
      <c r="C10859">
        <v>16</v>
      </c>
    </row>
    <row r="10860" spans="1:3" x14ac:dyDescent="0.3">
      <c r="A10860">
        <v>56436</v>
      </c>
      <c r="B10860">
        <v>1</v>
      </c>
      <c r="C10860">
        <v>16</v>
      </c>
    </row>
    <row r="10861" spans="1:3" x14ac:dyDescent="0.3">
      <c r="A10861">
        <v>56741</v>
      </c>
      <c r="B10861">
        <v>1</v>
      </c>
      <c r="C10861">
        <v>16</v>
      </c>
    </row>
    <row r="10862" spans="1:3" x14ac:dyDescent="0.3">
      <c r="A10862">
        <v>56774</v>
      </c>
      <c r="B10862">
        <v>1</v>
      </c>
      <c r="C10862">
        <v>8</v>
      </c>
    </row>
    <row r="10863" spans="1:3" x14ac:dyDescent="0.3">
      <c r="A10863">
        <v>56840</v>
      </c>
      <c r="B10863">
        <v>2</v>
      </c>
      <c r="C10863">
        <v>16</v>
      </c>
    </row>
    <row r="10864" spans="1:3" x14ac:dyDescent="0.3">
      <c r="A10864">
        <v>56840</v>
      </c>
      <c r="B10864">
        <v>2</v>
      </c>
      <c r="C10864">
        <v>16</v>
      </c>
    </row>
    <row r="10865" spans="1:3" x14ac:dyDescent="0.3">
      <c r="A10865">
        <v>57057</v>
      </c>
      <c r="B10865">
        <v>1</v>
      </c>
      <c r="C10865">
        <v>8</v>
      </c>
    </row>
    <row r="10866" spans="1:3" x14ac:dyDescent="0.3">
      <c r="A10866">
        <v>57240</v>
      </c>
      <c r="B10866">
        <v>1</v>
      </c>
      <c r="C10866">
        <v>8</v>
      </c>
    </row>
    <row r="10867" spans="1:3" x14ac:dyDescent="0.3">
      <c r="A10867">
        <v>57404</v>
      </c>
      <c r="B10867">
        <v>1</v>
      </c>
      <c r="C10867">
        <v>8</v>
      </c>
    </row>
    <row r="10868" spans="1:3" x14ac:dyDescent="0.3">
      <c r="A10868">
        <v>57443</v>
      </c>
      <c r="B10868">
        <v>1</v>
      </c>
      <c r="C10868">
        <v>16</v>
      </c>
    </row>
    <row r="10869" spans="1:3" x14ac:dyDescent="0.3">
      <c r="A10869">
        <v>57457</v>
      </c>
      <c r="B10869">
        <v>1</v>
      </c>
      <c r="C10869">
        <v>8</v>
      </c>
    </row>
    <row r="10870" spans="1:3" x14ac:dyDescent="0.3">
      <c r="A10870">
        <v>57838</v>
      </c>
      <c r="B10870">
        <v>1</v>
      </c>
      <c r="C10870">
        <v>8</v>
      </c>
    </row>
    <row r="10871" spans="1:3" x14ac:dyDescent="0.3">
      <c r="A10871">
        <v>57839</v>
      </c>
      <c r="B10871">
        <v>1</v>
      </c>
      <c r="C10871">
        <v>8</v>
      </c>
    </row>
    <row r="10872" spans="1:3" x14ac:dyDescent="0.3">
      <c r="A10872">
        <v>58209</v>
      </c>
      <c r="B10872">
        <v>1</v>
      </c>
      <c r="C10872">
        <v>8</v>
      </c>
    </row>
    <row r="10873" spans="1:3" x14ac:dyDescent="0.3">
      <c r="A10873">
        <v>58523</v>
      </c>
      <c r="B10873">
        <v>1</v>
      </c>
      <c r="C10873">
        <v>16</v>
      </c>
    </row>
    <row r="10874" spans="1:3" x14ac:dyDescent="0.3">
      <c r="A10874">
        <v>58553</v>
      </c>
      <c r="B10874">
        <v>1</v>
      </c>
      <c r="C10874">
        <v>16</v>
      </c>
    </row>
    <row r="10875" spans="1:3" x14ac:dyDescent="0.3">
      <c r="A10875">
        <v>58557</v>
      </c>
      <c r="B10875">
        <v>1</v>
      </c>
      <c r="C10875">
        <v>8</v>
      </c>
    </row>
    <row r="10876" spans="1:3" x14ac:dyDescent="0.3">
      <c r="A10876">
        <v>58675</v>
      </c>
      <c r="B10876">
        <v>1</v>
      </c>
      <c r="C10876">
        <v>8</v>
      </c>
    </row>
    <row r="10877" spans="1:3" x14ac:dyDescent="0.3">
      <c r="A10877">
        <v>58898</v>
      </c>
      <c r="B10877">
        <v>1</v>
      </c>
      <c r="C10877">
        <v>8</v>
      </c>
    </row>
    <row r="10878" spans="1:3" x14ac:dyDescent="0.3">
      <c r="A10878">
        <v>58905</v>
      </c>
      <c r="B10878">
        <v>1</v>
      </c>
      <c r="C10878">
        <v>8</v>
      </c>
    </row>
    <row r="10879" spans="1:3" x14ac:dyDescent="0.3">
      <c r="A10879">
        <v>58930</v>
      </c>
      <c r="B10879">
        <v>1</v>
      </c>
      <c r="C10879">
        <v>8</v>
      </c>
    </row>
    <row r="10880" spans="1:3" x14ac:dyDescent="0.3">
      <c r="A10880">
        <v>58941</v>
      </c>
      <c r="B10880">
        <v>1</v>
      </c>
      <c r="C10880">
        <v>8</v>
      </c>
    </row>
    <row r="10881" spans="1:3" x14ac:dyDescent="0.3">
      <c r="A10881">
        <v>59039</v>
      </c>
      <c r="B10881">
        <v>1</v>
      </c>
      <c r="C10881">
        <v>8</v>
      </c>
    </row>
    <row r="10882" spans="1:3" x14ac:dyDescent="0.3">
      <c r="A10882">
        <v>59142</v>
      </c>
      <c r="B10882">
        <v>1</v>
      </c>
      <c r="C10882">
        <v>8</v>
      </c>
    </row>
    <row r="10883" spans="1:3" x14ac:dyDescent="0.3">
      <c r="A10883">
        <v>59172</v>
      </c>
      <c r="B10883">
        <v>1</v>
      </c>
      <c r="C10883">
        <v>16</v>
      </c>
    </row>
    <row r="10884" spans="1:3" x14ac:dyDescent="0.3">
      <c r="A10884">
        <v>59285</v>
      </c>
      <c r="B10884">
        <v>1</v>
      </c>
      <c r="C10884">
        <v>8</v>
      </c>
    </row>
    <row r="10885" spans="1:3" x14ac:dyDescent="0.3">
      <c r="A10885">
        <v>59360</v>
      </c>
      <c r="B10885">
        <v>1</v>
      </c>
      <c r="C10885">
        <v>8</v>
      </c>
    </row>
    <row r="10886" spans="1:3" x14ac:dyDescent="0.3">
      <c r="A10886">
        <v>59388</v>
      </c>
      <c r="B10886">
        <v>1</v>
      </c>
      <c r="C10886">
        <v>8</v>
      </c>
    </row>
    <row r="10887" spans="1:3" x14ac:dyDescent="0.3">
      <c r="A10887">
        <v>59517</v>
      </c>
      <c r="B10887">
        <v>1</v>
      </c>
      <c r="C10887">
        <v>8</v>
      </c>
    </row>
    <row r="10888" spans="1:3" x14ac:dyDescent="0.3">
      <c r="A10888">
        <v>59668</v>
      </c>
      <c r="B10888">
        <v>1</v>
      </c>
      <c r="C10888">
        <v>8</v>
      </c>
    </row>
    <row r="10889" spans="1:3" x14ac:dyDescent="0.3">
      <c r="A10889">
        <v>59683</v>
      </c>
      <c r="B10889">
        <v>1</v>
      </c>
      <c r="C10889">
        <v>8</v>
      </c>
    </row>
    <row r="10890" spans="1:3" x14ac:dyDescent="0.3">
      <c r="A10890">
        <v>59691</v>
      </c>
      <c r="B10890">
        <v>1</v>
      </c>
      <c r="C10890">
        <v>8</v>
      </c>
    </row>
    <row r="10891" spans="1:3" x14ac:dyDescent="0.3">
      <c r="A10891">
        <v>59863</v>
      </c>
      <c r="B10891">
        <v>1</v>
      </c>
      <c r="C10891">
        <v>8</v>
      </c>
    </row>
    <row r="10892" spans="1:3" x14ac:dyDescent="0.3">
      <c r="A10892">
        <v>59865</v>
      </c>
      <c r="B10892">
        <v>1</v>
      </c>
      <c r="C10892">
        <v>8</v>
      </c>
    </row>
    <row r="10893" spans="1:3" x14ac:dyDescent="0.3">
      <c r="A10893">
        <v>59869</v>
      </c>
      <c r="B10893">
        <v>1</v>
      </c>
      <c r="C10893">
        <v>8</v>
      </c>
    </row>
    <row r="10894" spans="1:3" x14ac:dyDescent="0.3">
      <c r="A10894">
        <v>59971</v>
      </c>
      <c r="B10894">
        <v>2</v>
      </c>
      <c r="C10894">
        <v>16</v>
      </c>
    </row>
    <row r="10895" spans="1:3" x14ac:dyDescent="0.3">
      <c r="A10895">
        <v>59971</v>
      </c>
      <c r="B10895">
        <v>2</v>
      </c>
      <c r="C10895">
        <v>16</v>
      </c>
    </row>
    <row r="10896" spans="1:3" x14ac:dyDescent="0.3">
      <c r="A10896">
        <v>60161</v>
      </c>
      <c r="B10896">
        <v>1</v>
      </c>
      <c r="C10896">
        <v>8</v>
      </c>
    </row>
    <row r="10897" spans="1:3" x14ac:dyDescent="0.3">
      <c r="A10897">
        <v>60563</v>
      </c>
      <c r="B10897">
        <v>1</v>
      </c>
      <c r="C10897">
        <v>8</v>
      </c>
    </row>
    <row r="10898" spans="1:3" x14ac:dyDescent="0.3">
      <c r="A10898">
        <v>60927</v>
      </c>
      <c r="B10898">
        <v>1</v>
      </c>
      <c r="C10898">
        <v>8</v>
      </c>
    </row>
    <row r="10899" spans="1:3" x14ac:dyDescent="0.3">
      <c r="A10899">
        <v>61220</v>
      </c>
      <c r="B10899">
        <v>1</v>
      </c>
      <c r="C10899">
        <v>8</v>
      </c>
    </row>
    <row r="10900" spans="1:3" x14ac:dyDescent="0.3">
      <c r="A10900">
        <v>61263</v>
      </c>
      <c r="B10900">
        <v>1</v>
      </c>
      <c r="C10900">
        <v>8</v>
      </c>
    </row>
    <row r="10901" spans="1:3" x14ac:dyDescent="0.3">
      <c r="A10901">
        <v>61271</v>
      </c>
      <c r="B10901">
        <v>1</v>
      </c>
      <c r="C10901">
        <v>8</v>
      </c>
    </row>
    <row r="10902" spans="1:3" x14ac:dyDescent="0.3">
      <c r="A10902">
        <v>61693</v>
      </c>
      <c r="B10902">
        <v>1</v>
      </c>
      <c r="C10902">
        <v>8</v>
      </c>
    </row>
    <row r="10903" spans="1:3" x14ac:dyDescent="0.3">
      <c r="A10903">
        <v>61832</v>
      </c>
      <c r="B10903">
        <v>1</v>
      </c>
      <c r="C10903">
        <v>8</v>
      </c>
    </row>
    <row r="10904" spans="1:3" x14ac:dyDescent="0.3">
      <c r="A10904">
        <v>61841</v>
      </c>
      <c r="B10904">
        <v>1</v>
      </c>
      <c r="C10904">
        <v>8</v>
      </c>
    </row>
    <row r="10905" spans="1:3" x14ac:dyDescent="0.3">
      <c r="A10905">
        <v>61874</v>
      </c>
      <c r="B10905">
        <v>1</v>
      </c>
      <c r="C10905">
        <v>16</v>
      </c>
    </row>
    <row r="10906" spans="1:3" x14ac:dyDescent="0.3">
      <c r="A10906">
        <v>61882</v>
      </c>
      <c r="B10906">
        <v>1</v>
      </c>
      <c r="C10906">
        <v>8</v>
      </c>
    </row>
    <row r="10907" spans="1:3" x14ac:dyDescent="0.3">
      <c r="A10907">
        <v>61965</v>
      </c>
      <c r="B10907">
        <v>1</v>
      </c>
      <c r="C10907">
        <v>8</v>
      </c>
    </row>
    <row r="10908" spans="1:3" x14ac:dyDescent="0.3">
      <c r="A10908">
        <v>62002</v>
      </c>
      <c r="B10908">
        <v>1</v>
      </c>
      <c r="C10908">
        <v>8</v>
      </c>
    </row>
    <row r="10909" spans="1:3" x14ac:dyDescent="0.3">
      <c r="A10909">
        <v>62112</v>
      </c>
      <c r="B10909">
        <v>1</v>
      </c>
      <c r="C10909">
        <v>8</v>
      </c>
    </row>
    <row r="10910" spans="1:3" x14ac:dyDescent="0.3">
      <c r="A10910">
        <v>62113</v>
      </c>
      <c r="B10910">
        <v>1</v>
      </c>
      <c r="C10910">
        <v>8</v>
      </c>
    </row>
    <row r="10911" spans="1:3" x14ac:dyDescent="0.3">
      <c r="A10911">
        <v>62172</v>
      </c>
      <c r="B10911">
        <v>1</v>
      </c>
      <c r="C10911">
        <v>8</v>
      </c>
    </row>
    <row r="10912" spans="1:3" x14ac:dyDescent="0.3">
      <c r="A10912">
        <v>62305</v>
      </c>
      <c r="B10912">
        <v>1</v>
      </c>
      <c r="C10912">
        <v>8</v>
      </c>
    </row>
    <row r="10913" spans="1:3" x14ac:dyDescent="0.3">
      <c r="A10913">
        <v>62469</v>
      </c>
      <c r="B10913">
        <v>1</v>
      </c>
      <c r="C10913">
        <v>8</v>
      </c>
    </row>
    <row r="10914" spans="1:3" x14ac:dyDescent="0.3">
      <c r="A10914">
        <v>62517</v>
      </c>
      <c r="B10914">
        <v>1</v>
      </c>
      <c r="C10914">
        <v>8</v>
      </c>
    </row>
    <row r="10915" spans="1:3" x14ac:dyDescent="0.3">
      <c r="A10915">
        <v>62773</v>
      </c>
      <c r="B10915">
        <v>1</v>
      </c>
      <c r="C10915">
        <v>8</v>
      </c>
    </row>
    <row r="10916" spans="1:3" x14ac:dyDescent="0.3">
      <c r="A10916">
        <v>62828</v>
      </c>
      <c r="B10916">
        <v>1</v>
      </c>
      <c r="C10916">
        <v>8</v>
      </c>
    </row>
    <row r="10917" spans="1:3" x14ac:dyDescent="0.3">
      <c r="A10917">
        <v>62830</v>
      </c>
      <c r="B10917">
        <v>1</v>
      </c>
      <c r="C10917">
        <v>8</v>
      </c>
    </row>
    <row r="10918" spans="1:3" x14ac:dyDescent="0.3">
      <c r="A10918">
        <v>62882</v>
      </c>
      <c r="B10918">
        <v>1</v>
      </c>
      <c r="C10918">
        <v>8</v>
      </c>
    </row>
    <row r="10919" spans="1:3" x14ac:dyDescent="0.3">
      <c r="A10919">
        <v>62892</v>
      </c>
      <c r="B10919">
        <v>1</v>
      </c>
      <c r="C10919">
        <v>8</v>
      </c>
    </row>
    <row r="10920" spans="1:3" x14ac:dyDescent="0.3">
      <c r="A10920">
        <v>62990</v>
      </c>
      <c r="B10920">
        <v>1</v>
      </c>
      <c r="C10920">
        <v>16</v>
      </c>
    </row>
    <row r="10921" spans="1:3" x14ac:dyDescent="0.3">
      <c r="A10921">
        <v>63013</v>
      </c>
      <c r="B10921">
        <v>1</v>
      </c>
      <c r="C10921">
        <v>8</v>
      </c>
    </row>
    <row r="10922" spans="1:3" x14ac:dyDescent="0.3">
      <c r="A10922">
        <v>63089</v>
      </c>
      <c r="B10922">
        <v>1</v>
      </c>
      <c r="C10922">
        <v>8</v>
      </c>
    </row>
    <row r="10923" spans="1:3" x14ac:dyDescent="0.3">
      <c r="A10923">
        <v>63356</v>
      </c>
      <c r="B10923">
        <v>1</v>
      </c>
      <c r="C10923">
        <v>8</v>
      </c>
    </row>
    <row r="10924" spans="1:3" x14ac:dyDescent="0.3">
      <c r="A10924">
        <v>63739</v>
      </c>
      <c r="B10924">
        <v>1</v>
      </c>
      <c r="C10924">
        <v>8</v>
      </c>
    </row>
    <row r="10925" spans="1:3" x14ac:dyDescent="0.3">
      <c r="A10925">
        <v>63756</v>
      </c>
      <c r="B10925">
        <v>1</v>
      </c>
      <c r="C10925">
        <v>8</v>
      </c>
    </row>
    <row r="10926" spans="1:3" x14ac:dyDescent="0.3">
      <c r="A10926">
        <v>63776</v>
      </c>
      <c r="B10926">
        <v>1</v>
      </c>
      <c r="C10926">
        <v>8</v>
      </c>
    </row>
    <row r="10927" spans="1:3" x14ac:dyDescent="0.3">
      <c r="A10927">
        <v>63796</v>
      </c>
      <c r="B10927">
        <v>1</v>
      </c>
      <c r="C10927">
        <v>8</v>
      </c>
    </row>
    <row r="10928" spans="1:3" x14ac:dyDescent="0.3">
      <c r="A10928">
        <v>63891</v>
      </c>
      <c r="B10928">
        <v>1</v>
      </c>
      <c r="C10928">
        <v>8</v>
      </c>
    </row>
    <row r="10929" spans="1:3" x14ac:dyDescent="0.3">
      <c r="A10929">
        <v>63897</v>
      </c>
      <c r="B10929">
        <v>1</v>
      </c>
      <c r="C10929">
        <v>8</v>
      </c>
    </row>
    <row r="10930" spans="1:3" x14ac:dyDescent="0.3">
      <c r="A10930">
        <v>63940</v>
      </c>
      <c r="B10930">
        <v>1</v>
      </c>
      <c r="C10930">
        <v>8</v>
      </c>
    </row>
    <row r="10931" spans="1:3" x14ac:dyDescent="0.3">
      <c r="A10931">
        <v>63982</v>
      </c>
      <c r="B10931">
        <v>1</v>
      </c>
      <c r="C10931">
        <v>16</v>
      </c>
    </row>
    <row r="10932" spans="1:3" x14ac:dyDescent="0.3">
      <c r="A10932">
        <v>63988</v>
      </c>
      <c r="B10932">
        <v>1</v>
      </c>
      <c r="C10932">
        <v>8</v>
      </c>
    </row>
    <row r="10933" spans="1:3" x14ac:dyDescent="0.3">
      <c r="A10933">
        <v>64074</v>
      </c>
      <c r="B10933">
        <v>1</v>
      </c>
      <c r="C10933">
        <v>8</v>
      </c>
    </row>
    <row r="10934" spans="1:3" x14ac:dyDescent="0.3">
      <c r="A10934">
        <v>64543</v>
      </c>
      <c r="B10934">
        <v>1</v>
      </c>
      <c r="C10934">
        <v>8</v>
      </c>
    </row>
    <row r="10935" spans="1:3" x14ac:dyDescent="0.3">
      <c r="A10935">
        <v>64548</v>
      </c>
      <c r="B10935">
        <v>1</v>
      </c>
      <c r="C10935">
        <v>8</v>
      </c>
    </row>
    <row r="10936" spans="1:3" x14ac:dyDescent="0.3">
      <c r="A10936">
        <v>64606</v>
      </c>
      <c r="B10936">
        <v>1</v>
      </c>
      <c r="C10936">
        <v>16</v>
      </c>
    </row>
    <row r="10937" spans="1:3" x14ac:dyDescent="0.3">
      <c r="A10937">
        <v>64737</v>
      </c>
      <c r="B10937">
        <v>1</v>
      </c>
      <c r="C10937">
        <v>8</v>
      </c>
    </row>
    <row r="10938" spans="1:3" x14ac:dyDescent="0.3">
      <c r="A10938">
        <v>65228</v>
      </c>
      <c r="B10938">
        <v>1</v>
      </c>
      <c r="C10938">
        <v>8</v>
      </c>
    </row>
    <row r="10939" spans="1:3" x14ac:dyDescent="0.3">
      <c r="A10939">
        <v>65377</v>
      </c>
      <c r="B10939">
        <v>1</v>
      </c>
      <c r="C10939">
        <v>16</v>
      </c>
    </row>
    <row r="10940" spans="1:3" x14ac:dyDescent="0.3">
      <c r="A10940">
        <v>65547</v>
      </c>
      <c r="B10940">
        <v>1</v>
      </c>
      <c r="C10940">
        <v>8</v>
      </c>
    </row>
    <row r="10941" spans="1:3" x14ac:dyDescent="0.3">
      <c r="A10941">
        <v>65559</v>
      </c>
      <c r="B10941">
        <v>1</v>
      </c>
      <c r="C10941">
        <v>8</v>
      </c>
    </row>
    <row r="10942" spans="1:3" x14ac:dyDescent="0.3">
      <c r="A10942">
        <v>65763</v>
      </c>
      <c r="B10942">
        <v>1</v>
      </c>
      <c r="C10942">
        <v>8</v>
      </c>
    </row>
    <row r="10943" spans="1:3" x14ac:dyDescent="0.3">
      <c r="A10943">
        <v>65790</v>
      </c>
      <c r="B10943">
        <v>1</v>
      </c>
      <c r="C10943">
        <v>8</v>
      </c>
    </row>
    <row r="10944" spans="1:3" x14ac:dyDescent="0.3">
      <c r="A10944">
        <v>65791</v>
      </c>
      <c r="B10944">
        <v>1</v>
      </c>
      <c r="C10944">
        <v>8</v>
      </c>
    </row>
    <row r="10945" spans="1:3" x14ac:dyDescent="0.3">
      <c r="A10945">
        <v>65866</v>
      </c>
      <c r="B10945">
        <v>1</v>
      </c>
      <c r="C10945">
        <v>8</v>
      </c>
    </row>
    <row r="10946" spans="1:3" x14ac:dyDescent="0.3">
      <c r="A10946">
        <v>66022</v>
      </c>
      <c r="B10946">
        <v>1</v>
      </c>
      <c r="C10946">
        <v>8</v>
      </c>
    </row>
    <row r="10947" spans="1:3" x14ac:dyDescent="0.3">
      <c r="A10947">
        <v>66137</v>
      </c>
      <c r="B10947">
        <v>1</v>
      </c>
      <c r="C10947">
        <v>8</v>
      </c>
    </row>
    <row r="10948" spans="1:3" x14ac:dyDescent="0.3">
      <c r="A10948">
        <v>66153</v>
      </c>
      <c r="B10948">
        <v>1</v>
      </c>
      <c r="C10948">
        <v>8</v>
      </c>
    </row>
    <row r="10949" spans="1:3" x14ac:dyDescent="0.3">
      <c r="A10949">
        <v>66234</v>
      </c>
      <c r="B10949">
        <v>1</v>
      </c>
      <c r="C10949">
        <v>8</v>
      </c>
    </row>
    <row r="10950" spans="1:3" x14ac:dyDescent="0.3">
      <c r="A10950">
        <v>66293</v>
      </c>
      <c r="B10950">
        <v>1</v>
      </c>
      <c r="C10950">
        <v>8</v>
      </c>
    </row>
    <row r="10951" spans="1:3" x14ac:dyDescent="0.3">
      <c r="A10951">
        <v>66570</v>
      </c>
      <c r="B10951">
        <v>1</v>
      </c>
      <c r="C10951">
        <v>8</v>
      </c>
    </row>
    <row r="10952" spans="1:3" x14ac:dyDescent="0.3">
      <c r="A10952">
        <v>66586</v>
      </c>
      <c r="B10952">
        <v>1</v>
      </c>
      <c r="C10952">
        <v>8</v>
      </c>
    </row>
    <row r="10953" spans="1:3" x14ac:dyDescent="0.3">
      <c r="A10953">
        <v>66805</v>
      </c>
      <c r="B10953">
        <v>1</v>
      </c>
      <c r="C10953">
        <v>8</v>
      </c>
    </row>
    <row r="10954" spans="1:3" x14ac:dyDescent="0.3">
      <c r="A10954">
        <v>67035</v>
      </c>
      <c r="B10954">
        <v>1</v>
      </c>
      <c r="C10954">
        <v>8</v>
      </c>
    </row>
    <row r="10955" spans="1:3" x14ac:dyDescent="0.3">
      <c r="A10955">
        <v>67202</v>
      </c>
      <c r="B10955">
        <v>1</v>
      </c>
      <c r="C10955">
        <v>16</v>
      </c>
    </row>
    <row r="10956" spans="1:3" x14ac:dyDescent="0.3">
      <c r="A10956">
        <v>67220</v>
      </c>
      <c r="B10956">
        <v>1</v>
      </c>
      <c r="C10956">
        <v>8</v>
      </c>
    </row>
    <row r="10957" spans="1:3" x14ac:dyDescent="0.3">
      <c r="A10957">
        <v>67290</v>
      </c>
      <c r="B10957">
        <v>1</v>
      </c>
      <c r="C10957">
        <v>8</v>
      </c>
    </row>
    <row r="10958" spans="1:3" x14ac:dyDescent="0.3">
      <c r="A10958">
        <v>67377</v>
      </c>
      <c r="B10958">
        <v>1</v>
      </c>
      <c r="C10958">
        <v>8</v>
      </c>
    </row>
    <row r="10959" spans="1:3" x14ac:dyDescent="0.3">
      <c r="A10959">
        <v>67443</v>
      </c>
      <c r="B10959">
        <v>1</v>
      </c>
      <c r="C10959">
        <v>8</v>
      </c>
    </row>
    <row r="10960" spans="1:3" x14ac:dyDescent="0.3">
      <c r="A10960">
        <v>67446</v>
      </c>
      <c r="B10960">
        <v>1</v>
      </c>
      <c r="C10960">
        <v>8</v>
      </c>
    </row>
    <row r="10961" spans="1:3" x14ac:dyDescent="0.3">
      <c r="A10961">
        <v>67584</v>
      </c>
      <c r="B10961">
        <v>1</v>
      </c>
      <c r="C10961">
        <v>8</v>
      </c>
    </row>
    <row r="10962" spans="1:3" x14ac:dyDescent="0.3">
      <c r="A10962">
        <v>67619</v>
      </c>
      <c r="B10962">
        <v>1</v>
      </c>
      <c r="C10962">
        <v>8</v>
      </c>
    </row>
    <row r="10963" spans="1:3" x14ac:dyDescent="0.3">
      <c r="A10963">
        <v>67667</v>
      </c>
      <c r="B10963">
        <v>1</v>
      </c>
      <c r="C10963">
        <v>8</v>
      </c>
    </row>
    <row r="10964" spans="1:3" x14ac:dyDescent="0.3">
      <c r="A10964">
        <v>67730</v>
      </c>
      <c r="B10964">
        <v>1</v>
      </c>
      <c r="C10964">
        <v>8</v>
      </c>
    </row>
    <row r="10965" spans="1:3" x14ac:dyDescent="0.3">
      <c r="A10965">
        <v>67748</v>
      </c>
      <c r="B10965">
        <v>1</v>
      </c>
      <c r="C10965">
        <v>8</v>
      </c>
    </row>
    <row r="10966" spans="1:3" x14ac:dyDescent="0.3">
      <c r="A10966">
        <v>67835</v>
      </c>
      <c r="B10966">
        <v>1</v>
      </c>
      <c r="C10966">
        <v>8</v>
      </c>
    </row>
    <row r="10967" spans="1:3" x14ac:dyDescent="0.3">
      <c r="A10967">
        <v>68061</v>
      </c>
      <c r="B10967">
        <v>1</v>
      </c>
      <c r="C10967">
        <v>8</v>
      </c>
    </row>
    <row r="10968" spans="1:3" x14ac:dyDescent="0.3">
      <c r="A10968">
        <v>68070</v>
      </c>
      <c r="B10968">
        <v>1</v>
      </c>
      <c r="C10968">
        <v>8</v>
      </c>
    </row>
    <row r="10969" spans="1:3" x14ac:dyDescent="0.3">
      <c r="A10969">
        <v>68153</v>
      </c>
      <c r="B10969">
        <v>1</v>
      </c>
      <c r="C10969">
        <v>8</v>
      </c>
    </row>
    <row r="10970" spans="1:3" x14ac:dyDescent="0.3">
      <c r="A10970">
        <v>68265</v>
      </c>
      <c r="B10970">
        <v>1</v>
      </c>
      <c r="C10970">
        <v>8</v>
      </c>
    </row>
    <row r="10971" spans="1:3" x14ac:dyDescent="0.3">
      <c r="A10971">
        <v>68269</v>
      </c>
      <c r="B10971">
        <v>1</v>
      </c>
      <c r="C10971">
        <v>8</v>
      </c>
    </row>
    <row r="10972" spans="1:3" x14ac:dyDescent="0.3">
      <c r="A10972">
        <v>68283</v>
      </c>
      <c r="B10972">
        <v>1</v>
      </c>
      <c r="C10972">
        <v>8</v>
      </c>
    </row>
    <row r="10973" spans="1:3" x14ac:dyDescent="0.3">
      <c r="A10973">
        <v>68363</v>
      </c>
      <c r="B10973">
        <v>1</v>
      </c>
      <c r="C10973">
        <v>8</v>
      </c>
    </row>
    <row r="10974" spans="1:3" x14ac:dyDescent="0.3">
      <c r="A10974">
        <v>68364</v>
      </c>
      <c r="B10974">
        <v>1</v>
      </c>
      <c r="C10974">
        <v>8</v>
      </c>
    </row>
    <row r="10975" spans="1:3" x14ac:dyDescent="0.3">
      <c r="A10975">
        <v>68520</v>
      </c>
      <c r="B10975">
        <v>1</v>
      </c>
      <c r="C10975">
        <v>8</v>
      </c>
    </row>
    <row r="10976" spans="1:3" x14ac:dyDescent="0.3">
      <c r="A10976">
        <v>68521</v>
      </c>
      <c r="B10976">
        <v>1</v>
      </c>
      <c r="C10976">
        <v>8</v>
      </c>
    </row>
    <row r="10977" spans="1:3" x14ac:dyDescent="0.3">
      <c r="A10977">
        <v>68522</v>
      </c>
      <c r="B10977">
        <v>1</v>
      </c>
      <c r="C10977">
        <v>8</v>
      </c>
    </row>
    <row r="10978" spans="1:3" x14ac:dyDescent="0.3">
      <c r="A10978">
        <v>68553</v>
      </c>
      <c r="B10978">
        <v>1</v>
      </c>
      <c r="C10978">
        <v>8</v>
      </c>
    </row>
    <row r="10979" spans="1:3" x14ac:dyDescent="0.3">
      <c r="A10979">
        <v>68727</v>
      </c>
      <c r="B10979">
        <v>2</v>
      </c>
      <c r="C10979">
        <v>16</v>
      </c>
    </row>
    <row r="10980" spans="1:3" x14ac:dyDescent="0.3">
      <c r="A10980">
        <v>68727</v>
      </c>
      <c r="B10980">
        <v>2</v>
      </c>
      <c r="C10980">
        <v>16</v>
      </c>
    </row>
    <row r="10981" spans="1:3" x14ac:dyDescent="0.3">
      <c r="A10981">
        <v>68730</v>
      </c>
      <c r="B10981">
        <v>1</v>
      </c>
      <c r="C10981">
        <v>8</v>
      </c>
    </row>
    <row r="10982" spans="1:3" x14ac:dyDescent="0.3">
      <c r="A10982">
        <v>68736</v>
      </c>
      <c r="B10982">
        <v>1</v>
      </c>
      <c r="C10982">
        <v>8</v>
      </c>
    </row>
    <row r="10983" spans="1:3" x14ac:dyDescent="0.3">
      <c r="A10983">
        <v>68888</v>
      </c>
      <c r="B10983">
        <v>1</v>
      </c>
      <c r="C10983">
        <v>8</v>
      </c>
    </row>
    <row r="10984" spans="1:3" x14ac:dyDescent="0.3">
      <c r="A10984">
        <v>68935</v>
      </c>
      <c r="B10984">
        <v>1</v>
      </c>
      <c r="C10984">
        <v>8</v>
      </c>
    </row>
    <row r="10985" spans="1:3" x14ac:dyDescent="0.3">
      <c r="A10985">
        <v>68966</v>
      </c>
      <c r="B10985">
        <v>1</v>
      </c>
      <c r="C10985">
        <v>8</v>
      </c>
    </row>
    <row r="10986" spans="1:3" x14ac:dyDescent="0.3">
      <c r="A10986">
        <v>69257</v>
      </c>
      <c r="B10986">
        <v>1</v>
      </c>
      <c r="C10986">
        <v>8</v>
      </c>
    </row>
    <row r="10987" spans="1:3" x14ac:dyDescent="0.3">
      <c r="A10987">
        <v>69314</v>
      </c>
      <c r="B10987">
        <v>1</v>
      </c>
      <c r="C10987">
        <v>8</v>
      </c>
    </row>
    <row r="10988" spans="1:3" x14ac:dyDescent="0.3">
      <c r="A10988">
        <v>69403</v>
      </c>
      <c r="B10988">
        <v>1</v>
      </c>
      <c r="C10988">
        <v>8</v>
      </c>
    </row>
    <row r="10989" spans="1:3" x14ac:dyDescent="0.3">
      <c r="A10989">
        <v>69408</v>
      </c>
      <c r="B10989">
        <v>1</v>
      </c>
      <c r="C10989">
        <v>8</v>
      </c>
    </row>
    <row r="10990" spans="1:3" x14ac:dyDescent="0.3">
      <c r="A10990">
        <v>69429</v>
      </c>
      <c r="B10990">
        <v>1</v>
      </c>
      <c r="C10990">
        <v>8</v>
      </c>
    </row>
    <row r="10991" spans="1:3" x14ac:dyDescent="0.3">
      <c r="A10991">
        <v>69543</v>
      </c>
      <c r="B10991">
        <v>1</v>
      </c>
      <c r="C10991">
        <v>8</v>
      </c>
    </row>
    <row r="10992" spans="1:3" x14ac:dyDescent="0.3">
      <c r="A10992">
        <v>69570</v>
      </c>
      <c r="B10992">
        <v>1</v>
      </c>
      <c r="C10992">
        <v>8</v>
      </c>
    </row>
    <row r="10993" spans="1:3" x14ac:dyDescent="0.3">
      <c r="A10993">
        <v>69581</v>
      </c>
      <c r="B10993">
        <v>1</v>
      </c>
      <c r="C10993">
        <v>8</v>
      </c>
    </row>
    <row r="10994" spans="1:3" x14ac:dyDescent="0.3">
      <c r="A10994">
        <v>69676</v>
      </c>
      <c r="B10994">
        <v>1</v>
      </c>
      <c r="C10994">
        <v>8</v>
      </c>
    </row>
    <row r="10995" spans="1:3" x14ac:dyDescent="0.3">
      <c r="A10995">
        <v>69910</v>
      </c>
      <c r="B10995">
        <v>1</v>
      </c>
      <c r="C10995">
        <v>8</v>
      </c>
    </row>
    <row r="10996" spans="1:3" x14ac:dyDescent="0.3">
      <c r="A10996">
        <v>70005</v>
      </c>
      <c r="B10996">
        <v>1</v>
      </c>
      <c r="C10996">
        <v>8</v>
      </c>
    </row>
    <row r="10997" spans="1:3" x14ac:dyDescent="0.3">
      <c r="A10997">
        <v>70070</v>
      </c>
      <c r="B10997">
        <v>1</v>
      </c>
      <c r="C10997">
        <v>16</v>
      </c>
    </row>
    <row r="10998" spans="1:3" x14ac:dyDescent="0.3">
      <c r="A10998">
        <v>70140</v>
      </c>
      <c r="B10998">
        <v>1</v>
      </c>
      <c r="C10998">
        <v>8</v>
      </c>
    </row>
    <row r="10999" spans="1:3" x14ac:dyDescent="0.3">
      <c r="A10999">
        <v>70547</v>
      </c>
      <c r="B10999">
        <v>1</v>
      </c>
      <c r="C10999">
        <v>8</v>
      </c>
    </row>
    <row r="11000" spans="1:3" x14ac:dyDescent="0.3">
      <c r="A11000">
        <v>70787</v>
      </c>
      <c r="B11000">
        <v>1</v>
      </c>
      <c r="C11000">
        <v>8</v>
      </c>
    </row>
    <row r="11001" spans="1:3" x14ac:dyDescent="0.3">
      <c r="A11001">
        <v>70791</v>
      </c>
      <c r="B11001">
        <v>1</v>
      </c>
      <c r="C11001">
        <v>8</v>
      </c>
    </row>
    <row r="11002" spans="1:3" x14ac:dyDescent="0.3">
      <c r="A11002">
        <v>70839</v>
      </c>
      <c r="B11002">
        <v>1</v>
      </c>
      <c r="C11002">
        <v>8</v>
      </c>
    </row>
    <row r="11003" spans="1:3" x14ac:dyDescent="0.3">
      <c r="A11003">
        <v>70914</v>
      </c>
      <c r="B11003">
        <v>1</v>
      </c>
      <c r="C11003">
        <v>8</v>
      </c>
    </row>
    <row r="11004" spans="1:3" x14ac:dyDescent="0.3">
      <c r="A11004">
        <v>70952</v>
      </c>
      <c r="B11004">
        <v>1</v>
      </c>
      <c r="C11004">
        <v>8</v>
      </c>
    </row>
    <row r="11005" spans="1:3" x14ac:dyDescent="0.3">
      <c r="A11005">
        <v>71099</v>
      </c>
      <c r="B11005">
        <v>1</v>
      </c>
      <c r="C11005">
        <v>8</v>
      </c>
    </row>
    <row r="11006" spans="1:3" x14ac:dyDescent="0.3">
      <c r="A11006">
        <v>71101</v>
      </c>
      <c r="B11006">
        <v>1</v>
      </c>
      <c r="C11006">
        <v>8</v>
      </c>
    </row>
    <row r="11007" spans="1:3" x14ac:dyDescent="0.3">
      <c r="A11007">
        <v>71121</v>
      </c>
      <c r="B11007">
        <v>1</v>
      </c>
      <c r="C11007">
        <v>8</v>
      </c>
    </row>
    <row r="11008" spans="1:3" x14ac:dyDescent="0.3">
      <c r="A11008">
        <v>71187</v>
      </c>
      <c r="B11008">
        <v>1</v>
      </c>
      <c r="C11008">
        <v>8</v>
      </c>
    </row>
    <row r="11009" spans="1:3" x14ac:dyDescent="0.3">
      <c r="A11009">
        <v>71199</v>
      </c>
      <c r="B11009">
        <v>1</v>
      </c>
      <c r="C11009">
        <v>8</v>
      </c>
    </row>
    <row r="11010" spans="1:3" x14ac:dyDescent="0.3">
      <c r="A11010">
        <v>71200</v>
      </c>
      <c r="B11010">
        <v>1</v>
      </c>
      <c r="C11010">
        <v>8</v>
      </c>
    </row>
    <row r="11011" spans="1:3" x14ac:dyDescent="0.3">
      <c r="A11011">
        <v>71201</v>
      </c>
      <c r="B11011">
        <v>1</v>
      </c>
      <c r="C11011">
        <v>8</v>
      </c>
    </row>
    <row r="11012" spans="1:3" x14ac:dyDescent="0.3">
      <c r="A11012">
        <v>71205</v>
      </c>
      <c r="B11012">
        <v>1</v>
      </c>
      <c r="C11012">
        <v>8</v>
      </c>
    </row>
    <row r="11013" spans="1:3" x14ac:dyDescent="0.3">
      <c r="A11013">
        <v>71382</v>
      </c>
      <c r="B11013">
        <v>1</v>
      </c>
      <c r="C11013">
        <v>8</v>
      </c>
    </row>
    <row r="11014" spans="1:3" x14ac:dyDescent="0.3">
      <c r="A11014">
        <v>71647</v>
      </c>
      <c r="B11014">
        <v>1</v>
      </c>
      <c r="C11014">
        <v>8</v>
      </c>
    </row>
    <row r="11015" spans="1:3" x14ac:dyDescent="0.3">
      <c r="A11015">
        <v>71736</v>
      </c>
      <c r="B11015">
        <v>1</v>
      </c>
      <c r="C11015">
        <v>16</v>
      </c>
    </row>
    <row r="11016" spans="1:3" x14ac:dyDescent="0.3">
      <c r="A11016">
        <v>71895</v>
      </c>
      <c r="B11016">
        <v>1</v>
      </c>
      <c r="C11016">
        <v>8</v>
      </c>
    </row>
    <row r="11017" spans="1:3" x14ac:dyDescent="0.3">
      <c r="A11017">
        <v>71943</v>
      </c>
      <c r="B11017">
        <v>1</v>
      </c>
      <c r="C11017">
        <v>8</v>
      </c>
    </row>
    <row r="11018" spans="1:3" x14ac:dyDescent="0.3">
      <c r="A11018">
        <v>71955</v>
      </c>
      <c r="B11018">
        <v>1</v>
      </c>
      <c r="C11018">
        <v>8</v>
      </c>
    </row>
    <row r="11019" spans="1:3" x14ac:dyDescent="0.3">
      <c r="A11019">
        <v>72035</v>
      </c>
      <c r="B11019">
        <v>1</v>
      </c>
      <c r="C11019">
        <v>8</v>
      </c>
    </row>
    <row r="11020" spans="1:3" x14ac:dyDescent="0.3">
      <c r="A11020">
        <v>72163</v>
      </c>
      <c r="B11020">
        <v>1</v>
      </c>
      <c r="C11020">
        <v>8</v>
      </c>
    </row>
    <row r="11021" spans="1:3" x14ac:dyDescent="0.3">
      <c r="A11021">
        <v>72273</v>
      </c>
      <c r="B11021">
        <v>1</v>
      </c>
      <c r="C11021">
        <v>8</v>
      </c>
    </row>
    <row r="11022" spans="1:3" x14ac:dyDescent="0.3">
      <c r="A11022">
        <v>72308</v>
      </c>
      <c r="B11022">
        <v>1</v>
      </c>
      <c r="C11022">
        <v>8</v>
      </c>
    </row>
    <row r="11023" spans="1:3" x14ac:dyDescent="0.3">
      <c r="A11023">
        <v>72452</v>
      </c>
      <c r="B11023">
        <v>1</v>
      </c>
      <c r="C11023">
        <v>8</v>
      </c>
    </row>
    <row r="11024" spans="1:3" x14ac:dyDescent="0.3">
      <c r="A11024">
        <v>72455</v>
      </c>
      <c r="B11024">
        <v>1</v>
      </c>
      <c r="C11024">
        <v>8</v>
      </c>
    </row>
    <row r="11025" spans="1:3" x14ac:dyDescent="0.3">
      <c r="A11025">
        <v>72474</v>
      </c>
      <c r="B11025">
        <v>1</v>
      </c>
      <c r="C11025">
        <v>8</v>
      </c>
    </row>
    <row r="11026" spans="1:3" x14ac:dyDescent="0.3">
      <c r="A11026">
        <v>72571</v>
      </c>
      <c r="B11026">
        <v>1</v>
      </c>
      <c r="C11026">
        <v>8</v>
      </c>
    </row>
    <row r="11027" spans="1:3" x14ac:dyDescent="0.3">
      <c r="A11027">
        <v>72585</v>
      </c>
      <c r="B11027">
        <v>1</v>
      </c>
      <c r="C11027">
        <v>8</v>
      </c>
    </row>
    <row r="11028" spans="1:3" x14ac:dyDescent="0.3">
      <c r="A11028">
        <v>72586</v>
      </c>
      <c r="B11028">
        <v>1</v>
      </c>
      <c r="C11028">
        <v>8</v>
      </c>
    </row>
    <row r="11029" spans="1:3" x14ac:dyDescent="0.3">
      <c r="A11029">
        <v>72609</v>
      </c>
      <c r="B11029">
        <v>1</v>
      </c>
      <c r="C11029">
        <v>8</v>
      </c>
    </row>
    <row r="11030" spans="1:3" x14ac:dyDescent="0.3">
      <c r="A11030">
        <v>72628</v>
      </c>
      <c r="B11030">
        <v>1</v>
      </c>
      <c r="C11030">
        <v>8</v>
      </c>
    </row>
    <row r="11031" spans="1:3" x14ac:dyDescent="0.3">
      <c r="A11031">
        <v>72630</v>
      </c>
      <c r="B11031">
        <v>1</v>
      </c>
      <c r="C11031">
        <v>8</v>
      </c>
    </row>
    <row r="11032" spans="1:3" x14ac:dyDescent="0.3">
      <c r="A11032">
        <v>72675</v>
      </c>
      <c r="B11032">
        <v>1</v>
      </c>
      <c r="C11032">
        <v>8</v>
      </c>
    </row>
    <row r="11033" spans="1:3" x14ac:dyDescent="0.3">
      <c r="A11033">
        <v>72688</v>
      </c>
      <c r="B11033">
        <v>1</v>
      </c>
      <c r="C11033">
        <v>8</v>
      </c>
    </row>
    <row r="11034" spans="1:3" x14ac:dyDescent="0.3">
      <c r="A11034">
        <v>72697</v>
      </c>
      <c r="B11034">
        <v>1</v>
      </c>
      <c r="C11034">
        <v>8</v>
      </c>
    </row>
    <row r="11035" spans="1:3" x14ac:dyDescent="0.3">
      <c r="A11035">
        <v>72704</v>
      </c>
      <c r="B11035">
        <v>1</v>
      </c>
      <c r="C11035">
        <v>8</v>
      </c>
    </row>
    <row r="11036" spans="1:3" x14ac:dyDescent="0.3">
      <c r="A11036">
        <v>72734</v>
      </c>
      <c r="B11036">
        <v>1</v>
      </c>
      <c r="C11036">
        <v>8</v>
      </c>
    </row>
    <row r="11037" spans="1:3" x14ac:dyDescent="0.3">
      <c r="A11037">
        <v>72940</v>
      </c>
      <c r="B11037">
        <v>1</v>
      </c>
      <c r="C11037">
        <v>8</v>
      </c>
    </row>
    <row r="11038" spans="1:3" x14ac:dyDescent="0.3">
      <c r="A11038">
        <v>72962</v>
      </c>
      <c r="B11038">
        <v>1</v>
      </c>
      <c r="C11038">
        <v>8</v>
      </c>
    </row>
    <row r="11039" spans="1:3" x14ac:dyDescent="0.3">
      <c r="A11039">
        <v>73049</v>
      </c>
      <c r="B11039">
        <v>1</v>
      </c>
      <c r="C11039">
        <v>8</v>
      </c>
    </row>
    <row r="11040" spans="1:3" x14ac:dyDescent="0.3">
      <c r="A11040">
        <v>73765</v>
      </c>
      <c r="B11040">
        <v>2</v>
      </c>
      <c r="C11040">
        <v>16</v>
      </c>
    </row>
    <row r="11041" spans="1:3" x14ac:dyDescent="0.3">
      <c r="A11041">
        <v>73765</v>
      </c>
      <c r="B11041">
        <v>2</v>
      </c>
      <c r="C11041">
        <v>16</v>
      </c>
    </row>
    <row r="11042" spans="1:3" x14ac:dyDescent="0.3">
      <c r="A11042">
        <v>73810</v>
      </c>
      <c r="B11042">
        <v>1</v>
      </c>
      <c r="C11042">
        <v>8</v>
      </c>
    </row>
    <row r="11043" spans="1:3" x14ac:dyDescent="0.3">
      <c r="A11043">
        <v>73822</v>
      </c>
      <c r="B11043">
        <v>1</v>
      </c>
      <c r="C11043">
        <v>16</v>
      </c>
    </row>
    <row r="11044" spans="1:3" x14ac:dyDescent="0.3">
      <c r="A11044">
        <v>73959</v>
      </c>
      <c r="B11044">
        <v>1</v>
      </c>
      <c r="C11044">
        <v>8</v>
      </c>
    </row>
    <row r="11045" spans="1:3" x14ac:dyDescent="0.3">
      <c r="A11045">
        <v>74007</v>
      </c>
      <c r="B11045">
        <v>1</v>
      </c>
      <c r="C11045">
        <v>8</v>
      </c>
    </row>
    <row r="11046" spans="1:3" x14ac:dyDescent="0.3">
      <c r="A11046">
        <v>74223</v>
      </c>
      <c r="B11046">
        <v>1</v>
      </c>
      <c r="C11046">
        <v>8</v>
      </c>
    </row>
    <row r="11047" spans="1:3" x14ac:dyDescent="0.3">
      <c r="A11047">
        <v>74296</v>
      </c>
      <c r="B11047">
        <v>1</v>
      </c>
      <c r="C11047">
        <v>8</v>
      </c>
    </row>
    <row r="11048" spans="1:3" x14ac:dyDescent="0.3">
      <c r="A11048">
        <v>74368</v>
      </c>
      <c r="B11048">
        <v>1</v>
      </c>
      <c r="C11048">
        <v>8</v>
      </c>
    </row>
    <row r="11049" spans="1:3" x14ac:dyDescent="0.3">
      <c r="A11049">
        <v>74423</v>
      </c>
      <c r="B11049">
        <v>1</v>
      </c>
      <c r="C11049">
        <v>8</v>
      </c>
    </row>
    <row r="11050" spans="1:3" x14ac:dyDescent="0.3">
      <c r="A11050">
        <v>74454</v>
      </c>
      <c r="B11050">
        <v>1</v>
      </c>
      <c r="C11050">
        <v>8</v>
      </c>
    </row>
    <row r="11051" spans="1:3" x14ac:dyDescent="0.3">
      <c r="A11051">
        <v>74469</v>
      </c>
      <c r="B11051">
        <v>1</v>
      </c>
      <c r="C11051">
        <v>8</v>
      </c>
    </row>
    <row r="11052" spans="1:3" x14ac:dyDescent="0.3">
      <c r="A11052">
        <v>74494</v>
      </c>
      <c r="B11052">
        <v>1</v>
      </c>
      <c r="C11052">
        <v>8</v>
      </c>
    </row>
    <row r="11053" spans="1:3" x14ac:dyDescent="0.3">
      <c r="A11053">
        <v>74751</v>
      </c>
      <c r="B11053">
        <v>1</v>
      </c>
      <c r="C11053">
        <v>8</v>
      </c>
    </row>
    <row r="11054" spans="1:3" x14ac:dyDescent="0.3">
      <c r="A11054">
        <v>74799</v>
      </c>
      <c r="B11054">
        <v>1</v>
      </c>
      <c r="C11054">
        <v>16</v>
      </c>
    </row>
    <row r="11055" spans="1:3" x14ac:dyDescent="0.3">
      <c r="A11055">
        <v>74966</v>
      </c>
      <c r="B11055">
        <v>1</v>
      </c>
      <c r="C11055">
        <v>8</v>
      </c>
    </row>
    <row r="11056" spans="1:3" x14ac:dyDescent="0.3">
      <c r="A11056">
        <v>75048</v>
      </c>
      <c r="B11056">
        <v>1</v>
      </c>
      <c r="C11056">
        <v>8</v>
      </c>
    </row>
    <row r="11057" spans="1:3" x14ac:dyDescent="0.3">
      <c r="A11057">
        <v>75132</v>
      </c>
      <c r="B11057">
        <v>1</v>
      </c>
      <c r="C11057">
        <v>8</v>
      </c>
    </row>
    <row r="11058" spans="1:3" x14ac:dyDescent="0.3">
      <c r="A11058">
        <v>75257</v>
      </c>
      <c r="B11058">
        <v>1</v>
      </c>
      <c r="C11058">
        <v>8</v>
      </c>
    </row>
    <row r="11059" spans="1:3" x14ac:dyDescent="0.3">
      <c r="A11059">
        <v>75267</v>
      </c>
      <c r="B11059">
        <v>1</v>
      </c>
      <c r="C11059">
        <v>8</v>
      </c>
    </row>
    <row r="11060" spans="1:3" x14ac:dyDescent="0.3">
      <c r="A11060">
        <v>75281</v>
      </c>
      <c r="B11060">
        <v>1</v>
      </c>
      <c r="C11060">
        <v>8</v>
      </c>
    </row>
    <row r="11061" spans="1:3" x14ac:dyDescent="0.3">
      <c r="A11061">
        <v>75354</v>
      </c>
      <c r="B11061">
        <v>1</v>
      </c>
      <c r="C11061">
        <v>16</v>
      </c>
    </row>
    <row r="11062" spans="1:3" x14ac:dyDescent="0.3">
      <c r="A11062">
        <v>75492</v>
      </c>
      <c r="B11062">
        <v>1</v>
      </c>
      <c r="C11062">
        <v>8</v>
      </c>
    </row>
    <row r="11063" spans="1:3" x14ac:dyDescent="0.3">
      <c r="A11063">
        <v>75606</v>
      </c>
      <c r="B11063">
        <v>1</v>
      </c>
      <c r="C11063">
        <v>8</v>
      </c>
    </row>
    <row r="11064" spans="1:3" x14ac:dyDescent="0.3">
      <c r="A11064">
        <v>75658</v>
      </c>
      <c r="B11064">
        <v>1</v>
      </c>
      <c r="C11064">
        <v>8</v>
      </c>
    </row>
    <row r="11065" spans="1:3" x14ac:dyDescent="0.3">
      <c r="A11065">
        <v>75683</v>
      </c>
      <c r="B11065">
        <v>2</v>
      </c>
      <c r="C11065">
        <v>16</v>
      </c>
    </row>
    <row r="11066" spans="1:3" x14ac:dyDescent="0.3">
      <c r="A11066">
        <v>75683</v>
      </c>
      <c r="B11066">
        <v>2</v>
      </c>
      <c r="C11066">
        <v>16</v>
      </c>
    </row>
    <row r="11067" spans="1:3" x14ac:dyDescent="0.3">
      <c r="A11067">
        <v>75802</v>
      </c>
      <c r="B11067">
        <v>1</v>
      </c>
      <c r="C11067">
        <v>8</v>
      </c>
    </row>
    <row r="11068" spans="1:3" x14ac:dyDescent="0.3">
      <c r="A11068">
        <v>75877</v>
      </c>
      <c r="B11068">
        <v>1</v>
      </c>
      <c r="C11068">
        <v>8</v>
      </c>
    </row>
    <row r="11069" spans="1:3" x14ac:dyDescent="0.3">
      <c r="A11069">
        <v>75892</v>
      </c>
      <c r="B11069">
        <v>1</v>
      </c>
      <c r="C11069">
        <v>8</v>
      </c>
    </row>
    <row r="11070" spans="1:3" x14ac:dyDescent="0.3">
      <c r="A11070">
        <v>75895</v>
      </c>
      <c r="B11070">
        <v>1</v>
      </c>
      <c r="C11070">
        <v>8</v>
      </c>
    </row>
    <row r="11071" spans="1:3" x14ac:dyDescent="0.3">
      <c r="A11071">
        <v>76156</v>
      </c>
      <c r="B11071">
        <v>1</v>
      </c>
      <c r="C11071">
        <v>8</v>
      </c>
    </row>
    <row r="11072" spans="1:3" x14ac:dyDescent="0.3">
      <c r="A11072">
        <v>76193</v>
      </c>
      <c r="B11072">
        <v>1</v>
      </c>
      <c r="C11072">
        <v>8</v>
      </c>
    </row>
    <row r="11073" spans="1:3" x14ac:dyDescent="0.3">
      <c r="A11073">
        <v>76208</v>
      </c>
      <c r="B11073">
        <v>1</v>
      </c>
      <c r="C11073">
        <v>16</v>
      </c>
    </row>
    <row r="11074" spans="1:3" x14ac:dyDescent="0.3">
      <c r="A11074">
        <v>76280</v>
      </c>
      <c r="B11074">
        <v>1</v>
      </c>
      <c r="C11074">
        <v>8</v>
      </c>
    </row>
    <row r="11075" spans="1:3" x14ac:dyDescent="0.3">
      <c r="A11075">
        <v>76314</v>
      </c>
      <c r="B11075">
        <v>1</v>
      </c>
      <c r="C11075">
        <v>8</v>
      </c>
    </row>
    <row r="11076" spans="1:3" x14ac:dyDescent="0.3">
      <c r="A11076">
        <v>76428</v>
      </c>
      <c r="B11076">
        <v>1</v>
      </c>
      <c r="C11076">
        <v>8</v>
      </c>
    </row>
    <row r="11077" spans="1:3" x14ac:dyDescent="0.3">
      <c r="A11077">
        <v>76431</v>
      </c>
      <c r="B11077">
        <v>1</v>
      </c>
      <c r="C11077">
        <v>8</v>
      </c>
    </row>
    <row r="11078" spans="1:3" x14ac:dyDescent="0.3">
      <c r="A11078">
        <v>76432</v>
      </c>
      <c r="B11078">
        <v>1</v>
      </c>
      <c r="C11078">
        <v>8</v>
      </c>
    </row>
    <row r="11079" spans="1:3" x14ac:dyDescent="0.3">
      <c r="A11079">
        <v>76646</v>
      </c>
      <c r="B11079">
        <v>1</v>
      </c>
      <c r="C11079">
        <v>8</v>
      </c>
    </row>
    <row r="11080" spans="1:3" x14ac:dyDescent="0.3">
      <c r="A11080">
        <v>76670</v>
      </c>
      <c r="B11080">
        <v>1</v>
      </c>
      <c r="C11080">
        <v>8</v>
      </c>
    </row>
    <row r="11081" spans="1:3" x14ac:dyDescent="0.3">
      <c r="A11081">
        <v>76680</v>
      </c>
      <c r="B11081">
        <v>1</v>
      </c>
      <c r="C11081">
        <v>8</v>
      </c>
    </row>
    <row r="11082" spans="1:3" x14ac:dyDescent="0.3">
      <c r="A11082">
        <v>76813</v>
      </c>
      <c r="B11082">
        <v>1</v>
      </c>
      <c r="C11082">
        <v>8</v>
      </c>
    </row>
    <row r="11083" spans="1:3" x14ac:dyDescent="0.3">
      <c r="A11083">
        <v>76817</v>
      </c>
      <c r="B11083">
        <v>1</v>
      </c>
      <c r="C11083">
        <v>8</v>
      </c>
    </row>
    <row r="11084" spans="1:3" x14ac:dyDescent="0.3">
      <c r="A11084">
        <v>76917</v>
      </c>
      <c r="B11084">
        <v>1</v>
      </c>
      <c r="C11084">
        <v>8</v>
      </c>
    </row>
    <row r="11085" spans="1:3" x14ac:dyDescent="0.3">
      <c r="A11085">
        <v>76925</v>
      </c>
      <c r="B11085">
        <v>1</v>
      </c>
      <c r="C11085">
        <v>8</v>
      </c>
    </row>
    <row r="11086" spans="1:3" x14ac:dyDescent="0.3">
      <c r="A11086">
        <v>77038</v>
      </c>
      <c r="B11086">
        <v>1</v>
      </c>
      <c r="C11086">
        <v>8</v>
      </c>
    </row>
    <row r="11087" spans="1:3" x14ac:dyDescent="0.3">
      <c r="A11087">
        <v>77041</v>
      </c>
      <c r="B11087">
        <v>1</v>
      </c>
      <c r="C11087">
        <v>8</v>
      </c>
    </row>
    <row r="11088" spans="1:3" x14ac:dyDescent="0.3">
      <c r="A11088">
        <v>77286</v>
      </c>
      <c r="B11088">
        <v>1</v>
      </c>
      <c r="C11088">
        <v>8</v>
      </c>
    </row>
    <row r="11089" spans="1:3" x14ac:dyDescent="0.3">
      <c r="A11089">
        <v>77353</v>
      </c>
      <c r="B11089">
        <v>1</v>
      </c>
      <c r="C11089">
        <v>8</v>
      </c>
    </row>
    <row r="11090" spans="1:3" x14ac:dyDescent="0.3">
      <c r="A11090">
        <v>77366</v>
      </c>
      <c r="B11090">
        <v>1</v>
      </c>
      <c r="C11090">
        <v>8</v>
      </c>
    </row>
    <row r="11091" spans="1:3" x14ac:dyDescent="0.3">
      <c r="A11091">
        <v>77370</v>
      </c>
      <c r="B11091">
        <v>1</v>
      </c>
      <c r="C11091">
        <v>8</v>
      </c>
    </row>
    <row r="11092" spans="1:3" x14ac:dyDescent="0.3">
      <c r="A11092">
        <v>77411</v>
      </c>
      <c r="B11092">
        <v>1</v>
      </c>
      <c r="C11092">
        <v>8</v>
      </c>
    </row>
    <row r="11093" spans="1:3" x14ac:dyDescent="0.3">
      <c r="A11093">
        <v>77419</v>
      </c>
      <c r="B11093">
        <v>1</v>
      </c>
      <c r="C11093">
        <v>8</v>
      </c>
    </row>
    <row r="11094" spans="1:3" x14ac:dyDescent="0.3">
      <c r="A11094">
        <v>77482</v>
      </c>
      <c r="B11094">
        <v>1</v>
      </c>
      <c r="C11094">
        <v>8</v>
      </c>
    </row>
    <row r="11095" spans="1:3" x14ac:dyDescent="0.3">
      <c r="A11095">
        <v>77490</v>
      </c>
      <c r="B11095">
        <v>1</v>
      </c>
      <c r="C11095">
        <v>8</v>
      </c>
    </row>
    <row r="11096" spans="1:3" x14ac:dyDescent="0.3">
      <c r="A11096">
        <v>77505</v>
      </c>
      <c r="B11096">
        <v>1</v>
      </c>
      <c r="C11096">
        <v>8</v>
      </c>
    </row>
    <row r="11097" spans="1:3" x14ac:dyDescent="0.3">
      <c r="A11097">
        <v>77544</v>
      </c>
      <c r="B11097">
        <v>1</v>
      </c>
      <c r="C11097">
        <v>16</v>
      </c>
    </row>
    <row r="11098" spans="1:3" x14ac:dyDescent="0.3">
      <c r="A11098">
        <v>77554</v>
      </c>
      <c r="B11098">
        <v>1</v>
      </c>
      <c r="C11098">
        <v>8</v>
      </c>
    </row>
    <row r="11099" spans="1:3" x14ac:dyDescent="0.3">
      <c r="A11099">
        <v>77623</v>
      </c>
      <c r="B11099">
        <v>1</v>
      </c>
      <c r="C11099">
        <v>8</v>
      </c>
    </row>
    <row r="11100" spans="1:3" x14ac:dyDescent="0.3">
      <c r="A11100">
        <v>77687</v>
      </c>
      <c r="B11100">
        <v>1</v>
      </c>
      <c r="C11100">
        <v>16</v>
      </c>
    </row>
    <row r="11101" spans="1:3" x14ac:dyDescent="0.3">
      <c r="A11101">
        <v>77740</v>
      </c>
      <c r="B11101">
        <v>1</v>
      </c>
      <c r="C11101">
        <v>8</v>
      </c>
    </row>
    <row r="11102" spans="1:3" x14ac:dyDescent="0.3">
      <c r="A11102">
        <v>77819</v>
      </c>
      <c r="B11102">
        <v>1</v>
      </c>
      <c r="C11102">
        <v>8</v>
      </c>
    </row>
    <row r="11103" spans="1:3" x14ac:dyDescent="0.3">
      <c r="A11103">
        <v>77905</v>
      </c>
      <c r="B11103">
        <v>1</v>
      </c>
      <c r="C11103">
        <v>8</v>
      </c>
    </row>
    <row r="11104" spans="1:3" x14ac:dyDescent="0.3">
      <c r="A11104">
        <v>77945</v>
      </c>
      <c r="B11104">
        <v>1</v>
      </c>
      <c r="C11104">
        <v>8</v>
      </c>
    </row>
    <row r="11105" spans="1:3" x14ac:dyDescent="0.3">
      <c r="A11105">
        <v>78094</v>
      </c>
      <c r="B11105">
        <v>1</v>
      </c>
      <c r="C11105">
        <v>8</v>
      </c>
    </row>
    <row r="11106" spans="1:3" x14ac:dyDescent="0.3">
      <c r="A11106">
        <v>78098</v>
      </c>
      <c r="B11106">
        <v>1</v>
      </c>
      <c r="C11106">
        <v>8</v>
      </c>
    </row>
    <row r="11107" spans="1:3" x14ac:dyDescent="0.3">
      <c r="A11107">
        <v>78103</v>
      </c>
      <c r="B11107">
        <v>1</v>
      </c>
      <c r="C11107">
        <v>8</v>
      </c>
    </row>
    <row r="11108" spans="1:3" x14ac:dyDescent="0.3">
      <c r="A11108">
        <v>78122</v>
      </c>
      <c r="B11108">
        <v>1</v>
      </c>
      <c r="C11108">
        <v>8</v>
      </c>
    </row>
    <row r="11109" spans="1:3" x14ac:dyDescent="0.3">
      <c r="A11109">
        <v>78234</v>
      </c>
      <c r="B11109">
        <v>1</v>
      </c>
      <c r="C11109">
        <v>8</v>
      </c>
    </row>
    <row r="11110" spans="1:3" x14ac:dyDescent="0.3">
      <c r="A11110">
        <v>78274</v>
      </c>
      <c r="B11110">
        <v>1</v>
      </c>
      <c r="C11110">
        <v>8</v>
      </c>
    </row>
    <row r="11111" spans="1:3" x14ac:dyDescent="0.3">
      <c r="A11111">
        <v>78363</v>
      </c>
      <c r="B11111">
        <v>1</v>
      </c>
      <c r="C11111">
        <v>8</v>
      </c>
    </row>
    <row r="11112" spans="1:3" x14ac:dyDescent="0.3">
      <c r="A11112">
        <v>78460</v>
      </c>
      <c r="B11112">
        <v>1</v>
      </c>
      <c r="C11112">
        <v>8</v>
      </c>
    </row>
    <row r="11113" spans="1:3" x14ac:dyDescent="0.3">
      <c r="A11113">
        <v>78569</v>
      </c>
      <c r="B11113">
        <v>1</v>
      </c>
      <c r="C11113">
        <v>8</v>
      </c>
    </row>
    <row r="11114" spans="1:3" x14ac:dyDescent="0.3">
      <c r="A11114">
        <v>78611</v>
      </c>
      <c r="B11114">
        <v>1</v>
      </c>
      <c r="C11114">
        <v>8</v>
      </c>
    </row>
    <row r="11115" spans="1:3" x14ac:dyDescent="0.3">
      <c r="A11115">
        <v>78612</v>
      </c>
      <c r="B11115">
        <v>1</v>
      </c>
      <c r="C11115">
        <v>8</v>
      </c>
    </row>
    <row r="11116" spans="1:3" x14ac:dyDescent="0.3">
      <c r="A11116">
        <v>78623</v>
      </c>
      <c r="B11116">
        <v>1</v>
      </c>
      <c r="C11116">
        <v>8</v>
      </c>
    </row>
    <row r="11117" spans="1:3" x14ac:dyDescent="0.3">
      <c r="A11117">
        <v>78805</v>
      </c>
      <c r="B11117">
        <v>1</v>
      </c>
      <c r="C11117">
        <v>8</v>
      </c>
    </row>
    <row r="11118" spans="1:3" x14ac:dyDescent="0.3">
      <c r="A11118">
        <v>78846</v>
      </c>
      <c r="B11118">
        <v>1</v>
      </c>
      <c r="C11118">
        <v>8</v>
      </c>
    </row>
    <row r="11119" spans="1:3" x14ac:dyDescent="0.3">
      <c r="A11119">
        <v>78882</v>
      </c>
      <c r="B11119">
        <v>1</v>
      </c>
      <c r="C11119">
        <v>8</v>
      </c>
    </row>
    <row r="11120" spans="1:3" x14ac:dyDescent="0.3">
      <c r="A11120">
        <v>78884</v>
      </c>
      <c r="B11120">
        <v>1</v>
      </c>
      <c r="C11120">
        <v>8</v>
      </c>
    </row>
    <row r="11121" spans="1:3" x14ac:dyDescent="0.3">
      <c r="A11121">
        <v>78908</v>
      </c>
      <c r="B11121">
        <v>1</v>
      </c>
      <c r="C11121">
        <v>8</v>
      </c>
    </row>
    <row r="11122" spans="1:3" x14ac:dyDescent="0.3">
      <c r="A11122">
        <v>78942</v>
      </c>
      <c r="B11122">
        <v>1</v>
      </c>
      <c r="C11122">
        <v>8</v>
      </c>
    </row>
    <row r="11123" spans="1:3" x14ac:dyDescent="0.3">
      <c r="A11123">
        <v>78958</v>
      </c>
      <c r="B11123">
        <v>1</v>
      </c>
      <c r="C11123">
        <v>8</v>
      </c>
    </row>
    <row r="11124" spans="1:3" x14ac:dyDescent="0.3">
      <c r="A11124">
        <v>79083</v>
      </c>
      <c r="B11124">
        <v>1</v>
      </c>
      <c r="C11124">
        <v>8</v>
      </c>
    </row>
    <row r="11125" spans="1:3" x14ac:dyDescent="0.3">
      <c r="A11125">
        <v>79087</v>
      </c>
      <c r="B11125">
        <v>1</v>
      </c>
      <c r="C11125">
        <v>16</v>
      </c>
    </row>
    <row r="11126" spans="1:3" x14ac:dyDescent="0.3">
      <c r="A11126">
        <v>79368</v>
      </c>
      <c r="B11126">
        <v>1</v>
      </c>
      <c r="C11126">
        <v>8</v>
      </c>
    </row>
    <row r="11127" spans="1:3" x14ac:dyDescent="0.3">
      <c r="A11127">
        <v>79382</v>
      </c>
      <c r="B11127">
        <v>1</v>
      </c>
      <c r="C11127">
        <v>8</v>
      </c>
    </row>
    <row r="11128" spans="1:3" x14ac:dyDescent="0.3">
      <c r="A11128">
        <v>79408</v>
      </c>
      <c r="B11128">
        <v>1</v>
      </c>
      <c r="C11128">
        <v>8</v>
      </c>
    </row>
    <row r="11129" spans="1:3" x14ac:dyDescent="0.3">
      <c r="A11129">
        <v>79410</v>
      </c>
      <c r="B11129">
        <v>1</v>
      </c>
      <c r="C11129">
        <v>8</v>
      </c>
    </row>
    <row r="11130" spans="1:3" x14ac:dyDescent="0.3">
      <c r="A11130">
        <v>79566</v>
      </c>
      <c r="B11130">
        <v>1</v>
      </c>
      <c r="C11130">
        <v>8</v>
      </c>
    </row>
    <row r="11131" spans="1:3" x14ac:dyDescent="0.3">
      <c r="A11131">
        <v>79578</v>
      </c>
      <c r="B11131">
        <v>1</v>
      </c>
      <c r="C11131">
        <v>8</v>
      </c>
    </row>
    <row r="11132" spans="1:3" x14ac:dyDescent="0.3">
      <c r="A11132">
        <v>79825</v>
      </c>
      <c r="B11132">
        <v>1</v>
      </c>
      <c r="C11132">
        <v>8</v>
      </c>
    </row>
    <row r="11133" spans="1:3" x14ac:dyDescent="0.3">
      <c r="A11133">
        <v>80013</v>
      </c>
      <c r="B11133">
        <v>1</v>
      </c>
      <c r="C11133">
        <v>8</v>
      </c>
    </row>
    <row r="11134" spans="1:3" x14ac:dyDescent="0.3">
      <c r="A11134">
        <v>80018</v>
      </c>
      <c r="B11134">
        <v>1</v>
      </c>
      <c r="C11134">
        <v>8</v>
      </c>
    </row>
    <row r="11135" spans="1:3" x14ac:dyDescent="0.3">
      <c r="A11135">
        <v>80046</v>
      </c>
      <c r="B11135">
        <v>1</v>
      </c>
      <c r="C11135">
        <v>8</v>
      </c>
    </row>
    <row r="11136" spans="1:3" x14ac:dyDescent="0.3">
      <c r="A11136">
        <v>80064</v>
      </c>
      <c r="B11136">
        <v>1</v>
      </c>
      <c r="C11136">
        <v>8</v>
      </c>
    </row>
    <row r="11137" spans="1:3" x14ac:dyDescent="0.3">
      <c r="A11137">
        <v>80234</v>
      </c>
      <c r="B11137">
        <v>1</v>
      </c>
      <c r="C11137">
        <v>8</v>
      </c>
    </row>
    <row r="11138" spans="1:3" x14ac:dyDescent="0.3">
      <c r="A11138">
        <v>80400</v>
      </c>
      <c r="B11138">
        <v>1</v>
      </c>
      <c r="C11138">
        <v>8</v>
      </c>
    </row>
    <row r="11139" spans="1:3" x14ac:dyDescent="0.3">
      <c r="A11139">
        <v>80401</v>
      </c>
      <c r="B11139">
        <v>1</v>
      </c>
      <c r="C11139">
        <v>8</v>
      </c>
    </row>
    <row r="11140" spans="1:3" x14ac:dyDescent="0.3">
      <c r="A11140">
        <v>80407</v>
      </c>
      <c r="B11140">
        <v>1</v>
      </c>
      <c r="C11140">
        <v>8</v>
      </c>
    </row>
    <row r="11141" spans="1:3" x14ac:dyDescent="0.3">
      <c r="A11141">
        <v>80449</v>
      </c>
      <c r="B11141">
        <v>1</v>
      </c>
      <c r="C11141">
        <v>8</v>
      </c>
    </row>
    <row r="11142" spans="1:3" x14ac:dyDescent="0.3">
      <c r="A11142">
        <v>80531</v>
      </c>
      <c r="B11142">
        <v>1</v>
      </c>
      <c r="C11142">
        <v>8</v>
      </c>
    </row>
    <row r="11143" spans="1:3" x14ac:dyDescent="0.3">
      <c r="A11143">
        <v>80584</v>
      </c>
      <c r="B11143">
        <v>1</v>
      </c>
      <c r="C11143">
        <v>8</v>
      </c>
    </row>
    <row r="11144" spans="1:3" x14ac:dyDescent="0.3">
      <c r="A11144">
        <v>80726</v>
      </c>
      <c r="B11144">
        <v>1</v>
      </c>
      <c r="C11144">
        <v>8</v>
      </c>
    </row>
    <row r="11145" spans="1:3" x14ac:dyDescent="0.3">
      <c r="A11145">
        <v>80783</v>
      </c>
      <c r="B11145">
        <v>1</v>
      </c>
      <c r="C11145">
        <v>8</v>
      </c>
    </row>
    <row r="11146" spans="1:3" x14ac:dyDescent="0.3">
      <c r="A11146">
        <v>80784</v>
      </c>
      <c r="B11146">
        <v>1</v>
      </c>
      <c r="C11146">
        <v>8</v>
      </c>
    </row>
    <row r="11147" spans="1:3" x14ac:dyDescent="0.3">
      <c r="A11147">
        <v>80793</v>
      </c>
      <c r="B11147">
        <v>1</v>
      </c>
      <c r="C11147">
        <v>8</v>
      </c>
    </row>
    <row r="11148" spans="1:3" x14ac:dyDescent="0.3">
      <c r="A11148">
        <v>80822</v>
      </c>
      <c r="B11148">
        <v>1</v>
      </c>
      <c r="C11148">
        <v>8</v>
      </c>
    </row>
    <row r="11149" spans="1:3" x14ac:dyDescent="0.3">
      <c r="A11149">
        <v>80966</v>
      </c>
      <c r="B11149">
        <v>1</v>
      </c>
      <c r="C11149">
        <v>8</v>
      </c>
    </row>
    <row r="11150" spans="1:3" x14ac:dyDescent="0.3">
      <c r="A11150">
        <v>80978</v>
      </c>
      <c r="B11150">
        <v>1</v>
      </c>
      <c r="C11150">
        <v>8</v>
      </c>
    </row>
    <row r="11151" spans="1:3" x14ac:dyDescent="0.3">
      <c r="A11151">
        <v>81139</v>
      </c>
      <c r="B11151">
        <v>1</v>
      </c>
      <c r="C11151">
        <v>8</v>
      </c>
    </row>
    <row r="11152" spans="1:3" x14ac:dyDescent="0.3">
      <c r="A11152">
        <v>81199</v>
      </c>
      <c r="B11152">
        <v>1</v>
      </c>
      <c r="C11152">
        <v>8</v>
      </c>
    </row>
    <row r="11153" spans="1:3" x14ac:dyDescent="0.3">
      <c r="A11153">
        <v>81248</v>
      </c>
      <c r="B11153">
        <v>1</v>
      </c>
      <c r="C11153">
        <v>8</v>
      </c>
    </row>
    <row r="11154" spans="1:3" x14ac:dyDescent="0.3">
      <c r="A11154">
        <v>81107</v>
      </c>
      <c r="B11154">
        <v>1</v>
      </c>
      <c r="C11154">
        <v>8</v>
      </c>
    </row>
    <row r="11155" spans="1:3" x14ac:dyDescent="0.3">
      <c r="A11155">
        <v>71508</v>
      </c>
      <c r="B11155">
        <v>1</v>
      </c>
      <c r="C11155">
        <v>8</v>
      </c>
    </row>
    <row r="11156" spans="1:3" x14ac:dyDescent="0.3">
      <c r="A11156">
        <v>77105</v>
      </c>
      <c r="B11156">
        <v>1</v>
      </c>
      <c r="C11156">
        <v>8</v>
      </c>
    </row>
    <row r="11157" spans="1:3" x14ac:dyDescent="0.3">
      <c r="A11157">
        <v>81130</v>
      </c>
      <c r="B11157">
        <v>1</v>
      </c>
      <c r="C11157">
        <v>8</v>
      </c>
    </row>
    <row r="11158" spans="1:3" x14ac:dyDescent="0.3">
      <c r="A11158">
        <v>81253</v>
      </c>
      <c r="B11158">
        <v>1</v>
      </c>
      <c r="C11158">
        <v>8</v>
      </c>
    </row>
    <row r="11159" spans="1:3" x14ac:dyDescent="0.3">
      <c r="A11159">
        <v>80761</v>
      </c>
      <c r="B11159">
        <v>1</v>
      </c>
      <c r="C11159">
        <v>8</v>
      </c>
    </row>
    <row r="11160" spans="1:3" x14ac:dyDescent="0.3">
      <c r="A11160">
        <v>80763</v>
      </c>
      <c r="B11160">
        <v>1</v>
      </c>
      <c r="C11160">
        <v>8</v>
      </c>
    </row>
    <row r="11161" spans="1:3" x14ac:dyDescent="0.3">
      <c r="A11161">
        <v>80984</v>
      </c>
      <c r="B11161">
        <v>1</v>
      </c>
      <c r="C11161">
        <v>8</v>
      </c>
    </row>
    <row r="11162" spans="1:3" x14ac:dyDescent="0.3">
      <c r="A11162">
        <v>80985</v>
      </c>
      <c r="B11162">
        <v>1</v>
      </c>
      <c r="C11162">
        <v>8</v>
      </c>
    </row>
    <row r="11163" spans="1:3" x14ac:dyDescent="0.3">
      <c r="A11163">
        <v>80987</v>
      </c>
      <c r="B11163">
        <v>1</v>
      </c>
      <c r="C11163">
        <v>8</v>
      </c>
    </row>
    <row r="11164" spans="1:3" x14ac:dyDescent="0.3">
      <c r="A11164">
        <v>81109</v>
      </c>
      <c r="B11164">
        <v>1</v>
      </c>
      <c r="C11164">
        <v>8</v>
      </c>
    </row>
    <row r="11165" spans="1:3" x14ac:dyDescent="0.3">
      <c r="A11165">
        <v>81162</v>
      </c>
      <c r="B11165">
        <v>1</v>
      </c>
      <c r="C11165">
        <v>8</v>
      </c>
    </row>
    <row r="11166" spans="1:3" x14ac:dyDescent="0.3">
      <c r="A11166">
        <v>80865</v>
      </c>
      <c r="B11166">
        <v>1</v>
      </c>
      <c r="C11166">
        <v>8</v>
      </c>
    </row>
    <row r="11167" spans="1:3" x14ac:dyDescent="0.3">
      <c r="A11167">
        <v>80918</v>
      </c>
      <c r="B11167">
        <v>1</v>
      </c>
      <c r="C11167">
        <v>8</v>
      </c>
    </row>
    <row r="11168" spans="1:3" x14ac:dyDescent="0.3">
      <c r="A11168">
        <v>80972</v>
      </c>
      <c r="B11168">
        <v>1</v>
      </c>
      <c r="C11168">
        <v>8</v>
      </c>
    </row>
    <row r="11169" spans="1:3" x14ac:dyDescent="0.3">
      <c r="A11169">
        <v>80789</v>
      </c>
      <c r="B11169">
        <v>1</v>
      </c>
      <c r="C11169">
        <v>8</v>
      </c>
    </row>
    <row r="11170" spans="1:3" x14ac:dyDescent="0.3">
      <c r="A11170">
        <v>80949</v>
      </c>
      <c r="B11170">
        <v>1</v>
      </c>
      <c r="C11170">
        <v>8</v>
      </c>
    </row>
    <row r="11171" spans="1:3" x14ac:dyDescent="0.3">
      <c r="A11171">
        <v>81082</v>
      </c>
      <c r="B11171">
        <v>1</v>
      </c>
      <c r="C11171">
        <v>8</v>
      </c>
    </row>
    <row r="11172" spans="1:3" x14ac:dyDescent="0.3">
      <c r="A11172">
        <v>81083</v>
      </c>
      <c r="B11172">
        <v>1</v>
      </c>
      <c r="C11172">
        <v>8</v>
      </c>
    </row>
    <row r="11173" spans="1:3" x14ac:dyDescent="0.3">
      <c r="A11173">
        <v>81142</v>
      </c>
      <c r="B11173">
        <v>1</v>
      </c>
      <c r="C11173">
        <v>8</v>
      </c>
    </row>
    <row r="11174" spans="1:3" x14ac:dyDescent="0.3">
      <c r="A11174">
        <v>81144</v>
      </c>
      <c r="B11174">
        <v>1</v>
      </c>
      <c r="C11174">
        <v>8</v>
      </c>
    </row>
    <row r="11175" spans="1:3" x14ac:dyDescent="0.3">
      <c r="A11175">
        <v>81145</v>
      </c>
      <c r="B11175">
        <v>1</v>
      </c>
      <c r="C11175">
        <v>8</v>
      </c>
    </row>
    <row r="11176" spans="1:3" x14ac:dyDescent="0.3">
      <c r="A11176">
        <v>79199</v>
      </c>
      <c r="B11176">
        <v>1</v>
      </c>
      <c r="C11176">
        <v>8</v>
      </c>
    </row>
    <row r="11177" spans="1:3" x14ac:dyDescent="0.3">
      <c r="A11177">
        <v>80629</v>
      </c>
      <c r="B11177">
        <v>1</v>
      </c>
      <c r="C11177">
        <v>8</v>
      </c>
    </row>
    <row r="11178" spans="1:3" x14ac:dyDescent="0.3">
      <c r="A11178">
        <v>80811</v>
      </c>
      <c r="B11178">
        <v>1</v>
      </c>
      <c r="C11178">
        <v>8</v>
      </c>
    </row>
    <row r="11179" spans="1:3" x14ac:dyDescent="0.3">
      <c r="A11179">
        <v>80709</v>
      </c>
      <c r="B11179">
        <v>1</v>
      </c>
      <c r="C11179">
        <v>8</v>
      </c>
    </row>
    <row r="11180" spans="1:3" x14ac:dyDescent="0.3">
      <c r="A11180">
        <v>81179</v>
      </c>
      <c r="B11180">
        <v>1</v>
      </c>
      <c r="C11180">
        <v>8</v>
      </c>
    </row>
    <row r="11181" spans="1:3" x14ac:dyDescent="0.3">
      <c r="A11181">
        <v>76304</v>
      </c>
      <c r="B11181">
        <v>1</v>
      </c>
      <c r="C11181">
        <v>16</v>
      </c>
    </row>
    <row r="11182" spans="1:3" x14ac:dyDescent="0.3">
      <c r="A11182">
        <v>79057</v>
      </c>
      <c r="B11182">
        <v>1</v>
      </c>
      <c r="C11182">
        <v>8</v>
      </c>
    </row>
    <row r="11183" spans="1:3" x14ac:dyDescent="0.3">
      <c r="A11183">
        <v>80897</v>
      </c>
      <c r="B11183">
        <v>1</v>
      </c>
      <c r="C11183">
        <v>8</v>
      </c>
    </row>
    <row r="11184" spans="1:3" x14ac:dyDescent="0.3">
      <c r="A11184">
        <v>80898</v>
      </c>
      <c r="B11184">
        <v>1</v>
      </c>
      <c r="C11184">
        <v>8</v>
      </c>
    </row>
    <row r="11185" spans="1:3" x14ac:dyDescent="0.3">
      <c r="A11185">
        <v>80772</v>
      </c>
      <c r="B11185">
        <v>1</v>
      </c>
      <c r="C11185">
        <v>8</v>
      </c>
    </row>
    <row r="11186" spans="1:3" x14ac:dyDescent="0.3">
      <c r="A11186">
        <v>80866</v>
      </c>
      <c r="B11186">
        <v>1</v>
      </c>
      <c r="C11186">
        <v>8</v>
      </c>
    </row>
    <row r="11187" spans="1:3" x14ac:dyDescent="0.3">
      <c r="A11187">
        <v>80930</v>
      </c>
      <c r="B11187">
        <v>1</v>
      </c>
      <c r="C11187">
        <v>8</v>
      </c>
    </row>
    <row r="11188" spans="1:3" x14ac:dyDescent="0.3">
      <c r="A11188">
        <v>80932</v>
      </c>
      <c r="B11188">
        <v>1</v>
      </c>
      <c r="C11188">
        <v>8</v>
      </c>
    </row>
    <row r="11189" spans="1:3" x14ac:dyDescent="0.3">
      <c r="A11189">
        <v>80933</v>
      </c>
      <c r="B11189">
        <v>1</v>
      </c>
      <c r="C11189">
        <v>8</v>
      </c>
    </row>
    <row r="11190" spans="1:3" x14ac:dyDescent="0.3">
      <c r="A11190">
        <v>81122</v>
      </c>
      <c r="B11190">
        <v>1</v>
      </c>
      <c r="C11190">
        <v>8</v>
      </c>
    </row>
    <row r="11191" spans="1:3" x14ac:dyDescent="0.3">
      <c r="A11191">
        <v>81123</v>
      </c>
      <c r="B11191">
        <v>1</v>
      </c>
      <c r="C11191">
        <v>8</v>
      </c>
    </row>
    <row r="11192" spans="1:3" x14ac:dyDescent="0.3">
      <c r="A11192">
        <v>81187</v>
      </c>
      <c r="B11192">
        <v>1</v>
      </c>
      <c r="C11192">
        <v>8</v>
      </c>
    </row>
    <row r="11193" spans="1:3" x14ac:dyDescent="0.3">
      <c r="A11193">
        <v>79416</v>
      </c>
      <c r="B11193">
        <v>1</v>
      </c>
      <c r="C11193">
        <v>8</v>
      </c>
    </row>
    <row r="11194" spans="1:3" x14ac:dyDescent="0.3">
      <c r="A11194">
        <v>79576</v>
      </c>
      <c r="B11194">
        <v>1</v>
      </c>
      <c r="C11194">
        <v>8</v>
      </c>
    </row>
    <row r="11195" spans="1:3" x14ac:dyDescent="0.3">
      <c r="A11195">
        <v>81101</v>
      </c>
      <c r="B11195">
        <v>1</v>
      </c>
      <c r="C11195">
        <v>8</v>
      </c>
    </row>
    <row r="11196" spans="1:3" x14ac:dyDescent="0.3">
      <c r="A11196">
        <v>81086</v>
      </c>
      <c r="B11196">
        <v>1</v>
      </c>
      <c r="C11196">
        <v>8</v>
      </c>
    </row>
    <row r="11197" spans="1:3" x14ac:dyDescent="0.3">
      <c r="A11197">
        <v>80923</v>
      </c>
      <c r="B11197">
        <v>1</v>
      </c>
      <c r="C11197">
        <v>8</v>
      </c>
    </row>
    <row r="11198" spans="1:3" x14ac:dyDescent="0.3">
      <c r="A11198">
        <v>80982</v>
      </c>
      <c r="B11198">
        <v>1</v>
      </c>
      <c r="C11198">
        <v>8</v>
      </c>
    </row>
    <row r="11199" spans="1:3" x14ac:dyDescent="0.3">
      <c r="A11199">
        <v>80983</v>
      </c>
      <c r="B11199">
        <v>1</v>
      </c>
      <c r="C11199">
        <v>8</v>
      </c>
    </row>
    <row r="11200" spans="1:3" x14ac:dyDescent="0.3">
      <c r="A11200">
        <v>80957</v>
      </c>
      <c r="B11200">
        <v>1</v>
      </c>
      <c r="C11200">
        <v>8</v>
      </c>
    </row>
    <row r="11201" spans="1:3" x14ac:dyDescent="0.3">
      <c r="A11201">
        <v>80880</v>
      </c>
      <c r="B11201">
        <v>1</v>
      </c>
      <c r="C11201">
        <v>8</v>
      </c>
    </row>
    <row r="11202" spans="1:3" x14ac:dyDescent="0.3">
      <c r="A11202" s="26">
        <v>80942</v>
      </c>
      <c r="B11202" s="26">
        <v>1</v>
      </c>
      <c r="C11202" s="26">
        <v>8</v>
      </c>
    </row>
    <row r="11203" spans="1:3" x14ac:dyDescent="0.3">
      <c r="A11203">
        <v>81069</v>
      </c>
      <c r="B11203">
        <v>1</v>
      </c>
      <c r="C11203">
        <v>8</v>
      </c>
    </row>
    <row r="11204" spans="1:3" x14ac:dyDescent="0.3">
      <c r="A11204">
        <v>81070</v>
      </c>
      <c r="B11204">
        <v>1</v>
      </c>
      <c r="C11204">
        <v>8</v>
      </c>
    </row>
    <row r="11205" spans="1:3" x14ac:dyDescent="0.3">
      <c r="A11205">
        <v>81071</v>
      </c>
      <c r="B11205">
        <v>1</v>
      </c>
      <c r="C11205">
        <v>8</v>
      </c>
    </row>
    <row r="11206" spans="1:3" x14ac:dyDescent="0.3">
      <c r="A11206">
        <v>38708</v>
      </c>
      <c r="B11206">
        <v>1</v>
      </c>
      <c r="C11206">
        <v>8</v>
      </c>
    </row>
    <row r="11207" spans="1:3" x14ac:dyDescent="0.3">
      <c r="A11207">
        <v>80007</v>
      </c>
      <c r="B11207">
        <v>1</v>
      </c>
      <c r="C11207">
        <v>8</v>
      </c>
    </row>
    <row r="11208" spans="1:3" x14ac:dyDescent="0.3">
      <c r="A11208">
        <v>12145</v>
      </c>
      <c r="B11208">
        <v>1</v>
      </c>
      <c r="C11208">
        <v>16</v>
      </c>
    </row>
    <row r="11209" spans="1:3" x14ac:dyDescent="0.3">
      <c r="A11209">
        <v>66583</v>
      </c>
      <c r="B11209">
        <v>1</v>
      </c>
      <c r="C11209">
        <v>8</v>
      </c>
    </row>
    <row r="11210" spans="1:3" x14ac:dyDescent="0.3">
      <c r="A11210">
        <v>67222</v>
      </c>
      <c r="B11210">
        <v>1</v>
      </c>
      <c r="C11210">
        <v>16</v>
      </c>
    </row>
    <row r="11211" spans="1:3" x14ac:dyDescent="0.3">
      <c r="A11211">
        <v>73011</v>
      </c>
      <c r="B11211">
        <v>1</v>
      </c>
      <c r="C11211">
        <v>8</v>
      </c>
    </row>
    <row r="11212" spans="1:3" x14ac:dyDescent="0.3">
      <c r="A11212">
        <v>76747</v>
      </c>
      <c r="B11212">
        <v>1</v>
      </c>
      <c r="C11212">
        <v>8</v>
      </c>
    </row>
    <row r="11213" spans="1:3" x14ac:dyDescent="0.3">
      <c r="A11213">
        <v>79414</v>
      </c>
      <c r="B11213">
        <v>1</v>
      </c>
      <c r="C11213">
        <v>8</v>
      </c>
    </row>
    <row r="11214" spans="1:3" x14ac:dyDescent="0.3">
      <c r="A11214">
        <v>81056</v>
      </c>
      <c r="B11214">
        <v>1</v>
      </c>
      <c r="C11214">
        <v>8</v>
      </c>
    </row>
    <row r="11215" spans="1:3" x14ac:dyDescent="0.3">
      <c r="A11215">
        <v>80143</v>
      </c>
      <c r="B11215">
        <v>1</v>
      </c>
      <c r="C11215">
        <v>8</v>
      </c>
    </row>
    <row r="11216" spans="1:3" x14ac:dyDescent="0.3">
      <c r="A11216">
        <v>80144</v>
      </c>
      <c r="B11216">
        <v>1</v>
      </c>
      <c r="C11216">
        <v>8</v>
      </c>
    </row>
    <row r="11217" spans="1:3" x14ac:dyDescent="0.3">
      <c r="A11217">
        <v>80369</v>
      </c>
      <c r="B11217">
        <v>1</v>
      </c>
      <c r="C11217">
        <v>8</v>
      </c>
    </row>
    <row r="11218" spans="1:3" x14ac:dyDescent="0.3">
      <c r="A11218">
        <v>80885</v>
      </c>
      <c r="B11218">
        <v>1</v>
      </c>
      <c r="C11218">
        <v>8</v>
      </c>
    </row>
    <row r="11219" spans="1:3" x14ac:dyDescent="0.3">
      <c r="A11219">
        <v>81168</v>
      </c>
      <c r="B11219">
        <v>1</v>
      </c>
      <c r="C11219">
        <v>8</v>
      </c>
    </row>
    <row r="11220" spans="1:3" x14ac:dyDescent="0.3">
      <c r="A11220">
        <v>80821</v>
      </c>
      <c r="B11220">
        <v>1</v>
      </c>
      <c r="C11220">
        <v>8</v>
      </c>
    </row>
    <row r="11221" spans="1:3" x14ac:dyDescent="0.3">
      <c r="A11221">
        <v>80888</v>
      </c>
      <c r="B11221">
        <v>1</v>
      </c>
      <c r="C11221">
        <v>8</v>
      </c>
    </row>
    <row r="11222" spans="1:3" x14ac:dyDescent="0.3">
      <c r="A11222">
        <v>80890</v>
      </c>
      <c r="B11222">
        <v>1</v>
      </c>
      <c r="C11222">
        <v>8</v>
      </c>
    </row>
    <row r="11223" spans="1:3" x14ac:dyDescent="0.3">
      <c r="A11223">
        <v>80945</v>
      </c>
      <c r="B11223">
        <v>1</v>
      </c>
      <c r="C11223">
        <v>8</v>
      </c>
    </row>
    <row r="11224" spans="1:3" x14ac:dyDescent="0.3">
      <c r="A11224">
        <v>80777</v>
      </c>
      <c r="B11224">
        <v>1</v>
      </c>
      <c r="C11224">
        <v>8</v>
      </c>
    </row>
    <row r="11225" spans="1:3" x14ac:dyDescent="0.3">
      <c r="A11225">
        <v>80778</v>
      </c>
      <c r="B11225">
        <v>1</v>
      </c>
      <c r="C11225">
        <v>8</v>
      </c>
    </row>
    <row r="11226" spans="1:3" x14ac:dyDescent="0.3">
      <c r="A11226">
        <v>80936</v>
      </c>
      <c r="B11226">
        <v>1</v>
      </c>
      <c r="C11226">
        <v>8</v>
      </c>
    </row>
    <row r="11227" spans="1:3" x14ac:dyDescent="0.3">
      <c r="A11227">
        <v>81061</v>
      </c>
      <c r="B11227">
        <v>1</v>
      </c>
      <c r="C11227">
        <v>8</v>
      </c>
    </row>
    <row r="11228" spans="1:3" x14ac:dyDescent="0.3">
      <c r="A11228">
        <v>81062</v>
      </c>
      <c r="B11228">
        <v>1</v>
      </c>
      <c r="C11228">
        <v>8</v>
      </c>
    </row>
    <row r="11229" spans="1:3" x14ac:dyDescent="0.3">
      <c r="A11229">
        <v>10198</v>
      </c>
      <c r="B11229">
        <v>1</v>
      </c>
      <c r="C11229">
        <v>8</v>
      </c>
    </row>
    <row r="11230" spans="1:3" x14ac:dyDescent="0.3">
      <c r="A11230">
        <v>10660</v>
      </c>
      <c r="B11230">
        <v>1</v>
      </c>
      <c r="C11230">
        <v>8</v>
      </c>
    </row>
    <row r="11231" spans="1:3" x14ac:dyDescent="0.3">
      <c r="A11231">
        <v>10826</v>
      </c>
      <c r="B11231">
        <v>3</v>
      </c>
      <c r="C11231">
        <v>16</v>
      </c>
    </row>
    <row r="11232" spans="1:3" x14ac:dyDescent="0.3">
      <c r="A11232">
        <v>10826</v>
      </c>
      <c r="B11232">
        <v>3</v>
      </c>
      <c r="C11232">
        <v>16</v>
      </c>
    </row>
    <row r="11233" spans="1:3" x14ac:dyDescent="0.3">
      <c r="A11233">
        <v>10826</v>
      </c>
      <c r="B11233">
        <v>3</v>
      </c>
      <c r="C11233">
        <v>16</v>
      </c>
    </row>
    <row r="11234" spans="1:3" x14ac:dyDescent="0.3">
      <c r="A11234">
        <v>10940</v>
      </c>
      <c r="B11234">
        <v>1</v>
      </c>
      <c r="C11234">
        <v>8</v>
      </c>
    </row>
    <row r="11235" spans="1:3" x14ac:dyDescent="0.3">
      <c r="A11235">
        <v>11021</v>
      </c>
      <c r="B11235">
        <v>1</v>
      </c>
      <c r="C11235">
        <v>8</v>
      </c>
    </row>
    <row r="11236" spans="1:3" x14ac:dyDescent="0.3">
      <c r="A11236">
        <v>11142</v>
      </c>
      <c r="B11236">
        <v>2</v>
      </c>
      <c r="C11236">
        <v>8</v>
      </c>
    </row>
    <row r="11237" spans="1:3" x14ac:dyDescent="0.3">
      <c r="A11237">
        <v>11142</v>
      </c>
      <c r="B11237">
        <v>2</v>
      </c>
      <c r="C11237">
        <v>8</v>
      </c>
    </row>
    <row r="11238" spans="1:3" x14ac:dyDescent="0.3">
      <c r="A11238">
        <v>12336</v>
      </c>
      <c r="B11238">
        <v>1</v>
      </c>
      <c r="C11238">
        <v>8</v>
      </c>
    </row>
    <row r="11239" spans="1:3" x14ac:dyDescent="0.3">
      <c r="A11239">
        <v>14768</v>
      </c>
      <c r="B11239">
        <v>1</v>
      </c>
      <c r="C11239">
        <v>8</v>
      </c>
    </row>
    <row r="11240" spans="1:3" x14ac:dyDescent="0.3">
      <c r="A11240">
        <v>14769</v>
      </c>
      <c r="B11240">
        <v>2</v>
      </c>
      <c r="C11240">
        <v>16</v>
      </c>
    </row>
    <row r="11241" spans="1:3" x14ac:dyDescent="0.3">
      <c r="A11241">
        <v>14769</v>
      </c>
      <c r="B11241">
        <v>2</v>
      </c>
      <c r="C11241">
        <v>16</v>
      </c>
    </row>
    <row r="11242" spans="1:3" x14ac:dyDescent="0.3">
      <c r="A11242">
        <v>14807</v>
      </c>
      <c r="B11242">
        <v>1</v>
      </c>
      <c r="C11242">
        <v>16</v>
      </c>
    </row>
    <row r="11243" spans="1:3" x14ac:dyDescent="0.3">
      <c r="A11243">
        <v>15027</v>
      </c>
      <c r="B11243">
        <v>1</v>
      </c>
      <c r="C11243">
        <v>8</v>
      </c>
    </row>
    <row r="11244" spans="1:3" x14ac:dyDescent="0.3">
      <c r="A11244">
        <v>15313</v>
      </c>
      <c r="B11244">
        <v>1</v>
      </c>
      <c r="C11244">
        <v>8</v>
      </c>
    </row>
    <row r="11245" spans="1:3" x14ac:dyDescent="0.3">
      <c r="A11245">
        <v>15645</v>
      </c>
      <c r="B11245">
        <v>1</v>
      </c>
      <c r="C11245">
        <v>8</v>
      </c>
    </row>
    <row r="11246" spans="1:3" x14ac:dyDescent="0.3">
      <c r="A11246">
        <v>16169</v>
      </c>
      <c r="B11246">
        <v>1</v>
      </c>
      <c r="C11246">
        <v>8</v>
      </c>
    </row>
    <row r="11247" spans="1:3" x14ac:dyDescent="0.3">
      <c r="A11247">
        <v>17659</v>
      </c>
      <c r="B11247">
        <v>1</v>
      </c>
      <c r="C11247">
        <v>8</v>
      </c>
    </row>
    <row r="11248" spans="1:3" x14ac:dyDescent="0.3">
      <c r="A11248">
        <v>18286</v>
      </c>
      <c r="B11248">
        <v>1</v>
      </c>
      <c r="C11248">
        <v>8</v>
      </c>
    </row>
    <row r="11249" spans="1:3" x14ac:dyDescent="0.3">
      <c r="A11249">
        <v>18338</v>
      </c>
      <c r="B11249">
        <v>1</v>
      </c>
      <c r="C11249">
        <v>8</v>
      </c>
    </row>
    <row r="11250" spans="1:3" x14ac:dyDescent="0.3">
      <c r="A11250">
        <v>19597</v>
      </c>
      <c r="B11250">
        <v>1</v>
      </c>
      <c r="C11250">
        <v>8</v>
      </c>
    </row>
    <row r="11251" spans="1:3" x14ac:dyDescent="0.3">
      <c r="A11251">
        <v>19605</v>
      </c>
      <c r="B11251">
        <v>1</v>
      </c>
      <c r="C11251">
        <v>8</v>
      </c>
    </row>
    <row r="11252" spans="1:3" x14ac:dyDescent="0.3">
      <c r="A11252">
        <v>20860</v>
      </c>
      <c r="B11252">
        <v>1</v>
      </c>
      <c r="C11252">
        <v>16</v>
      </c>
    </row>
    <row r="11253" spans="1:3" x14ac:dyDescent="0.3">
      <c r="A11253">
        <v>21022</v>
      </c>
      <c r="B11253">
        <v>1</v>
      </c>
      <c r="C11253">
        <v>8</v>
      </c>
    </row>
    <row r="11254" spans="1:3" x14ac:dyDescent="0.3">
      <c r="A11254">
        <v>21179</v>
      </c>
      <c r="B11254">
        <v>1</v>
      </c>
      <c r="C11254">
        <v>8</v>
      </c>
    </row>
    <row r="11255" spans="1:3" x14ac:dyDescent="0.3">
      <c r="A11255">
        <v>21307</v>
      </c>
      <c r="B11255">
        <v>2</v>
      </c>
      <c r="C11255">
        <v>16</v>
      </c>
    </row>
    <row r="11256" spans="1:3" x14ac:dyDescent="0.3">
      <c r="A11256">
        <v>21307</v>
      </c>
      <c r="B11256">
        <v>2</v>
      </c>
      <c r="C11256">
        <v>16</v>
      </c>
    </row>
    <row r="11257" spans="1:3" x14ac:dyDescent="0.3">
      <c r="A11257">
        <v>22635</v>
      </c>
      <c r="B11257">
        <v>1</v>
      </c>
      <c r="C11257">
        <v>8</v>
      </c>
    </row>
    <row r="11258" spans="1:3" x14ac:dyDescent="0.3">
      <c r="A11258">
        <v>23413</v>
      </c>
      <c r="B11258">
        <v>1</v>
      </c>
      <c r="C11258">
        <v>8</v>
      </c>
    </row>
    <row r="11259" spans="1:3" x14ac:dyDescent="0.3">
      <c r="A11259">
        <v>23929</v>
      </c>
      <c r="B11259">
        <v>1</v>
      </c>
      <c r="C11259">
        <v>8</v>
      </c>
    </row>
    <row r="11260" spans="1:3" x14ac:dyDescent="0.3">
      <c r="A11260">
        <v>23981</v>
      </c>
      <c r="B11260">
        <v>1</v>
      </c>
      <c r="C11260">
        <v>8</v>
      </c>
    </row>
    <row r="11261" spans="1:3" x14ac:dyDescent="0.3">
      <c r="A11261">
        <v>24116</v>
      </c>
      <c r="B11261">
        <v>1</v>
      </c>
      <c r="C11261">
        <v>16</v>
      </c>
    </row>
    <row r="11262" spans="1:3" x14ac:dyDescent="0.3">
      <c r="A11262">
        <v>24220</v>
      </c>
      <c r="B11262">
        <v>1</v>
      </c>
      <c r="C11262">
        <v>8</v>
      </c>
    </row>
    <row r="11263" spans="1:3" x14ac:dyDescent="0.3">
      <c r="A11263">
        <v>24895</v>
      </c>
      <c r="B11263">
        <v>1</v>
      </c>
      <c r="C11263">
        <v>8</v>
      </c>
    </row>
    <row r="11264" spans="1:3" x14ac:dyDescent="0.3">
      <c r="A11264">
        <v>24903</v>
      </c>
      <c r="B11264">
        <v>1</v>
      </c>
      <c r="C11264">
        <v>16</v>
      </c>
    </row>
    <row r="11265" spans="1:3" x14ac:dyDescent="0.3">
      <c r="A11265">
        <v>25086</v>
      </c>
      <c r="B11265">
        <v>1</v>
      </c>
      <c r="C11265">
        <v>8</v>
      </c>
    </row>
    <row r="11266" spans="1:3" x14ac:dyDescent="0.3">
      <c r="A11266">
        <v>25191</v>
      </c>
      <c r="B11266">
        <v>1</v>
      </c>
      <c r="C11266">
        <v>8</v>
      </c>
    </row>
    <row r="11267" spans="1:3" x14ac:dyDescent="0.3">
      <c r="A11267">
        <v>26654</v>
      </c>
      <c r="B11267">
        <v>1</v>
      </c>
      <c r="C11267">
        <v>16</v>
      </c>
    </row>
    <row r="11268" spans="1:3" x14ac:dyDescent="0.3">
      <c r="A11268">
        <v>26937</v>
      </c>
      <c r="B11268">
        <v>2</v>
      </c>
      <c r="C11268">
        <v>16</v>
      </c>
    </row>
    <row r="11269" spans="1:3" x14ac:dyDescent="0.3">
      <c r="A11269">
        <v>26937</v>
      </c>
      <c r="B11269">
        <v>2</v>
      </c>
      <c r="C11269">
        <v>16</v>
      </c>
    </row>
    <row r="11270" spans="1:3" x14ac:dyDescent="0.3">
      <c r="A11270">
        <v>26938</v>
      </c>
      <c r="B11270">
        <v>1</v>
      </c>
      <c r="C11270">
        <v>8</v>
      </c>
    </row>
    <row r="11271" spans="1:3" x14ac:dyDescent="0.3">
      <c r="A11271">
        <v>27031</v>
      </c>
      <c r="B11271">
        <v>1</v>
      </c>
      <c r="C11271">
        <v>8</v>
      </c>
    </row>
    <row r="11272" spans="1:3" x14ac:dyDescent="0.3">
      <c r="A11272">
        <v>27078</v>
      </c>
      <c r="B11272">
        <v>1</v>
      </c>
      <c r="C11272">
        <v>8</v>
      </c>
    </row>
    <row r="11273" spans="1:3" x14ac:dyDescent="0.3">
      <c r="A11273">
        <v>27079</v>
      </c>
      <c r="B11273">
        <v>2</v>
      </c>
      <c r="C11273">
        <v>16</v>
      </c>
    </row>
    <row r="11274" spans="1:3" x14ac:dyDescent="0.3">
      <c r="A11274">
        <v>27079</v>
      </c>
      <c r="B11274">
        <v>2</v>
      </c>
      <c r="C11274">
        <v>16</v>
      </c>
    </row>
    <row r="11275" spans="1:3" x14ac:dyDescent="0.3">
      <c r="A11275">
        <v>27080</v>
      </c>
      <c r="B11275">
        <v>1</v>
      </c>
      <c r="C11275">
        <v>8</v>
      </c>
    </row>
    <row r="11276" spans="1:3" x14ac:dyDescent="0.3">
      <c r="A11276">
        <v>27134</v>
      </c>
      <c r="B11276">
        <v>1</v>
      </c>
      <c r="C11276">
        <v>16</v>
      </c>
    </row>
    <row r="11277" spans="1:3" x14ac:dyDescent="0.3">
      <c r="A11277">
        <v>27892</v>
      </c>
      <c r="B11277">
        <v>1</v>
      </c>
      <c r="C11277">
        <v>8</v>
      </c>
    </row>
    <row r="11278" spans="1:3" x14ac:dyDescent="0.3">
      <c r="A11278">
        <v>28816</v>
      </c>
      <c r="B11278">
        <v>1</v>
      </c>
      <c r="C11278">
        <v>8</v>
      </c>
    </row>
    <row r="11279" spans="1:3" x14ac:dyDescent="0.3">
      <c r="A11279">
        <v>29406</v>
      </c>
      <c r="B11279">
        <v>1</v>
      </c>
      <c r="C11279">
        <v>8</v>
      </c>
    </row>
    <row r="11280" spans="1:3" x14ac:dyDescent="0.3">
      <c r="A11280">
        <v>29422</v>
      </c>
      <c r="B11280">
        <v>1</v>
      </c>
      <c r="C11280">
        <v>8</v>
      </c>
    </row>
    <row r="11281" spans="1:3" x14ac:dyDescent="0.3">
      <c r="A11281">
        <v>29665</v>
      </c>
      <c r="B11281">
        <v>1</v>
      </c>
      <c r="C11281">
        <v>8</v>
      </c>
    </row>
    <row r="11282" spans="1:3" x14ac:dyDescent="0.3">
      <c r="A11282">
        <v>30265</v>
      </c>
      <c r="B11282">
        <v>1</v>
      </c>
      <c r="C11282">
        <v>16</v>
      </c>
    </row>
    <row r="11283" spans="1:3" x14ac:dyDescent="0.3">
      <c r="A11283">
        <v>30392</v>
      </c>
      <c r="B11283">
        <v>1</v>
      </c>
      <c r="C11283">
        <v>8</v>
      </c>
    </row>
    <row r="11284" spans="1:3" x14ac:dyDescent="0.3">
      <c r="A11284">
        <v>30781</v>
      </c>
      <c r="B11284">
        <v>1</v>
      </c>
      <c r="C11284">
        <v>8</v>
      </c>
    </row>
    <row r="11285" spans="1:3" x14ac:dyDescent="0.3">
      <c r="A11285">
        <v>30932</v>
      </c>
      <c r="B11285">
        <v>1</v>
      </c>
      <c r="C11285">
        <v>16</v>
      </c>
    </row>
    <row r="11286" spans="1:3" x14ac:dyDescent="0.3">
      <c r="A11286">
        <v>31406</v>
      </c>
      <c r="B11286">
        <v>1</v>
      </c>
      <c r="C11286">
        <v>8</v>
      </c>
    </row>
    <row r="11287" spans="1:3" x14ac:dyDescent="0.3">
      <c r="A11287">
        <v>31424</v>
      </c>
      <c r="B11287">
        <v>1</v>
      </c>
      <c r="C11287">
        <v>8</v>
      </c>
    </row>
    <row r="11288" spans="1:3" x14ac:dyDescent="0.3">
      <c r="A11288">
        <v>31812</v>
      </c>
      <c r="B11288">
        <v>1</v>
      </c>
      <c r="C11288">
        <v>16</v>
      </c>
    </row>
    <row r="11289" spans="1:3" x14ac:dyDescent="0.3">
      <c r="A11289">
        <v>31869</v>
      </c>
      <c r="B11289">
        <v>1</v>
      </c>
      <c r="C11289">
        <v>8</v>
      </c>
    </row>
    <row r="11290" spans="1:3" x14ac:dyDescent="0.3">
      <c r="A11290">
        <v>31917</v>
      </c>
      <c r="B11290">
        <v>1</v>
      </c>
      <c r="C11290">
        <v>8</v>
      </c>
    </row>
    <row r="11291" spans="1:3" x14ac:dyDescent="0.3">
      <c r="A11291">
        <v>32075</v>
      </c>
      <c r="B11291">
        <v>1</v>
      </c>
      <c r="C11291">
        <v>8</v>
      </c>
    </row>
    <row r="11292" spans="1:3" x14ac:dyDescent="0.3">
      <c r="A11292">
        <v>32644</v>
      </c>
      <c r="B11292">
        <v>1</v>
      </c>
      <c r="C11292">
        <v>16</v>
      </c>
    </row>
    <row r="11293" spans="1:3" x14ac:dyDescent="0.3">
      <c r="A11293">
        <v>32967</v>
      </c>
      <c r="B11293">
        <v>1</v>
      </c>
      <c r="C11293">
        <v>16</v>
      </c>
    </row>
    <row r="11294" spans="1:3" x14ac:dyDescent="0.3">
      <c r="A11294">
        <v>33003</v>
      </c>
      <c r="B11294">
        <v>1</v>
      </c>
      <c r="C11294">
        <v>8</v>
      </c>
    </row>
    <row r="11295" spans="1:3" x14ac:dyDescent="0.3">
      <c r="A11295">
        <v>33023</v>
      </c>
      <c r="B11295">
        <v>1</v>
      </c>
      <c r="C11295">
        <v>8</v>
      </c>
    </row>
    <row r="11296" spans="1:3" x14ac:dyDescent="0.3">
      <c r="A11296">
        <v>33024</v>
      </c>
      <c r="B11296">
        <v>1</v>
      </c>
      <c r="C11296">
        <v>8</v>
      </c>
    </row>
    <row r="11297" spans="1:3" x14ac:dyDescent="0.3">
      <c r="A11297">
        <v>33113</v>
      </c>
      <c r="B11297">
        <v>1</v>
      </c>
      <c r="C11297">
        <v>16</v>
      </c>
    </row>
    <row r="11298" spans="1:3" x14ac:dyDescent="0.3">
      <c r="A11298">
        <v>33533</v>
      </c>
      <c r="B11298">
        <v>1</v>
      </c>
      <c r="C11298">
        <v>8</v>
      </c>
    </row>
    <row r="11299" spans="1:3" x14ac:dyDescent="0.3">
      <c r="A11299">
        <v>33648</v>
      </c>
      <c r="B11299">
        <v>1</v>
      </c>
      <c r="C11299">
        <v>8</v>
      </c>
    </row>
    <row r="11300" spans="1:3" x14ac:dyDescent="0.3">
      <c r="A11300">
        <v>33704</v>
      </c>
      <c r="B11300">
        <v>1</v>
      </c>
      <c r="C11300">
        <v>8</v>
      </c>
    </row>
    <row r="11301" spans="1:3" x14ac:dyDescent="0.3">
      <c r="A11301">
        <v>34197</v>
      </c>
      <c r="B11301">
        <v>1</v>
      </c>
      <c r="C11301">
        <v>16</v>
      </c>
    </row>
    <row r="11302" spans="1:3" x14ac:dyDescent="0.3">
      <c r="A11302">
        <v>34454</v>
      </c>
      <c r="B11302">
        <v>2</v>
      </c>
      <c r="C11302">
        <v>16</v>
      </c>
    </row>
    <row r="11303" spans="1:3" x14ac:dyDescent="0.3">
      <c r="A11303">
        <v>34454</v>
      </c>
      <c r="B11303">
        <v>2</v>
      </c>
      <c r="C11303">
        <v>16</v>
      </c>
    </row>
    <row r="11304" spans="1:3" x14ac:dyDescent="0.3">
      <c r="A11304">
        <v>34468</v>
      </c>
      <c r="B11304">
        <v>1</v>
      </c>
      <c r="C11304">
        <v>8</v>
      </c>
    </row>
    <row r="11305" spans="1:3" x14ac:dyDescent="0.3">
      <c r="A11305">
        <v>34584</v>
      </c>
      <c r="B11305">
        <v>1</v>
      </c>
      <c r="C11305">
        <v>8</v>
      </c>
    </row>
    <row r="11306" spans="1:3" x14ac:dyDescent="0.3">
      <c r="A11306">
        <v>35028</v>
      </c>
      <c r="B11306">
        <v>1</v>
      </c>
      <c r="C11306">
        <v>16</v>
      </c>
    </row>
    <row r="11307" spans="1:3" x14ac:dyDescent="0.3">
      <c r="A11307">
        <v>36117</v>
      </c>
      <c r="B11307">
        <v>1</v>
      </c>
      <c r="C11307">
        <v>16</v>
      </c>
    </row>
    <row r="11308" spans="1:3" x14ac:dyDescent="0.3">
      <c r="A11308">
        <v>36453</v>
      </c>
      <c r="B11308">
        <v>1</v>
      </c>
      <c r="C11308">
        <v>8</v>
      </c>
    </row>
    <row r="11309" spans="1:3" x14ac:dyDescent="0.3">
      <c r="A11309">
        <v>36490</v>
      </c>
      <c r="B11309">
        <v>1</v>
      </c>
      <c r="C11309">
        <v>16</v>
      </c>
    </row>
    <row r="11310" spans="1:3" x14ac:dyDescent="0.3">
      <c r="A11310">
        <v>36891</v>
      </c>
      <c r="B11310">
        <v>1</v>
      </c>
      <c r="C11310">
        <v>8</v>
      </c>
    </row>
    <row r="11311" spans="1:3" x14ac:dyDescent="0.3">
      <c r="A11311">
        <v>38061</v>
      </c>
      <c r="B11311">
        <v>1</v>
      </c>
      <c r="C11311">
        <v>8</v>
      </c>
    </row>
    <row r="11312" spans="1:3" x14ac:dyDescent="0.3">
      <c r="A11312">
        <v>38140</v>
      </c>
      <c r="B11312">
        <v>1</v>
      </c>
      <c r="C11312">
        <v>8</v>
      </c>
    </row>
    <row r="11313" spans="1:3" x14ac:dyDescent="0.3">
      <c r="A11313">
        <v>38621</v>
      </c>
      <c r="B11313">
        <v>1</v>
      </c>
      <c r="C11313">
        <v>8</v>
      </c>
    </row>
    <row r="11314" spans="1:3" x14ac:dyDescent="0.3">
      <c r="A11314">
        <v>38772</v>
      </c>
      <c r="B11314">
        <v>1</v>
      </c>
      <c r="C11314">
        <v>16</v>
      </c>
    </row>
    <row r="11315" spans="1:3" x14ac:dyDescent="0.3">
      <c r="A11315">
        <v>38863</v>
      </c>
      <c r="B11315">
        <v>1</v>
      </c>
      <c r="C11315">
        <v>8</v>
      </c>
    </row>
    <row r="11316" spans="1:3" x14ac:dyDescent="0.3">
      <c r="A11316">
        <v>39410</v>
      </c>
      <c r="B11316">
        <v>1</v>
      </c>
      <c r="C11316">
        <v>16</v>
      </c>
    </row>
    <row r="11317" spans="1:3" x14ac:dyDescent="0.3">
      <c r="A11317">
        <v>39673</v>
      </c>
      <c r="B11317">
        <v>1</v>
      </c>
      <c r="C11317">
        <v>8</v>
      </c>
    </row>
    <row r="11318" spans="1:3" x14ac:dyDescent="0.3">
      <c r="A11318">
        <v>39810</v>
      </c>
      <c r="B11318">
        <v>1</v>
      </c>
      <c r="C11318">
        <v>16</v>
      </c>
    </row>
    <row r="11319" spans="1:3" x14ac:dyDescent="0.3">
      <c r="A11319">
        <v>39931</v>
      </c>
      <c r="B11319">
        <v>1</v>
      </c>
      <c r="C11319">
        <v>16</v>
      </c>
    </row>
    <row r="11320" spans="1:3" x14ac:dyDescent="0.3">
      <c r="A11320">
        <v>40145</v>
      </c>
      <c r="B11320">
        <v>1</v>
      </c>
      <c r="C11320">
        <v>8</v>
      </c>
    </row>
    <row r="11321" spans="1:3" x14ac:dyDescent="0.3">
      <c r="A11321">
        <v>40371</v>
      </c>
      <c r="B11321">
        <v>1</v>
      </c>
      <c r="C11321">
        <v>8</v>
      </c>
    </row>
    <row r="11322" spans="1:3" x14ac:dyDescent="0.3">
      <c r="A11322">
        <v>41288</v>
      </c>
      <c r="B11322">
        <v>1</v>
      </c>
      <c r="C11322">
        <v>8</v>
      </c>
    </row>
    <row r="11323" spans="1:3" x14ac:dyDescent="0.3">
      <c r="A11323">
        <v>42064</v>
      </c>
      <c r="B11323">
        <v>1</v>
      </c>
      <c r="C11323">
        <v>8</v>
      </c>
    </row>
    <row r="11324" spans="1:3" x14ac:dyDescent="0.3">
      <c r="A11324">
        <v>42385</v>
      </c>
      <c r="B11324">
        <v>1</v>
      </c>
      <c r="C11324">
        <v>16</v>
      </c>
    </row>
    <row r="11325" spans="1:3" x14ac:dyDescent="0.3">
      <c r="A11325">
        <v>42848</v>
      </c>
      <c r="B11325">
        <v>1</v>
      </c>
      <c r="C11325">
        <v>16</v>
      </c>
    </row>
    <row r="11326" spans="1:3" x14ac:dyDescent="0.3">
      <c r="A11326">
        <v>42897</v>
      </c>
      <c r="B11326">
        <v>1</v>
      </c>
      <c r="C11326">
        <v>8</v>
      </c>
    </row>
    <row r="11327" spans="1:3" x14ac:dyDescent="0.3">
      <c r="A11327">
        <v>43157</v>
      </c>
      <c r="B11327">
        <v>1</v>
      </c>
      <c r="C11327">
        <v>8</v>
      </c>
    </row>
    <row r="11328" spans="1:3" x14ac:dyDescent="0.3">
      <c r="A11328">
        <v>43209</v>
      </c>
      <c r="B11328">
        <v>1</v>
      </c>
      <c r="C11328">
        <v>16</v>
      </c>
    </row>
    <row r="11329" spans="1:3" x14ac:dyDescent="0.3">
      <c r="A11329">
        <v>43325</v>
      </c>
      <c r="B11329">
        <v>1</v>
      </c>
      <c r="C11329">
        <v>16</v>
      </c>
    </row>
    <row r="11330" spans="1:3" x14ac:dyDescent="0.3">
      <c r="A11330">
        <v>43978</v>
      </c>
      <c r="B11330">
        <v>1</v>
      </c>
      <c r="C11330">
        <v>8</v>
      </c>
    </row>
    <row r="11331" spans="1:3" x14ac:dyDescent="0.3">
      <c r="A11331">
        <v>45984</v>
      </c>
      <c r="B11331">
        <v>1</v>
      </c>
      <c r="C11331">
        <v>8</v>
      </c>
    </row>
    <row r="11332" spans="1:3" x14ac:dyDescent="0.3">
      <c r="A11332">
        <v>46136</v>
      </c>
      <c r="B11332">
        <v>1</v>
      </c>
      <c r="C11332">
        <v>16</v>
      </c>
    </row>
    <row r="11333" spans="1:3" x14ac:dyDescent="0.3">
      <c r="A11333">
        <v>46645</v>
      </c>
      <c r="B11333">
        <v>1</v>
      </c>
      <c r="C11333">
        <v>8</v>
      </c>
    </row>
    <row r="11334" spans="1:3" x14ac:dyDescent="0.3">
      <c r="A11334">
        <v>46743</v>
      </c>
      <c r="B11334">
        <v>1</v>
      </c>
      <c r="C11334">
        <v>8</v>
      </c>
    </row>
    <row r="11335" spans="1:3" x14ac:dyDescent="0.3">
      <c r="A11335">
        <v>47048</v>
      </c>
      <c r="B11335">
        <v>1</v>
      </c>
      <c r="C11335">
        <v>8</v>
      </c>
    </row>
    <row r="11336" spans="1:3" x14ac:dyDescent="0.3">
      <c r="A11336">
        <v>47103</v>
      </c>
      <c r="B11336">
        <v>1</v>
      </c>
      <c r="C11336">
        <v>8</v>
      </c>
    </row>
    <row r="11337" spans="1:3" x14ac:dyDescent="0.3">
      <c r="A11337">
        <v>47147</v>
      </c>
      <c r="B11337">
        <v>1</v>
      </c>
      <c r="C11337">
        <v>8</v>
      </c>
    </row>
    <row r="11338" spans="1:3" x14ac:dyDescent="0.3">
      <c r="A11338">
        <v>47586</v>
      </c>
      <c r="B11338">
        <v>1</v>
      </c>
      <c r="C11338">
        <v>8</v>
      </c>
    </row>
    <row r="11339" spans="1:3" x14ac:dyDescent="0.3">
      <c r="A11339">
        <v>47755</v>
      </c>
      <c r="B11339">
        <v>1</v>
      </c>
      <c r="C11339">
        <v>8</v>
      </c>
    </row>
    <row r="11340" spans="1:3" x14ac:dyDescent="0.3">
      <c r="A11340">
        <v>47806</v>
      </c>
      <c r="B11340">
        <v>1</v>
      </c>
      <c r="C11340">
        <v>8</v>
      </c>
    </row>
    <row r="11341" spans="1:3" x14ac:dyDescent="0.3">
      <c r="A11341">
        <v>48106</v>
      </c>
      <c r="B11341">
        <v>1</v>
      </c>
      <c r="C11341">
        <v>8</v>
      </c>
    </row>
    <row r="11342" spans="1:3" x14ac:dyDescent="0.3">
      <c r="A11342">
        <v>48527</v>
      </c>
      <c r="B11342">
        <v>1</v>
      </c>
      <c r="C11342">
        <v>8</v>
      </c>
    </row>
    <row r="11343" spans="1:3" x14ac:dyDescent="0.3">
      <c r="A11343">
        <v>48616</v>
      </c>
      <c r="B11343">
        <v>1</v>
      </c>
      <c r="C11343">
        <v>8</v>
      </c>
    </row>
    <row r="11344" spans="1:3" x14ac:dyDescent="0.3">
      <c r="A11344">
        <v>48648</v>
      </c>
      <c r="B11344">
        <v>1</v>
      </c>
      <c r="C11344">
        <v>8</v>
      </c>
    </row>
    <row r="11345" spans="1:3" x14ac:dyDescent="0.3">
      <c r="A11345">
        <v>49330</v>
      </c>
      <c r="B11345">
        <v>1</v>
      </c>
      <c r="C11345">
        <v>8</v>
      </c>
    </row>
    <row r="11346" spans="1:3" x14ac:dyDescent="0.3">
      <c r="A11346">
        <v>49968</v>
      </c>
      <c r="B11346">
        <v>1</v>
      </c>
      <c r="C11346">
        <v>8</v>
      </c>
    </row>
    <row r="11347" spans="1:3" x14ac:dyDescent="0.3">
      <c r="A11347">
        <v>50483</v>
      </c>
      <c r="B11347">
        <v>1</v>
      </c>
      <c r="C11347">
        <v>16</v>
      </c>
    </row>
    <row r="11348" spans="1:3" x14ac:dyDescent="0.3">
      <c r="A11348">
        <v>51305</v>
      </c>
      <c r="B11348">
        <v>1</v>
      </c>
      <c r="C11348">
        <v>8</v>
      </c>
    </row>
    <row r="11349" spans="1:3" x14ac:dyDescent="0.3">
      <c r="A11349">
        <v>51317</v>
      </c>
      <c r="B11349">
        <v>2</v>
      </c>
      <c r="C11349">
        <v>16</v>
      </c>
    </row>
    <row r="11350" spans="1:3" x14ac:dyDescent="0.3">
      <c r="A11350">
        <v>51317</v>
      </c>
      <c r="B11350">
        <v>2</v>
      </c>
      <c r="C11350">
        <v>16</v>
      </c>
    </row>
    <row r="11351" spans="1:3" x14ac:dyDescent="0.3">
      <c r="A11351">
        <v>51476</v>
      </c>
      <c r="B11351">
        <v>1</v>
      </c>
      <c r="C11351">
        <v>8</v>
      </c>
    </row>
    <row r="11352" spans="1:3" x14ac:dyDescent="0.3">
      <c r="A11352">
        <v>51781</v>
      </c>
      <c r="B11352">
        <v>1</v>
      </c>
      <c r="C11352">
        <v>8</v>
      </c>
    </row>
    <row r="11353" spans="1:3" x14ac:dyDescent="0.3">
      <c r="A11353">
        <v>51934</v>
      </c>
      <c r="B11353">
        <v>1</v>
      </c>
      <c r="C11353">
        <v>8</v>
      </c>
    </row>
    <row r="11354" spans="1:3" x14ac:dyDescent="0.3">
      <c r="A11354">
        <v>51935</v>
      </c>
      <c r="B11354">
        <v>1</v>
      </c>
      <c r="C11354">
        <v>8</v>
      </c>
    </row>
    <row r="11355" spans="1:3" x14ac:dyDescent="0.3">
      <c r="A11355">
        <v>52000</v>
      </c>
      <c r="B11355">
        <v>1</v>
      </c>
      <c r="C11355">
        <v>8</v>
      </c>
    </row>
    <row r="11356" spans="1:3" x14ac:dyDescent="0.3">
      <c r="A11356">
        <v>52018</v>
      </c>
      <c r="B11356">
        <v>1</v>
      </c>
      <c r="C11356">
        <v>8</v>
      </c>
    </row>
    <row r="11357" spans="1:3" x14ac:dyDescent="0.3">
      <c r="A11357">
        <v>52720</v>
      </c>
      <c r="B11357">
        <v>1</v>
      </c>
      <c r="C11357">
        <v>8</v>
      </c>
    </row>
    <row r="11358" spans="1:3" x14ac:dyDescent="0.3">
      <c r="A11358">
        <v>53212</v>
      </c>
      <c r="B11358">
        <v>1</v>
      </c>
      <c r="C11358">
        <v>8</v>
      </c>
    </row>
    <row r="11359" spans="1:3" x14ac:dyDescent="0.3">
      <c r="A11359">
        <v>53227</v>
      </c>
      <c r="B11359">
        <v>1</v>
      </c>
      <c r="C11359">
        <v>16</v>
      </c>
    </row>
    <row r="11360" spans="1:3" x14ac:dyDescent="0.3">
      <c r="A11360">
        <v>53807</v>
      </c>
      <c r="B11360">
        <v>1</v>
      </c>
      <c r="C11360">
        <v>8</v>
      </c>
    </row>
    <row r="11361" spans="1:3" x14ac:dyDescent="0.3">
      <c r="A11361">
        <v>53847</v>
      </c>
      <c r="B11361">
        <v>1</v>
      </c>
      <c r="C11361">
        <v>8</v>
      </c>
    </row>
    <row r="11362" spans="1:3" x14ac:dyDescent="0.3">
      <c r="A11362">
        <v>54862</v>
      </c>
      <c r="B11362">
        <v>1</v>
      </c>
      <c r="C11362">
        <v>8</v>
      </c>
    </row>
    <row r="11363" spans="1:3" x14ac:dyDescent="0.3">
      <c r="A11363">
        <v>54885</v>
      </c>
      <c r="B11363">
        <v>1</v>
      </c>
      <c r="C11363">
        <v>8</v>
      </c>
    </row>
    <row r="11364" spans="1:3" x14ac:dyDescent="0.3">
      <c r="A11364">
        <v>54905</v>
      </c>
      <c r="B11364">
        <v>1</v>
      </c>
      <c r="C11364">
        <v>8</v>
      </c>
    </row>
    <row r="11365" spans="1:3" x14ac:dyDescent="0.3">
      <c r="A11365">
        <v>55308</v>
      </c>
      <c r="B11365">
        <v>1</v>
      </c>
      <c r="C11365">
        <v>16</v>
      </c>
    </row>
    <row r="11366" spans="1:3" x14ac:dyDescent="0.3">
      <c r="A11366">
        <v>55782</v>
      </c>
      <c r="B11366">
        <v>1</v>
      </c>
      <c r="C11366">
        <v>8</v>
      </c>
    </row>
    <row r="11367" spans="1:3" x14ac:dyDescent="0.3">
      <c r="A11367">
        <v>56768</v>
      </c>
      <c r="B11367">
        <v>1</v>
      </c>
      <c r="C11367">
        <v>16</v>
      </c>
    </row>
    <row r="11368" spans="1:3" x14ac:dyDescent="0.3">
      <c r="A11368">
        <v>56843</v>
      </c>
      <c r="B11368">
        <v>1</v>
      </c>
      <c r="C11368">
        <v>8</v>
      </c>
    </row>
    <row r="11369" spans="1:3" x14ac:dyDescent="0.3">
      <c r="A11369">
        <v>56920</v>
      </c>
      <c r="B11369">
        <v>1</v>
      </c>
      <c r="C11369">
        <v>8</v>
      </c>
    </row>
    <row r="11370" spans="1:3" x14ac:dyDescent="0.3">
      <c r="A11370">
        <v>57128</v>
      </c>
      <c r="B11370">
        <v>1</v>
      </c>
      <c r="C11370">
        <v>8</v>
      </c>
    </row>
    <row r="11371" spans="1:3" x14ac:dyDescent="0.3">
      <c r="A11371">
        <v>57297</v>
      </c>
      <c r="B11371">
        <v>1</v>
      </c>
      <c r="C11371">
        <v>8</v>
      </c>
    </row>
    <row r="11372" spans="1:3" x14ac:dyDescent="0.3">
      <c r="A11372">
        <v>57396</v>
      </c>
      <c r="B11372">
        <v>1</v>
      </c>
      <c r="C11372">
        <v>8</v>
      </c>
    </row>
    <row r="11373" spans="1:3" x14ac:dyDescent="0.3">
      <c r="A11373">
        <v>57710</v>
      </c>
      <c r="B11373">
        <v>1</v>
      </c>
      <c r="C11373">
        <v>8</v>
      </c>
    </row>
    <row r="11374" spans="1:3" x14ac:dyDescent="0.3">
      <c r="A11374">
        <v>57782</v>
      </c>
      <c r="B11374">
        <v>1</v>
      </c>
      <c r="C11374">
        <v>8</v>
      </c>
    </row>
    <row r="11375" spans="1:3" x14ac:dyDescent="0.3">
      <c r="A11375">
        <v>57843</v>
      </c>
      <c r="B11375">
        <v>1</v>
      </c>
      <c r="C11375">
        <v>8</v>
      </c>
    </row>
    <row r="11376" spans="1:3" x14ac:dyDescent="0.3">
      <c r="A11376">
        <v>58414</v>
      </c>
      <c r="B11376">
        <v>1</v>
      </c>
      <c r="C11376">
        <v>8</v>
      </c>
    </row>
    <row r="11377" spans="1:3" x14ac:dyDescent="0.3">
      <c r="A11377">
        <v>58416</v>
      </c>
      <c r="B11377">
        <v>1</v>
      </c>
      <c r="C11377">
        <v>8</v>
      </c>
    </row>
    <row r="11378" spans="1:3" x14ac:dyDescent="0.3">
      <c r="A11378">
        <v>58564</v>
      </c>
      <c r="B11378">
        <v>1</v>
      </c>
      <c r="C11378">
        <v>8</v>
      </c>
    </row>
    <row r="11379" spans="1:3" x14ac:dyDescent="0.3">
      <c r="A11379">
        <v>58690</v>
      </c>
      <c r="B11379">
        <v>1</v>
      </c>
      <c r="C11379">
        <v>16</v>
      </c>
    </row>
    <row r="11380" spans="1:3" x14ac:dyDescent="0.3">
      <c r="A11380">
        <v>59061</v>
      </c>
      <c r="B11380">
        <v>1</v>
      </c>
      <c r="C11380">
        <v>16</v>
      </c>
    </row>
    <row r="11381" spans="1:3" x14ac:dyDescent="0.3">
      <c r="A11381">
        <v>59136</v>
      </c>
      <c r="B11381">
        <v>1</v>
      </c>
      <c r="C11381">
        <v>8</v>
      </c>
    </row>
    <row r="11382" spans="1:3" x14ac:dyDescent="0.3">
      <c r="A11382">
        <v>59244</v>
      </c>
      <c r="B11382">
        <v>1</v>
      </c>
      <c r="C11382">
        <v>8</v>
      </c>
    </row>
    <row r="11383" spans="1:3" x14ac:dyDescent="0.3">
      <c r="A11383">
        <v>59491</v>
      </c>
      <c r="B11383">
        <v>1</v>
      </c>
      <c r="C11383">
        <v>8</v>
      </c>
    </row>
    <row r="11384" spans="1:3" x14ac:dyDescent="0.3">
      <c r="A11384">
        <v>59721</v>
      </c>
      <c r="B11384">
        <v>1</v>
      </c>
      <c r="C11384">
        <v>8</v>
      </c>
    </row>
    <row r="11385" spans="1:3" x14ac:dyDescent="0.3">
      <c r="A11385">
        <v>59833</v>
      </c>
      <c r="B11385">
        <v>2</v>
      </c>
      <c r="C11385">
        <v>16</v>
      </c>
    </row>
    <row r="11386" spans="1:3" x14ac:dyDescent="0.3">
      <c r="A11386">
        <v>59833</v>
      </c>
      <c r="B11386">
        <v>2</v>
      </c>
      <c r="C11386">
        <v>16</v>
      </c>
    </row>
    <row r="11387" spans="1:3" x14ac:dyDescent="0.3">
      <c r="A11387">
        <v>60199</v>
      </c>
      <c r="B11387">
        <v>1</v>
      </c>
      <c r="C11387">
        <v>16</v>
      </c>
    </row>
    <row r="11388" spans="1:3" x14ac:dyDescent="0.3">
      <c r="A11388">
        <v>60486</v>
      </c>
      <c r="B11388">
        <v>1</v>
      </c>
      <c r="C11388">
        <v>8</v>
      </c>
    </row>
    <row r="11389" spans="1:3" x14ac:dyDescent="0.3">
      <c r="A11389">
        <v>60561</v>
      </c>
      <c r="B11389">
        <v>1</v>
      </c>
      <c r="C11389">
        <v>8</v>
      </c>
    </row>
    <row r="11390" spans="1:3" x14ac:dyDescent="0.3">
      <c r="A11390">
        <v>60570</v>
      </c>
      <c r="B11390">
        <v>1</v>
      </c>
      <c r="C11390">
        <v>8</v>
      </c>
    </row>
    <row r="11391" spans="1:3" x14ac:dyDescent="0.3">
      <c r="A11391">
        <v>60669</v>
      </c>
      <c r="B11391">
        <v>1</v>
      </c>
      <c r="C11391">
        <v>16</v>
      </c>
    </row>
    <row r="11392" spans="1:3" x14ac:dyDescent="0.3">
      <c r="A11392">
        <v>61205</v>
      </c>
      <c r="B11392">
        <v>1</v>
      </c>
      <c r="C11392">
        <v>8</v>
      </c>
    </row>
    <row r="11393" spans="1:3" x14ac:dyDescent="0.3">
      <c r="A11393">
        <v>61352</v>
      </c>
      <c r="B11393">
        <v>1</v>
      </c>
      <c r="C11393">
        <v>8</v>
      </c>
    </row>
    <row r="11394" spans="1:3" x14ac:dyDescent="0.3">
      <c r="A11394">
        <v>61415</v>
      </c>
      <c r="B11394">
        <v>1</v>
      </c>
      <c r="C11394">
        <v>8</v>
      </c>
    </row>
    <row r="11395" spans="1:3" x14ac:dyDescent="0.3">
      <c r="A11395">
        <v>61499</v>
      </c>
      <c r="B11395">
        <v>1</v>
      </c>
      <c r="C11395">
        <v>8</v>
      </c>
    </row>
    <row r="11396" spans="1:3" x14ac:dyDescent="0.3">
      <c r="A11396">
        <v>61554</v>
      </c>
      <c r="B11396">
        <v>1</v>
      </c>
      <c r="C11396">
        <v>8</v>
      </c>
    </row>
    <row r="11397" spans="1:3" x14ac:dyDescent="0.3">
      <c r="A11397">
        <v>61831</v>
      </c>
      <c r="B11397">
        <v>1</v>
      </c>
      <c r="C11397">
        <v>8</v>
      </c>
    </row>
    <row r="11398" spans="1:3" x14ac:dyDescent="0.3">
      <c r="A11398">
        <v>62049</v>
      </c>
      <c r="B11398">
        <v>1</v>
      </c>
      <c r="C11398">
        <v>8</v>
      </c>
    </row>
    <row r="11399" spans="1:3" x14ac:dyDescent="0.3">
      <c r="A11399">
        <v>62304</v>
      </c>
      <c r="B11399">
        <v>1</v>
      </c>
      <c r="C11399">
        <v>8</v>
      </c>
    </row>
    <row r="11400" spans="1:3" x14ac:dyDescent="0.3">
      <c r="A11400">
        <v>62768</v>
      </c>
      <c r="B11400">
        <v>1</v>
      </c>
      <c r="C11400">
        <v>8</v>
      </c>
    </row>
    <row r="11401" spans="1:3" x14ac:dyDescent="0.3">
      <c r="A11401">
        <v>62982</v>
      </c>
      <c r="B11401">
        <v>1</v>
      </c>
      <c r="C11401">
        <v>8</v>
      </c>
    </row>
    <row r="11402" spans="1:3" x14ac:dyDescent="0.3">
      <c r="A11402">
        <v>63002</v>
      </c>
      <c r="B11402">
        <v>1</v>
      </c>
      <c r="C11402">
        <v>8</v>
      </c>
    </row>
    <row r="11403" spans="1:3" x14ac:dyDescent="0.3">
      <c r="A11403">
        <v>63081</v>
      </c>
      <c r="B11403">
        <v>1</v>
      </c>
      <c r="C11403">
        <v>8</v>
      </c>
    </row>
    <row r="11404" spans="1:3" x14ac:dyDescent="0.3">
      <c r="A11404">
        <v>63746</v>
      </c>
      <c r="B11404">
        <v>1</v>
      </c>
      <c r="C11404">
        <v>8</v>
      </c>
    </row>
    <row r="11405" spans="1:3" x14ac:dyDescent="0.3">
      <c r="A11405">
        <v>63812</v>
      </c>
      <c r="B11405">
        <v>1</v>
      </c>
      <c r="C11405">
        <v>8</v>
      </c>
    </row>
    <row r="11406" spans="1:3" x14ac:dyDescent="0.3">
      <c r="A11406">
        <v>64068</v>
      </c>
      <c r="B11406">
        <v>2</v>
      </c>
      <c r="C11406">
        <v>16</v>
      </c>
    </row>
    <row r="11407" spans="1:3" x14ac:dyDescent="0.3">
      <c r="A11407">
        <v>64068</v>
      </c>
      <c r="B11407">
        <v>2</v>
      </c>
      <c r="C11407">
        <v>16</v>
      </c>
    </row>
    <row r="11408" spans="1:3" x14ac:dyDescent="0.3">
      <c r="A11408">
        <v>64163</v>
      </c>
      <c r="B11408">
        <v>1</v>
      </c>
      <c r="C11408">
        <v>8</v>
      </c>
    </row>
    <row r="11409" spans="1:3" x14ac:dyDescent="0.3">
      <c r="A11409">
        <v>64310</v>
      </c>
      <c r="B11409">
        <v>1</v>
      </c>
      <c r="C11409">
        <v>8</v>
      </c>
    </row>
    <row r="11410" spans="1:3" x14ac:dyDescent="0.3">
      <c r="A11410">
        <v>64549</v>
      </c>
      <c r="B11410">
        <v>1</v>
      </c>
      <c r="C11410">
        <v>8</v>
      </c>
    </row>
    <row r="11411" spans="1:3" x14ac:dyDescent="0.3">
      <c r="A11411">
        <v>64550</v>
      </c>
      <c r="B11411">
        <v>1</v>
      </c>
      <c r="C11411">
        <v>8</v>
      </c>
    </row>
    <row r="11412" spans="1:3" x14ac:dyDescent="0.3">
      <c r="A11412">
        <v>64899</v>
      </c>
      <c r="B11412">
        <v>1</v>
      </c>
      <c r="C11412">
        <v>8</v>
      </c>
    </row>
    <row r="11413" spans="1:3" x14ac:dyDescent="0.3">
      <c r="A11413">
        <v>65264</v>
      </c>
      <c r="B11413">
        <v>1</v>
      </c>
      <c r="C11413">
        <v>8</v>
      </c>
    </row>
    <row r="11414" spans="1:3" x14ac:dyDescent="0.3">
      <c r="A11414">
        <v>65463</v>
      </c>
      <c r="B11414">
        <v>1</v>
      </c>
      <c r="C11414">
        <v>8</v>
      </c>
    </row>
    <row r="11415" spans="1:3" x14ac:dyDescent="0.3">
      <c r="A11415">
        <v>65612</v>
      </c>
      <c r="B11415">
        <v>1</v>
      </c>
      <c r="C11415">
        <v>8</v>
      </c>
    </row>
    <row r="11416" spans="1:3" x14ac:dyDescent="0.3">
      <c r="A11416">
        <v>65804</v>
      </c>
      <c r="B11416">
        <v>1</v>
      </c>
      <c r="C11416">
        <v>8</v>
      </c>
    </row>
    <row r="11417" spans="1:3" x14ac:dyDescent="0.3">
      <c r="A11417">
        <v>65985</v>
      </c>
      <c r="B11417">
        <v>1</v>
      </c>
      <c r="C11417">
        <v>8</v>
      </c>
    </row>
    <row r="11418" spans="1:3" x14ac:dyDescent="0.3">
      <c r="A11418">
        <v>65987</v>
      </c>
      <c r="B11418">
        <v>1</v>
      </c>
      <c r="C11418">
        <v>8</v>
      </c>
    </row>
    <row r="11419" spans="1:3" x14ac:dyDescent="0.3">
      <c r="A11419">
        <v>66241</v>
      </c>
      <c r="B11419">
        <v>1</v>
      </c>
      <c r="C11419">
        <v>8</v>
      </c>
    </row>
    <row r="11420" spans="1:3" x14ac:dyDescent="0.3">
      <c r="A11420">
        <v>66288</v>
      </c>
      <c r="B11420">
        <v>1</v>
      </c>
      <c r="C11420">
        <v>8</v>
      </c>
    </row>
    <row r="11421" spans="1:3" x14ac:dyDescent="0.3">
      <c r="A11421">
        <v>66325</v>
      </c>
      <c r="B11421">
        <v>1</v>
      </c>
      <c r="C11421">
        <v>8</v>
      </c>
    </row>
    <row r="11422" spans="1:3" x14ac:dyDescent="0.3">
      <c r="A11422">
        <v>66388</v>
      </c>
      <c r="B11422">
        <v>1</v>
      </c>
      <c r="C11422">
        <v>8</v>
      </c>
    </row>
    <row r="11423" spans="1:3" x14ac:dyDescent="0.3">
      <c r="A11423">
        <v>66400</v>
      </c>
      <c r="B11423">
        <v>2</v>
      </c>
      <c r="C11423">
        <v>16</v>
      </c>
    </row>
    <row r="11424" spans="1:3" x14ac:dyDescent="0.3">
      <c r="A11424">
        <v>66400</v>
      </c>
      <c r="B11424">
        <v>2</v>
      </c>
      <c r="C11424">
        <v>16</v>
      </c>
    </row>
    <row r="11425" spans="1:3" x14ac:dyDescent="0.3">
      <c r="A11425">
        <v>66420</v>
      </c>
      <c r="B11425">
        <v>1</v>
      </c>
      <c r="C11425">
        <v>8</v>
      </c>
    </row>
    <row r="11426" spans="1:3" x14ac:dyDescent="0.3">
      <c r="A11426">
        <v>66438</v>
      </c>
      <c r="B11426">
        <v>1</v>
      </c>
      <c r="C11426">
        <v>8</v>
      </c>
    </row>
    <row r="11427" spans="1:3" x14ac:dyDescent="0.3">
      <c r="A11427">
        <v>66522</v>
      </c>
      <c r="B11427">
        <v>1</v>
      </c>
      <c r="C11427">
        <v>8</v>
      </c>
    </row>
    <row r="11428" spans="1:3" x14ac:dyDescent="0.3">
      <c r="A11428">
        <v>66567</v>
      </c>
      <c r="B11428">
        <v>1</v>
      </c>
      <c r="C11428">
        <v>8</v>
      </c>
    </row>
    <row r="11429" spans="1:3" x14ac:dyDescent="0.3">
      <c r="A11429">
        <v>66708</v>
      </c>
      <c r="B11429">
        <v>1</v>
      </c>
      <c r="C11429">
        <v>8</v>
      </c>
    </row>
    <row r="11430" spans="1:3" x14ac:dyDescent="0.3">
      <c r="A11430">
        <v>66816</v>
      </c>
      <c r="B11430">
        <v>1</v>
      </c>
      <c r="C11430">
        <v>8</v>
      </c>
    </row>
    <row r="11431" spans="1:3" x14ac:dyDescent="0.3">
      <c r="A11431">
        <v>66818</v>
      </c>
      <c r="B11431">
        <v>1</v>
      </c>
      <c r="C11431">
        <v>16</v>
      </c>
    </row>
    <row r="11432" spans="1:3" x14ac:dyDescent="0.3">
      <c r="A11432">
        <v>66906</v>
      </c>
      <c r="B11432">
        <v>1</v>
      </c>
      <c r="C11432">
        <v>8</v>
      </c>
    </row>
    <row r="11433" spans="1:3" x14ac:dyDescent="0.3">
      <c r="A11433">
        <v>66916</v>
      </c>
      <c r="B11433">
        <v>1</v>
      </c>
      <c r="C11433">
        <v>8</v>
      </c>
    </row>
    <row r="11434" spans="1:3" x14ac:dyDescent="0.3">
      <c r="A11434">
        <v>66933</v>
      </c>
      <c r="B11434">
        <v>1</v>
      </c>
      <c r="C11434">
        <v>8</v>
      </c>
    </row>
    <row r="11435" spans="1:3" x14ac:dyDescent="0.3">
      <c r="A11435">
        <v>67207</v>
      </c>
      <c r="B11435">
        <v>1</v>
      </c>
      <c r="C11435">
        <v>8</v>
      </c>
    </row>
    <row r="11436" spans="1:3" x14ac:dyDescent="0.3">
      <c r="A11436">
        <v>68077</v>
      </c>
      <c r="B11436">
        <v>2</v>
      </c>
      <c r="C11436">
        <v>16</v>
      </c>
    </row>
    <row r="11437" spans="1:3" x14ac:dyDescent="0.3">
      <c r="A11437">
        <v>68077</v>
      </c>
      <c r="B11437">
        <v>2</v>
      </c>
      <c r="C11437">
        <v>16</v>
      </c>
    </row>
    <row r="11438" spans="1:3" x14ac:dyDescent="0.3">
      <c r="A11438">
        <v>68293</v>
      </c>
      <c r="B11438">
        <v>1</v>
      </c>
      <c r="C11438">
        <v>8</v>
      </c>
    </row>
    <row r="11439" spans="1:3" x14ac:dyDescent="0.3">
      <c r="A11439">
        <v>68347</v>
      </c>
      <c r="B11439">
        <v>1</v>
      </c>
      <c r="C11439">
        <v>8</v>
      </c>
    </row>
    <row r="11440" spans="1:3" x14ac:dyDescent="0.3">
      <c r="A11440">
        <v>68351</v>
      </c>
      <c r="B11440">
        <v>1</v>
      </c>
      <c r="C11440">
        <v>16</v>
      </c>
    </row>
    <row r="11441" spans="1:3" x14ac:dyDescent="0.3">
      <c r="A11441">
        <v>68381</v>
      </c>
      <c r="B11441">
        <v>1</v>
      </c>
      <c r="C11441">
        <v>8</v>
      </c>
    </row>
    <row r="11442" spans="1:3" x14ac:dyDescent="0.3">
      <c r="A11442">
        <v>68394</v>
      </c>
      <c r="B11442">
        <v>1</v>
      </c>
      <c r="C11442">
        <v>16</v>
      </c>
    </row>
    <row r="11443" spans="1:3" x14ac:dyDescent="0.3">
      <c r="A11443">
        <v>68405</v>
      </c>
      <c r="B11443">
        <v>1</v>
      </c>
      <c r="C11443">
        <v>8</v>
      </c>
    </row>
    <row r="11444" spans="1:3" x14ac:dyDescent="0.3">
      <c r="A11444">
        <v>68732</v>
      </c>
      <c r="B11444">
        <v>1</v>
      </c>
      <c r="C11444">
        <v>8</v>
      </c>
    </row>
    <row r="11445" spans="1:3" x14ac:dyDescent="0.3">
      <c r="A11445">
        <v>68806</v>
      </c>
      <c r="B11445">
        <v>1</v>
      </c>
      <c r="C11445">
        <v>8</v>
      </c>
    </row>
    <row r="11446" spans="1:3" x14ac:dyDescent="0.3">
      <c r="A11446">
        <v>68889</v>
      </c>
      <c r="B11446">
        <v>1</v>
      </c>
      <c r="C11446">
        <v>8</v>
      </c>
    </row>
    <row r="11447" spans="1:3" x14ac:dyDescent="0.3">
      <c r="A11447">
        <v>69069</v>
      </c>
      <c r="B11447">
        <v>1</v>
      </c>
      <c r="C11447">
        <v>8</v>
      </c>
    </row>
    <row r="11448" spans="1:3" x14ac:dyDescent="0.3">
      <c r="A11448">
        <v>69380</v>
      </c>
      <c r="B11448">
        <v>1</v>
      </c>
      <c r="C11448">
        <v>8</v>
      </c>
    </row>
    <row r="11449" spans="1:3" x14ac:dyDescent="0.3">
      <c r="A11449">
        <v>69395</v>
      </c>
      <c r="B11449">
        <v>1</v>
      </c>
      <c r="C11449">
        <v>8</v>
      </c>
    </row>
    <row r="11450" spans="1:3" x14ac:dyDescent="0.3">
      <c r="A11450">
        <v>69558</v>
      </c>
      <c r="B11450">
        <v>1</v>
      </c>
      <c r="C11450">
        <v>8</v>
      </c>
    </row>
    <row r="11451" spans="1:3" x14ac:dyDescent="0.3">
      <c r="A11451">
        <v>69799</v>
      </c>
      <c r="B11451">
        <v>1</v>
      </c>
      <c r="C11451">
        <v>8</v>
      </c>
    </row>
    <row r="11452" spans="1:3" x14ac:dyDescent="0.3">
      <c r="A11452">
        <v>69859</v>
      </c>
      <c r="B11452">
        <v>1</v>
      </c>
      <c r="C11452">
        <v>8</v>
      </c>
    </row>
    <row r="11453" spans="1:3" x14ac:dyDescent="0.3">
      <c r="A11453">
        <v>69879</v>
      </c>
      <c r="B11453">
        <v>1</v>
      </c>
      <c r="C11453">
        <v>8</v>
      </c>
    </row>
    <row r="11454" spans="1:3" x14ac:dyDescent="0.3">
      <c r="A11454">
        <v>70079</v>
      </c>
      <c r="B11454">
        <v>1</v>
      </c>
      <c r="C11454">
        <v>8</v>
      </c>
    </row>
    <row r="11455" spans="1:3" x14ac:dyDescent="0.3">
      <c r="A11455">
        <v>70227</v>
      </c>
      <c r="B11455">
        <v>1</v>
      </c>
      <c r="C11455">
        <v>8</v>
      </c>
    </row>
    <row r="11456" spans="1:3" x14ac:dyDescent="0.3">
      <c r="A11456">
        <v>70249</v>
      </c>
      <c r="B11456">
        <v>1</v>
      </c>
      <c r="C11456">
        <v>8</v>
      </c>
    </row>
    <row r="11457" spans="1:3" x14ac:dyDescent="0.3">
      <c r="A11457">
        <v>70272</v>
      </c>
      <c r="B11457">
        <v>1</v>
      </c>
      <c r="C11457">
        <v>8</v>
      </c>
    </row>
    <row r="11458" spans="1:3" x14ac:dyDescent="0.3">
      <c r="A11458">
        <v>70348</v>
      </c>
      <c r="B11458">
        <v>1</v>
      </c>
      <c r="C11458">
        <v>16</v>
      </c>
    </row>
    <row r="11459" spans="1:3" x14ac:dyDescent="0.3">
      <c r="A11459">
        <v>70369</v>
      </c>
      <c r="B11459">
        <v>1</v>
      </c>
      <c r="C11459">
        <v>8</v>
      </c>
    </row>
    <row r="11460" spans="1:3" x14ac:dyDescent="0.3">
      <c r="A11460">
        <v>70467</v>
      </c>
      <c r="B11460">
        <v>1</v>
      </c>
      <c r="C11460">
        <v>8</v>
      </c>
    </row>
    <row r="11461" spans="1:3" x14ac:dyDescent="0.3">
      <c r="A11461">
        <v>70646</v>
      </c>
      <c r="B11461">
        <v>1</v>
      </c>
      <c r="C11461">
        <v>8</v>
      </c>
    </row>
    <row r="11462" spans="1:3" x14ac:dyDescent="0.3">
      <c r="A11462">
        <v>70672</v>
      </c>
      <c r="B11462">
        <v>1</v>
      </c>
      <c r="C11462">
        <v>8</v>
      </c>
    </row>
    <row r="11463" spans="1:3" x14ac:dyDescent="0.3">
      <c r="A11463">
        <v>70769</v>
      </c>
      <c r="B11463">
        <v>1</v>
      </c>
      <c r="C11463">
        <v>8</v>
      </c>
    </row>
    <row r="11464" spans="1:3" x14ac:dyDescent="0.3">
      <c r="A11464">
        <v>70853</v>
      </c>
      <c r="B11464">
        <v>1</v>
      </c>
      <c r="C11464">
        <v>8</v>
      </c>
    </row>
    <row r="11465" spans="1:3" x14ac:dyDescent="0.3">
      <c r="A11465">
        <v>70854</v>
      </c>
      <c r="B11465">
        <v>1</v>
      </c>
      <c r="C11465">
        <v>8</v>
      </c>
    </row>
    <row r="11466" spans="1:3" x14ac:dyDescent="0.3">
      <c r="A11466">
        <v>71122</v>
      </c>
      <c r="B11466">
        <v>1</v>
      </c>
      <c r="C11466">
        <v>8</v>
      </c>
    </row>
    <row r="11467" spans="1:3" x14ac:dyDescent="0.3">
      <c r="A11467">
        <v>71305</v>
      </c>
      <c r="B11467">
        <v>1</v>
      </c>
      <c r="C11467">
        <v>8</v>
      </c>
    </row>
    <row r="11468" spans="1:3" x14ac:dyDescent="0.3">
      <c r="A11468">
        <v>71307</v>
      </c>
      <c r="B11468">
        <v>1</v>
      </c>
      <c r="C11468">
        <v>8</v>
      </c>
    </row>
    <row r="11469" spans="1:3" x14ac:dyDescent="0.3">
      <c r="A11469">
        <v>71478</v>
      </c>
      <c r="B11469">
        <v>1</v>
      </c>
      <c r="C11469">
        <v>8</v>
      </c>
    </row>
    <row r="11470" spans="1:3" x14ac:dyDescent="0.3">
      <c r="A11470">
        <v>71485</v>
      </c>
      <c r="B11470">
        <v>1</v>
      </c>
      <c r="C11470">
        <v>8</v>
      </c>
    </row>
    <row r="11471" spans="1:3" x14ac:dyDescent="0.3">
      <c r="A11471">
        <v>71598</v>
      </c>
      <c r="B11471">
        <v>1</v>
      </c>
      <c r="C11471">
        <v>8</v>
      </c>
    </row>
    <row r="11472" spans="1:3" x14ac:dyDescent="0.3">
      <c r="A11472">
        <v>71877</v>
      </c>
      <c r="B11472">
        <v>1</v>
      </c>
      <c r="C11472">
        <v>8</v>
      </c>
    </row>
    <row r="11473" spans="1:3" x14ac:dyDescent="0.3">
      <c r="A11473">
        <v>71906</v>
      </c>
      <c r="B11473">
        <v>1</v>
      </c>
      <c r="C11473">
        <v>8</v>
      </c>
    </row>
    <row r="11474" spans="1:3" x14ac:dyDescent="0.3">
      <c r="A11474">
        <v>72263</v>
      </c>
      <c r="B11474">
        <v>1</v>
      </c>
      <c r="C11474">
        <v>8</v>
      </c>
    </row>
    <row r="11475" spans="1:3" x14ac:dyDescent="0.3">
      <c r="A11475">
        <v>72264</v>
      </c>
      <c r="B11475">
        <v>1</v>
      </c>
      <c r="C11475">
        <v>8</v>
      </c>
    </row>
    <row r="11476" spans="1:3" x14ac:dyDescent="0.3">
      <c r="A11476">
        <v>72266</v>
      </c>
      <c r="B11476">
        <v>1</v>
      </c>
      <c r="C11476">
        <v>8</v>
      </c>
    </row>
    <row r="11477" spans="1:3" x14ac:dyDescent="0.3">
      <c r="A11477">
        <v>72480</v>
      </c>
      <c r="B11477">
        <v>1</v>
      </c>
      <c r="C11477">
        <v>8</v>
      </c>
    </row>
    <row r="11478" spans="1:3" x14ac:dyDescent="0.3">
      <c r="A11478">
        <v>72569</v>
      </c>
      <c r="B11478">
        <v>1</v>
      </c>
      <c r="C11478">
        <v>8</v>
      </c>
    </row>
    <row r="11479" spans="1:3" x14ac:dyDescent="0.3">
      <c r="A11479">
        <v>73055</v>
      </c>
      <c r="B11479">
        <v>1</v>
      </c>
      <c r="C11479">
        <v>8</v>
      </c>
    </row>
    <row r="11480" spans="1:3" x14ac:dyDescent="0.3">
      <c r="A11480">
        <v>73537</v>
      </c>
      <c r="B11480">
        <v>1</v>
      </c>
      <c r="C11480">
        <v>8</v>
      </c>
    </row>
    <row r="11481" spans="1:3" x14ac:dyDescent="0.3">
      <c r="A11481">
        <v>73735</v>
      </c>
      <c r="B11481">
        <v>1</v>
      </c>
      <c r="C11481">
        <v>8</v>
      </c>
    </row>
    <row r="11482" spans="1:3" x14ac:dyDescent="0.3">
      <c r="A11482">
        <v>73934</v>
      </c>
      <c r="B11482">
        <v>1</v>
      </c>
      <c r="C11482">
        <v>8</v>
      </c>
    </row>
    <row r="11483" spans="1:3" x14ac:dyDescent="0.3">
      <c r="A11483">
        <v>73937</v>
      </c>
      <c r="B11483">
        <v>1</v>
      </c>
      <c r="C11483">
        <v>8</v>
      </c>
    </row>
    <row r="11484" spans="1:3" x14ac:dyDescent="0.3">
      <c r="A11484">
        <v>74008</v>
      </c>
      <c r="B11484">
        <v>1</v>
      </c>
      <c r="C11484">
        <v>8</v>
      </c>
    </row>
    <row r="11485" spans="1:3" x14ac:dyDescent="0.3">
      <c r="A11485">
        <v>74044</v>
      </c>
      <c r="B11485">
        <v>1</v>
      </c>
      <c r="C11485">
        <v>8</v>
      </c>
    </row>
    <row r="11486" spans="1:3" x14ac:dyDescent="0.3">
      <c r="A11486">
        <v>74272</v>
      </c>
      <c r="B11486">
        <v>1</v>
      </c>
      <c r="C11486">
        <v>8</v>
      </c>
    </row>
    <row r="11487" spans="1:3" x14ac:dyDescent="0.3">
      <c r="A11487">
        <v>74407</v>
      </c>
      <c r="B11487">
        <v>1</v>
      </c>
      <c r="C11487">
        <v>8</v>
      </c>
    </row>
    <row r="11488" spans="1:3" x14ac:dyDescent="0.3">
      <c r="A11488">
        <v>74409</v>
      </c>
      <c r="B11488">
        <v>1</v>
      </c>
      <c r="C11488">
        <v>8</v>
      </c>
    </row>
    <row r="11489" spans="1:3" x14ac:dyDescent="0.3">
      <c r="A11489">
        <v>74443</v>
      </c>
      <c r="B11489">
        <v>1</v>
      </c>
      <c r="C11489">
        <v>8</v>
      </c>
    </row>
    <row r="11490" spans="1:3" x14ac:dyDescent="0.3">
      <c r="A11490">
        <v>74546</v>
      </c>
      <c r="B11490">
        <v>1</v>
      </c>
      <c r="C11490">
        <v>8</v>
      </c>
    </row>
    <row r="11491" spans="1:3" x14ac:dyDescent="0.3">
      <c r="A11491">
        <v>74734</v>
      </c>
      <c r="B11491">
        <v>1</v>
      </c>
      <c r="C11491">
        <v>8</v>
      </c>
    </row>
    <row r="11492" spans="1:3" x14ac:dyDescent="0.3">
      <c r="A11492">
        <v>74735</v>
      </c>
      <c r="B11492">
        <v>1</v>
      </c>
      <c r="C11492">
        <v>8</v>
      </c>
    </row>
    <row r="11493" spans="1:3" x14ac:dyDescent="0.3">
      <c r="A11493">
        <v>74736</v>
      </c>
      <c r="B11493">
        <v>1</v>
      </c>
      <c r="C11493">
        <v>8</v>
      </c>
    </row>
    <row r="11494" spans="1:3" x14ac:dyDescent="0.3">
      <c r="A11494">
        <v>74945</v>
      </c>
      <c r="B11494">
        <v>1</v>
      </c>
      <c r="C11494">
        <v>8</v>
      </c>
    </row>
    <row r="11495" spans="1:3" x14ac:dyDescent="0.3">
      <c r="A11495">
        <v>75068</v>
      </c>
      <c r="B11495">
        <v>1</v>
      </c>
      <c r="C11495">
        <v>8</v>
      </c>
    </row>
    <row r="11496" spans="1:3" x14ac:dyDescent="0.3">
      <c r="A11496">
        <v>75335</v>
      </c>
      <c r="B11496">
        <v>1</v>
      </c>
      <c r="C11496">
        <v>8</v>
      </c>
    </row>
    <row r="11497" spans="1:3" x14ac:dyDescent="0.3">
      <c r="A11497">
        <v>75480</v>
      </c>
      <c r="B11497">
        <v>1</v>
      </c>
      <c r="C11497">
        <v>8</v>
      </c>
    </row>
    <row r="11498" spans="1:3" x14ac:dyDescent="0.3">
      <c r="A11498">
        <v>75672</v>
      </c>
      <c r="B11498">
        <v>1</v>
      </c>
      <c r="C11498">
        <v>8</v>
      </c>
    </row>
    <row r="11499" spans="1:3" x14ac:dyDescent="0.3">
      <c r="A11499">
        <v>75885</v>
      </c>
      <c r="B11499">
        <v>1</v>
      </c>
      <c r="C11499">
        <v>8</v>
      </c>
    </row>
    <row r="11500" spans="1:3" x14ac:dyDescent="0.3">
      <c r="A11500">
        <v>76018</v>
      </c>
      <c r="B11500">
        <v>1</v>
      </c>
      <c r="C11500">
        <v>8</v>
      </c>
    </row>
    <row r="11501" spans="1:3" x14ac:dyDescent="0.3">
      <c r="A11501">
        <v>76040</v>
      </c>
      <c r="B11501">
        <v>1</v>
      </c>
      <c r="C11501">
        <v>8</v>
      </c>
    </row>
    <row r="11502" spans="1:3" x14ac:dyDescent="0.3">
      <c r="A11502">
        <v>76342</v>
      </c>
      <c r="B11502">
        <v>1</v>
      </c>
      <c r="C11502">
        <v>8</v>
      </c>
    </row>
    <row r="11503" spans="1:3" x14ac:dyDescent="0.3">
      <c r="A11503">
        <v>76513</v>
      </c>
      <c r="B11503">
        <v>1</v>
      </c>
      <c r="C11503">
        <v>8</v>
      </c>
    </row>
    <row r="11504" spans="1:3" x14ac:dyDescent="0.3">
      <c r="A11504">
        <v>76703</v>
      </c>
      <c r="B11504">
        <v>1</v>
      </c>
      <c r="C11504">
        <v>8</v>
      </c>
    </row>
    <row r="11505" spans="1:3" x14ac:dyDescent="0.3">
      <c r="A11505">
        <v>77277</v>
      </c>
      <c r="B11505">
        <v>1</v>
      </c>
      <c r="C11505">
        <v>8</v>
      </c>
    </row>
    <row r="11506" spans="1:3" x14ac:dyDescent="0.3">
      <c r="A11506">
        <v>77448</v>
      </c>
      <c r="B11506">
        <v>1</v>
      </c>
      <c r="C11506">
        <v>8</v>
      </c>
    </row>
    <row r="11507" spans="1:3" x14ac:dyDescent="0.3">
      <c r="A11507">
        <v>77479</v>
      </c>
      <c r="B11507">
        <v>1</v>
      </c>
      <c r="C11507">
        <v>8</v>
      </c>
    </row>
    <row r="11508" spans="1:3" x14ac:dyDescent="0.3">
      <c r="A11508">
        <v>77753</v>
      </c>
      <c r="B11508">
        <v>1</v>
      </c>
      <c r="C11508">
        <v>8</v>
      </c>
    </row>
    <row r="11509" spans="1:3" x14ac:dyDescent="0.3">
      <c r="A11509">
        <v>77911</v>
      </c>
      <c r="B11509">
        <v>1</v>
      </c>
      <c r="C11509">
        <v>8</v>
      </c>
    </row>
    <row r="11510" spans="1:3" x14ac:dyDescent="0.3">
      <c r="A11510">
        <v>78104</v>
      </c>
      <c r="B11510">
        <v>1</v>
      </c>
      <c r="C11510">
        <v>8</v>
      </c>
    </row>
    <row r="11511" spans="1:3" x14ac:dyDescent="0.3">
      <c r="A11511">
        <v>78188</v>
      </c>
      <c r="B11511">
        <v>1</v>
      </c>
      <c r="C11511">
        <v>8</v>
      </c>
    </row>
    <row r="11512" spans="1:3" x14ac:dyDescent="0.3">
      <c r="A11512">
        <v>78360</v>
      </c>
      <c r="B11512">
        <v>1</v>
      </c>
      <c r="C11512">
        <v>8</v>
      </c>
    </row>
    <row r="11513" spans="1:3" x14ac:dyDescent="0.3">
      <c r="A11513">
        <v>78411</v>
      </c>
      <c r="B11513">
        <v>1</v>
      </c>
      <c r="C11513">
        <v>8</v>
      </c>
    </row>
    <row r="11514" spans="1:3" x14ac:dyDescent="0.3">
      <c r="A11514">
        <v>78544</v>
      </c>
      <c r="B11514">
        <v>1</v>
      </c>
      <c r="C11514">
        <v>8</v>
      </c>
    </row>
    <row r="11515" spans="1:3" x14ac:dyDescent="0.3">
      <c r="A11515">
        <v>78609</v>
      </c>
      <c r="B11515">
        <v>1</v>
      </c>
      <c r="C11515">
        <v>8</v>
      </c>
    </row>
    <row r="11516" spans="1:3" x14ac:dyDescent="0.3">
      <c r="A11516">
        <v>78614</v>
      </c>
      <c r="B11516">
        <v>1</v>
      </c>
      <c r="C11516">
        <v>8</v>
      </c>
    </row>
    <row r="11517" spans="1:3" x14ac:dyDescent="0.3">
      <c r="A11517">
        <v>78875</v>
      </c>
      <c r="B11517">
        <v>1</v>
      </c>
      <c r="C11517">
        <v>8</v>
      </c>
    </row>
    <row r="11518" spans="1:3" x14ac:dyDescent="0.3">
      <c r="A11518">
        <v>78885</v>
      </c>
      <c r="B11518">
        <v>1</v>
      </c>
      <c r="C11518">
        <v>8</v>
      </c>
    </row>
    <row r="11519" spans="1:3" x14ac:dyDescent="0.3">
      <c r="A11519">
        <v>78891</v>
      </c>
      <c r="B11519">
        <v>1</v>
      </c>
      <c r="C11519">
        <v>8</v>
      </c>
    </row>
    <row r="11520" spans="1:3" x14ac:dyDescent="0.3">
      <c r="A11520">
        <v>78899</v>
      </c>
      <c r="B11520">
        <v>1</v>
      </c>
      <c r="C11520">
        <v>8</v>
      </c>
    </row>
    <row r="11521" spans="1:3" x14ac:dyDescent="0.3">
      <c r="A11521">
        <v>78911</v>
      </c>
      <c r="B11521">
        <v>1</v>
      </c>
      <c r="C11521">
        <v>8</v>
      </c>
    </row>
    <row r="11522" spans="1:3" x14ac:dyDescent="0.3">
      <c r="A11522">
        <v>79112</v>
      </c>
      <c r="B11522">
        <v>1</v>
      </c>
      <c r="C11522">
        <v>8</v>
      </c>
    </row>
    <row r="11523" spans="1:3" x14ac:dyDescent="0.3">
      <c r="A11523">
        <v>79114</v>
      </c>
      <c r="B11523">
        <v>1</v>
      </c>
      <c r="C11523">
        <v>8</v>
      </c>
    </row>
    <row r="11524" spans="1:3" x14ac:dyDescent="0.3">
      <c r="A11524">
        <v>79139</v>
      </c>
      <c r="B11524">
        <v>1</v>
      </c>
      <c r="C11524">
        <v>8</v>
      </c>
    </row>
    <row r="11525" spans="1:3" x14ac:dyDescent="0.3">
      <c r="A11525">
        <v>79215</v>
      </c>
      <c r="B11525">
        <v>1</v>
      </c>
      <c r="C11525">
        <v>8</v>
      </c>
    </row>
    <row r="11526" spans="1:3" x14ac:dyDescent="0.3">
      <c r="A11526">
        <v>79375</v>
      </c>
      <c r="B11526">
        <v>1</v>
      </c>
      <c r="C11526">
        <v>8</v>
      </c>
    </row>
    <row r="11527" spans="1:3" x14ac:dyDescent="0.3">
      <c r="A11527">
        <v>79551</v>
      </c>
      <c r="B11527">
        <v>1</v>
      </c>
      <c r="C11527">
        <v>8</v>
      </c>
    </row>
    <row r="11528" spans="1:3" x14ac:dyDescent="0.3">
      <c r="A11528">
        <v>79554</v>
      </c>
      <c r="B11528">
        <v>1</v>
      </c>
      <c r="C11528">
        <v>8</v>
      </c>
    </row>
    <row r="11529" spans="1:3" x14ac:dyDescent="0.3">
      <c r="A11529">
        <v>79560</v>
      </c>
      <c r="B11529">
        <v>1</v>
      </c>
      <c r="C11529">
        <v>8</v>
      </c>
    </row>
    <row r="11530" spans="1:3" x14ac:dyDescent="0.3">
      <c r="A11530">
        <v>79561</v>
      </c>
      <c r="B11530">
        <v>1</v>
      </c>
      <c r="C11530">
        <v>8</v>
      </c>
    </row>
    <row r="11531" spans="1:3" x14ac:dyDescent="0.3">
      <c r="A11531">
        <v>79565</v>
      </c>
      <c r="B11531">
        <v>1</v>
      </c>
      <c r="C11531">
        <v>8</v>
      </c>
    </row>
    <row r="11532" spans="1:3" x14ac:dyDescent="0.3">
      <c r="A11532">
        <v>79593</v>
      </c>
      <c r="B11532">
        <v>1</v>
      </c>
      <c r="C11532">
        <v>8</v>
      </c>
    </row>
    <row r="11533" spans="1:3" x14ac:dyDescent="0.3">
      <c r="A11533">
        <v>79646</v>
      </c>
      <c r="B11533">
        <v>1</v>
      </c>
      <c r="C11533">
        <v>8</v>
      </c>
    </row>
    <row r="11534" spans="1:3" x14ac:dyDescent="0.3">
      <c r="A11534">
        <v>79650</v>
      </c>
      <c r="B11534">
        <v>1</v>
      </c>
      <c r="C11534">
        <v>8</v>
      </c>
    </row>
    <row r="11535" spans="1:3" x14ac:dyDescent="0.3">
      <c r="A11535">
        <v>79667</v>
      </c>
      <c r="B11535">
        <v>1</v>
      </c>
      <c r="C11535">
        <v>8</v>
      </c>
    </row>
    <row r="11536" spans="1:3" x14ac:dyDescent="0.3">
      <c r="A11536">
        <v>79683</v>
      </c>
      <c r="B11536">
        <v>1</v>
      </c>
      <c r="C11536">
        <v>8</v>
      </c>
    </row>
    <row r="11537" spans="1:3" x14ac:dyDescent="0.3">
      <c r="A11537">
        <v>79757</v>
      </c>
      <c r="B11537">
        <v>1</v>
      </c>
      <c r="C11537">
        <v>8</v>
      </c>
    </row>
    <row r="11538" spans="1:3" x14ac:dyDescent="0.3">
      <c r="A11538">
        <v>79813</v>
      </c>
      <c r="B11538">
        <v>1</v>
      </c>
      <c r="C11538">
        <v>8</v>
      </c>
    </row>
    <row r="11539" spans="1:3" x14ac:dyDescent="0.3">
      <c r="A11539">
        <v>79815</v>
      </c>
      <c r="B11539">
        <v>1</v>
      </c>
      <c r="C11539">
        <v>8</v>
      </c>
    </row>
    <row r="11540" spans="1:3" x14ac:dyDescent="0.3">
      <c r="A11540">
        <v>79817</v>
      </c>
      <c r="B11540">
        <v>1</v>
      </c>
      <c r="C11540">
        <v>8</v>
      </c>
    </row>
    <row r="11541" spans="1:3" x14ac:dyDescent="0.3">
      <c r="A11541">
        <v>79838</v>
      </c>
      <c r="B11541">
        <v>1</v>
      </c>
      <c r="C11541">
        <v>8</v>
      </c>
    </row>
    <row r="11542" spans="1:3" x14ac:dyDescent="0.3">
      <c r="A11542">
        <v>79880</v>
      </c>
      <c r="B11542">
        <v>1</v>
      </c>
      <c r="C11542">
        <v>8</v>
      </c>
    </row>
    <row r="11543" spans="1:3" x14ac:dyDescent="0.3">
      <c r="A11543">
        <v>79938</v>
      </c>
      <c r="B11543">
        <v>1</v>
      </c>
      <c r="C11543">
        <v>8</v>
      </c>
    </row>
    <row r="11544" spans="1:3" x14ac:dyDescent="0.3">
      <c r="A11544">
        <v>79950</v>
      </c>
      <c r="B11544">
        <v>1</v>
      </c>
      <c r="C11544">
        <v>8</v>
      </c>
    </row>
    <row r="11545" spans="1:3" x14ac:dyDescent="0.3">
      <c r="A11545">
        <v>79953</v>
      </c>
      <c r="B11545">
        <v>1</v>
      </c>
      <c r="C11545">
        <v>8</v>
      </c>
    </row>
    <row r="11546" spans="1:3" x14ac:dyDescent="0.3">
      <c r="A11546">
        <v>79970</v>
      </c>
      <c r="B11546">
        <v>1</v>
      </c>
      <c r="C11546">
        <v>8</v>
      </c>
    </row>
    <row r="11547" spans="1:3" x14ac:dyDescent="0.3">
      <c r="A11547">
        <v>80028</v>
      </c>
      <c r="B11547">
        <v>1</v>
      </c>
      <c r="C11547">
        <v>8</v>
      </c>
    </row>
    <row r="11548" spans="1:3" x14ac:dyDescent="0.3">
      <c r="A11548">
        <v>80037</v>
      </c>
      <c r="B11548">
        <v>1</v>
      </c>
      <c r="C11548">
        <v>8</v>
      </c>
    </row>
    <row r="11549" spans="1:3" x14ac:dyDescent="0.3">
      <c r="A11549">
        <v>80147</v>
      </c>
      <c r="B11549">
        <v>1</v>
      </c>
      <c r="C11549">
        <v>8</v>
      </c>
    </row>
    <row r="11550" spans="1:3" x14ac:dyDescent="0.3">
      <c r="A11550">
        <v>80149</v>
      </c>
      <c r="B11550">
        <v>1</v>
      </c>
      <c r="C11550">
        <v>8</v>
      </c>
    </row>
    <row r="11551" spans="1:3" x14ac:dyDescent="0.3">
      <c r="A11551">
        <v>80193</v>
      </c>
      <c r="B11551">
        <v>1</v>
      </c>
      <c r="C11551">
        <v>8</v>
      </c>
    </row>
    <row r="11552" spans="1:3" x14ac:dyDescent="0.3">
      <c r="A11552">
        <v>80279</v>
      </c>
      <c r="B11552">
        <v>1</v>
      </c>
      <c r="C11552">
        <v>8</v>
      </c>
    </row>
    <row r="11553" spans="1:3" x14ac:dyDescent="0.3">
      <c r="A11553">
        <v>80379</v>
      </c>
      <c r="B11553">
        <v>1</v>
      </c>
      <c r="C11553">
        <v>8</v>
      </c>
    </row>
    <row r="11554" spans="1:3" x14ac:dyDescent="0.3">
      <c r="A11554">
        <v>80398</v>
      </c>
      <c r="B11554">
        <v>1</v>
      </c>
      <c r="C11554">
        <v>8</v>
      </c>
    </row>
    <row r="11555" spans="1:3" x14ac:dyDescent="0.3">
      <c r="A11555">
        <v>80437</v>
      </c>
      <c r="B11555">
        <v>1</v>
      </c>
      <c r="C11555">
        <v>8</v>
      </c>
    </row>
    <row r="11556" spans="1:3" x14ac:dyDescent="0.3">
      <c r="A11556">
        <v>80539</v>
      </c>
      <c r="B11556">
        <v>1</v>
      </c>
      <c r="C11556">
        <v>8</v>
      </c>
    </row>
    <row r="11557" spans="1:3" x14ac:dyDescent="0.3">
      <c r="A11557">
        <v>80540</v>
      </c>
      <c r="B11557">
        <v>1</v>
      </c>
      <c r="C11557">
        <v>8</v>
      </c>
    </row>
    <row r="11558" spans="1:3" x14ac:dyDescent="0.3">
      <c r="A11558">
        <v>80563</v>
      </c>
      <c r="B11558">
        <v>1</v>
      </c>
      <c r="C11558">
        <v>8</v>
      </c>
    </row>
    <row r="11559" spans="1:3" x14ac:dyDescent="0.3">
      <c r="A11559">
        <v>80599</v>
      </c>
      <c r="B11559">
        <v>1</v>
      </c>
      <c r="C11559">
        <v>8</v>
      </c>
    </row>
    <row r="11560" spans="1:3" x14ac:dyDescent="0.3">
      <c r="A11560">
        <v>80610</v>
      </c>
      <c r="B11560">
        <v>1</v>
      </c>
      <c r="C11560">
        <v>8</v>
      </c>
    </row>
    <row r="11561" spans="1:3" x14ac:dyDescent="0.3">
      <c r="A11561">
        <v>80621</v>
      </c>
      <c r="B11561">
        <v>1</v>
      </c>
      <c r="C11561">
        <v>8</v>
      </c>
    </row>
    <row r="11562" spans="1:3" x14ac:dyDescent="0.3">
      <c r="A11562">
        <v>80622</v>
      </c>
      <c r="B11562">
        <v>1</v>
      </c>
      <c r="C11562">
        <v>8</v>
      </c>
    </row>
    <row r="11563" spans="1:3" x14ac:dyDescent="0.3">
      <c r="A11563">
        <v>80687</v>
      </c>
      <c r="B11563">
        <v>1</v>
      </c>
      <c r="C11563">
        <v>8</v>
      </c>
    </row>
    <row r="11564" spans="1:3" x14ac:dyDescent="0.3">
      <c r="A11564">
        <v>80719</v>
      </c>
      <c r="B11564">
        <v>1</v>
      </c>
      <c r="C11564">
        <v>8</v>
      </c>
    </row>
    <row r="11565" spans="1:3" x14ac:dyDescent="0.3">
      <c r="A11565">
        <v>80749</v>
      </c>
      <c r="B11565">
        <v>1</v>
      </c>
      <c r="C11565">
        <v>8</v>
      </c>
    </row>
    <row r="11566" spans="1:3" x14ac:dyDescent="0.3">
      <c r="A11566">
        <v>80754</v>
      </c>
      <c r="B11566">
        <v>1</v>
      </c>
      <c r="C11566">
        <v>8</v>
      </c>
    </row>
    <row r="11567" spans="1:3" x14ac:dyDescent="0.3">
      <c r="A11567">
        <v>80759</v>
      </c>
      <c r="B11567">
        <v>1</v>
      </c>
      <c r="C11567">
        <v>8</v>
      </c>
    </row>
    <row r="11568" spans="1:3" x14ac:dyDescent="0.3">
      <c r="A11568">
        <v>80791</v>
      </c>
      <c r="B11568">
        <v>1</v>
      </c>
      <c r="C11568">
        <v>8</v>
      </c>
    </row>
    <row r="11569" spans="1:3" x14ac:dyDescent="0.3">
      <c r="A11569">
        <v>80792</v>
      </c>
      <c r="B11569">
        <v>1</v>
      </c>
      <c r="C11569">
        <v>8</v>
      </c>
    </row>
    <row r="11570" spans="1:3" x14ac:dyDescent="0.3">
      <c r="A11570">
        <v>80795</v>
      </c>
      <c r="B11570">
        <v>1</v>
      </c>
      <c r="C11570">
        <v>8</v>
      </c>
    </row>
    <row r="11571" spans="1:3" x14ac:dyDescent="0.3">
      <c r="A11571">
        <v>80796</v>
      </c>
      <c r="B11571">
        <v>1</v>
      </c>
      <c r="C11571">
        <v>8</v>
      </c>
    </row>
    <row r="11572" spans="1:3" x14ac:dyDescent="0.3">
      <c r="A11572">
        <v>80819</v>
      </c>
      <c r="B11572">
        <v>1</v>
      </c>
      <c r="C11572">
        <v>8</v>
      </c>
    </row>
    <row r="11573" spans="1:3" x14ac:dyDescent="0.3">
      <c r="A11573">
        <v>80863</v>
      </c>
      <c r="B11573">
        <v>1</v>
      </c>
      <c r="C11573">
        <v>8</v>
      </c>
    </row>
    <row r="11574" spans="1:3" x14ac:dyDescent="0.3">
      <c r="A11574">
        <v>80872</v>
      </c>
      <c r="B11574">
        <v>1</v>
      </c>
      <c r="C11574">
        <v>8</v>
      </c>
    </row>
    <row r="11575" spans="1:3" x14ac:dyDescent="0.3">
      <c r="A11575">
        <v>80877</v>
      </c>
      <c r="B11575">
        <v>1</v>
      </c>
      <c r="C11575">
        <v>8</v>
      </c>
    </row>
    <row r="11576" spans="1:3" x14ac:dyDescent="0.3">
      <c r="A11576">
        <v>80878</v>
      </c>
      <c r="B11576">
        <v>1</v>
      </c>
      <c r="C11576">
        <v>8</v>
      </c>
    </row>
    <row r="11577" spans="1:3" x14ac:dyDescent="0.3">
      <c r="A11577">
        <v>80879</v>
      </c>
      <c r="B11577">
        <v>1</v>
      </c>
      <c r="C11577">
        <v>8</v>
      </c>
    </row>
    <row r="11578" spans="1:3" x14ac:dyDescent="0.3">
      <c r="A11578">
        <v>80916</v>
      </c>
      <c r="B11578">
        <v>1</v>
      </c>
      <c r="C11578">
        <v>8</v>
      </c>
    </row>
    <row r="11579" spans="1:3" x14ac:dyDescent="0.3">
      <c r="A11579">
        <v>80925</v>
      </c>
      <c r="B11579">
        <v>1</v>
      </c>
      <c r="C11579">
        <v>8</v>
      </c>
    </row>
    <row r="11580" spans="1:3" x14ac:dyDescent="0.3">
      <c r="A11580">
        <v>80953</v>
      </c>
      <c r="B11580">
        <v>1</v>
      </c>
      <c r="C11580">
        <v>8</v>
      </c>
    </row>
    <row r="11581" spans="1:3" x14ac:dyDescent="0.3">
      <c r="A11581">
        <v>80954</v>
      </c>
      <c r="B11581">
        <v>1</v>
      </c>
      <c r="C11581">
        <v>8</v>
      </c>
    </row>
    <row r="11582" spans="1:3" x14ac:dyDescent="0.3">
      <c r="A11582">
        <v>80960</v>
      </c>
      <c r="B11582">
        <v>1</v>
      </c>
      <c r="C11582">
        <v>8</v>
      </c>
    </row>
    <row r="11583" spans="1:3" x14ac:dyDescent="0.3">
      <c r="A11583">
        <v>80968</v>
      </c>
      <c r="B11583">
        <v>1</v>
      </c>
      <c r="C11583">
        <v>8</v>
      </c>
    </row>
    <row r="11584" spans="1:3" x14ac:dyDescent="0.3">
      <c r="A11584">
        <v>80974</v>
      </c>
      <c r="B11584">
        <v>1</v>
      </c>
      <c r="C11584">
        <v>8</v>
      </c>
    </row>
    <row r="11585" spans="1:3" x14ac:dyDescent="0.3">
      <c r="A11585">
        <v>81052</v>
      </c>
      <c r="B11585">
        <v>1</v>
      </c>
      <c r="C11585">
        <v>8</v>
      </c>
    </row>
    <row r="11586" spans="1:3" x14ac:dyDescent="0.3">
      <c r="A11586">
        <v>81067</v>
      </c>
      <c r="B11586">
        <v>1</v>
      </c>
      <c r="C11586">
        <v>8</v>
      </c>
    </row>
    <row r="11587" spans="1:3" x14ac:dyDescent="0.3">
      <c r="A11587">
        <v>81081</v>
      </c>
      <c r="B11587">
        <v>1</v>
      </c>
      <c r="C11587">
        <v>8</v>
      </c>
    </row>
    <row r="11588" spans="1:3" x14ac:dyDescent="0.3">
      <c r="A11588">
        <v>81084</v>
      </c>
      <c r="B11588">
        <v>1</v>
      </c>
      <c r="C11588">
        <v>8</v>
      </c>
    </row>
    <row r="11589" spans="1:3" x14ac:dyDescent="0.3">
      <c r="A11589">
        <v>81090</v>
      </c>
      <c r="B11589">
        <v>1</v>
      </c>
      <c r="C11589">
        <v>8</v>
      </c>
    </row>
    <row r="11590" spans="1:3" x14ac:dyDescent="0.3">
      <c r="A11590">
        <v>81093</v>
      </c>
      <c r="B11590">
        <v>1</v>
      </c>
      <c r="C11590">
        <v>8</v>
      </c>
    </row>
    <row r="11591" spans="1:3" x14ac:dyDescent="0.3">
      <c r="A11591">
        <v>81111</v>
      </c>
      <c r="B11591">
        <v>1</v>
      </c>
      <c r="C11591">
        <v>8</v>
      </c>
    </row>
    <row r="11592" spans="1:3" x14ac:dyDescent="0.3">
      <c r="A11592">
        <v>81127</v>
      </c>
      <c r="B11592">
        <v>1</v>
      </c>
      <c r="C11592">
        <v>8</v>
      </c>
    </row>
    <row r="11593" spans="1:3" x14ac:dyDescent="0.3">
      <c r="A11593">
        <v>81140</v>
      </c>
      <c r="B11593">
        <v>1</v>
      </c>
      <c r="C11593">
        <v>8</v>
      </c>
    </row>
    <row r="11594" spans="1:3" x14ac:dyDescent="0.3">
      <c r="A11594">
        <v>81149</v>
      </c>
      <c r="B11594">
        <v>1</v>
      </c>
      <c r="C11594">
        <v>8</v>
      </c>
    </row>
    <row r="11595" spans="1:3" x14ac:dyDescent="0.3">
      <c r="A11595">
        <v>81150</v>
      </c>
      <c r="B11595">
        <v>1</v>
      </c>
      <c r="C11595">
        <v>8</v>
      </c>
    </row>
    <row r="11596" spans="1:3" x14ac:dyDescent="0.3">
      <c r="A11596">
        <v>81151</v>
      </c>
      <c r="B11596">
        <v>1</v>
      </c>
      <c r="C11596">
        <v>8</v>
      </c>
    </row>
    <row r="11597" spans="1:3" x14ac:dyDescent="0.3">
      <c r="A11597">
        <v>81161</v>
      </c>
      <c r="B11597">
        <v>1</v>
      </c>
      <c r="C11597">
        <v>8</v>
      </c>
    </row>
    <row r="11598" spans="1:3" x14ac:dyDescent="0.3">
      <c r="A11598">
        <v>81163</v>
      </c>
      <c r="B11598">
        <v>1</v>
      </c>
      <c r="C11598">
        <v>8</v>
      </c>
    </row>
    <row r="11599" spans="1:3" x14ac:dyDescent="0.3">
      <c r="A11599">
        <v>81174</v>
      </c>
      <c r="B11599">
        <v>1</v>
      </c>
      <c r="C11599">
        <v>8</v>
      </c>
    </row>
    <row r="11600" spans="1:3" x14ac:dyDescent="0.3">
      <c r="A11600">
        <v>81213</v>
      </c>
      <c r="B11600">
        <v>1</v>
      </c>
      <c r="C11600">
        <v>8</v>
      </c>
    </row>
    <row r="11601" spans="1:3" x14ac:dyDescent="0.3">
      <c r="A11601">
        <v>10596</v>
      </c>
      <c r="B11601">
        <v>1</v>
      </c>
      <c r="C11601">
        <v>8</v>
      </c>
    </row>
    <row r="11602" spans="1:3" x14ac:dyDescent="0.3">
      <c r="A11602" s="26">
        <v>10686</v>
      </c>
      <c r="B11602" s="26">
        <v>1</v>
      </c>
      <c r="C11602" s="26">
        <v>8</v>
      </c>
    </row>
    <row r="11603" spans="1:3" x14ac:dyDescent="0.3">
      <c r="A11603">
        <v>10952</v>
      </c>
      <c r="B11603">
        <v>2</v>
      </c>
      <c r="C11603">
        <v>16</v>
      </c>
    </row>
    <row r="11604" spans="1:3" x14ac:dyDescent="0.3">
      <c r="A11604">
        <v>10952</v>
      </c>
      <c r="B11604">
        <v>2</v>
      </c>
      <c r="C11604">
        <v>16</v>
      </c>
    </row>
    <row r="11605" spans="1:3" x14ac:dyDescent="0.3">
      <c r="A11605">
        <v>11094</v>
      </c>
      <c r="B11605">
        <v>1</v>
      </c>
      <c r="C11605">
        <v>8</v>
      </c>
    </row>
    <row r="11606" spans="1:3" x14ac:dyDescent="0.3">
      <c r="A11606">
        <v>11432</v>
      </c>
      <c r="B11606">
        <v>1</v>
      </c>
      <c r="C11606">
        <v>8</v>
      </c>
    </row>
    <row r="11607" spans="1:3" x14ac:dyDescent="0.3">
      <c r="A11607">
        <v>12024</v>
      </c>
      <c r="B11607">
        <v>1</v>
      </c>
      <c r="C11607">
        <v>8</v>
      </c>
    </row>
    <row r="11608" spans="1:3" x14ac:dyDescent="0.3">
      <c r="A11608">
        <v>12063</v>
      </c>
      <c r="B11608">
        <v>1</v>
      </c>
      <c r="C11608">
        <v>8</v>
      </c>
    </row>
    <row r="11609" spans="1:3" x14ac:dyDescent="0.3">
      <c r="A11609">
        <v>12066</v>
      </c>
      <c r="B11609">
        <v>1</v>
      </c>
      <c r="C11609">
        <v>16</v>
      </c>
    </row>
    <row r="11610" spans="1:3" x14ac:dyDescent="0.3">
      <c r="A11610">
        <v>12202</v>
      </c>
      <c r="B11610">
        <v>1</v>
      </c>
      <c r="C11610">
        <v>8</v>
      </c>
    </row>
    <row r="11611" spans="1:3" x14ac:dyDescent="0.3">
      <c r="A11611">
        <v>14874</v>
      </c>
      <c r="B11611">
        <v>1</v>
      </c>
      <c r="C11611">
        <v>8</v>
      </c>
    </row>
    <row r="11612" spans="1:3" x14ac:dyDescent="0.3">
      <c r="A11612">
        <v>17658</v>
      </c>
      <c r="B11612">
        <v>1</v>
      </c>
      <c r="C11612">
        <v>8</v>
      </c>
    </row>
    <row r="11613" spans="1:3" x14ac:dyDescent="0.3">
      <c r="A11613">
        <v>18521</v>
      </c>
      <c r="B11613">
        <v>1</v>
      </c>
      <c r="C11613">
        <v>8</v>
      </c>
    </row>
    <row r="11614" spans="1:3" x14ac:dyDescent="0.3">
      <c r="A11614">
        <v>20859</v>
      </c>
      <c r="B11614">
        <v>1</v>
      </c>
      <c r="C11614">
        <v>8</v>
      </c>
    </row>
    <row r="11615" spans="1:3" x14ac:dyDescent="0.3">
      <c r="A11615">
        <v>22463</v>
      </c>
      <c r="B11615">
        <v>1</v>
      </c>
      <c r="C11615">
        <v>8</v>
      </c>
    </row>
    <row r="11616" spans="1:3" x14ac:dyDescent="0.3">
      <c r="A11616">
        <v>24407</v>
      </c>
      <c r="B11616">
        <v>1</v>
      </c>
      <c r="C11616">
        <v>8</v>
      </c>
    </row>
    <row r="11617" spans="1:3" x14ac:dyDescent="0.3">
      <c r="A11617">
        <v>25676</v>
      </c>
      <c r="B11617">
        <v>1</v>
      </c>
      <c r="C11617">
        <v>8</v>
      </c>
    </row>
    <row r="11618" spans="1:3" x14ac:dyDescent="0.3">
      <c r="A11618">
        <v>26393</v>
      </c>
      <c r="B11618">
        <v>1</v>
      </c>
      <c r="C11618">
        <v>8</v>
      </c>
    </row>
    <row r="11619" spans="1:3" x14ac:dyDescent="0.3">
      <c r="A11619">
        <v>26691</v>
      </c>
      <c r="B11619">
        <v>1</v>
      </c>
      <c r="C11619">
        <v>8</v>
      </c>
    </row>
    <row r="11620" spans="1:3" x14ac:dyDescent="0.3">
      <c r="A11620">
        <v>27940</v>
      </c>
      <c r="B11620">
        <v>1</v>
      </c>
      <c r="C11620">
        <v>8</v>
      </c>
    </row>
    <row r="11621" spans="1:3" x14ac:dyDescent="0.3">
      <c r="A11621">
        <v>28554</v>
      </c>
      <c r="B11621">
        <v>1</v>
      </c>
      <c r="C11621">
        <v>8</v>
      </c>
    </row>
    <row r="11622" spans="1:3" x14ac:dyDescent="0.3">
      <c r="A11622">
        <v>29959</v>
      </c>
      <c r="B11622">
        <v>1</v>
      </c>
      <c r="C11622">
        <v>8</v>
      </c>
    </row>
    <row r="11623" spans="1:3" x14ac:dyDescent="0.3">
      <c r="A11623">
        <v>32317</v>
      </c>
      <c r="B11623">
        <v>1</v>
      </c>
      <c r="C11623">
        <v>8</v>
      </c>
    </row>
    <row r="11624" spans="1:3" x14ac:dyDescent="0.3">
      <c r="A11624">
        <v>34564</v>
      </c>
      <c r="B11624">
        <v>1</v>
      </c>
      <c r="C11624">
        <v>8</v>
      </c>
    </row>
    <row r="11625" spans="1:3" x14ac:dyDescent="0.3">
      <c r="A11625">
        <v>34567</v>
      </c>
      <c r="B11625">
        <v>1</v>
      </c>
      <c r="C11625">
        <v>8</v>
      </c>
    </row>
    <row r="11626" spans="1:3" x14ac:dyDescent="0.3">
      <c r="A11626">
        <v>36071</v>
      </c>
      <c r="B11626">
        <v>1</v>
      </c>
      <c r="C11626">
        <v>8</v>
      </c>
    </row>
    <row r="11627" spans="1:3" x14ac:dyDescent="0.3">
      <c r="A11627">
        <v>37485</v>
      </c>
      <c r="B11627">
        <v>2</v>
      </c>
      <c r="C11627">
        <v>8</v>
      </c>
    </row>
    <row r="11628" spans="1:3" x14ac:dyDescent="0.3">
      <c r="A11628">
        <v>37485</v>
      </c>
      <c r="B11628">
        <v>2</v>
      </c>
      <c r="C11628">
        <v>8</v>
      </c>
    </row>
    <row r="11629" spans="1:3" x14ac:dyDescent="0.3">
      <c r="A11629">
        <v>37487</v>
      </c>
      <c r="B11629">
        <v>1</v>
      </c>
      <c r="C11629">
        <v>8</v>
      </c>
    </row>
    <row r="11630" spans="1:3" x14ac:dyDescent="0.3">
      <c r="A11630">
        <v>37488</v>
      </c>
      <c r="B11630">
        <v>1</v>
      </c>
      <c r="C11630">
        <v>8</v>
      </c>
    </row>
    <row r="11631" spans="1:3" x14ac:dyDescent="0.3">
      <c r="A11631">
        <v>41568</v>
      </c>
      <c r="B11631">
        <v>1</v>
      </c>
      <c r="C11631">
        <v>8</v>
      </c>
    </row>
    <row r="11632" spans="1:3" x14ac:dyDescent="0.3">
      <c r="A11632">
        <v>42527</v>
      </c>
      <c r="B11632">
        <v>1</v>
      </c>
      <c r="C11632">
        <v>8</v>
      </c>
    </row>
    <row r="11633" spans="1:3" x14ac:dyDescent="0.3">
      <c r="A11633">
        <v>46022</v>
      </c>
      <c r="B11633">
        <v>1</v>
      </c>
      <c r="C11633">
        <v>8</v>
      </c>
    </row>
    <row r="11634" spans="1:3" x14ac:dyDescent="0.3">
      <c r="A11634">
        <v>47378</v>
      </c>
      <c r="B11634">
        <v>2</v>
      </c>
      <c r="C11634">
        <v>8</v>
      </c>
    </row>
    <row r="11635" spans="1:3" x14ac:dyDescent="0.3">
      <c r="A11635">
        <v>47378</v>
      </c>
      <c r="B11635">
        <v>2</v>
      </c>
      <c r="C11635">
        <v>8</v>
      </c>
    </row>
    <row r="11636" spans="1:3" x14ac:dyDescent="0.3">
      <c r="A11636">
        <v>47741</v>
      </c>
      <c r="B11636">
        <v>1</v>
      </c>
      <c r="C11636">
        <v>8</v>
      </c>
    </row>
    <row r="11637" spans="1:3" x14ac:dyDescent="0.3">
      <c r="A11637">
        <v>48401</v>
      </c>
      <c r="B11637">
        <v>1</v>
      </c>
      <c r="C11637">
        <v>8</v>
      </c>
    </row>
    <row r="11638" spans="1:3" x14ac:dyDescent="0.3">
      <c r="A11638">
        <v>48402</v>
      </c>
      <c r="B11638">
        <v>1</v>
      </c>
      <c r="C11638">
        <v>8</v>
      </c>
    </row>
    <row r="11639" spans="1:3" x14ac:dyDescent="0.3">
      <c r="A11639">
        <v>48619</v>
      </c>
      <c r="B11639">
        <v>1</v>
      </c>
      <c r="C11639">
        <v>16</v>
      </c>
    </row>
    <row r="11640" spans="1:3" x14ac:dyDescent="0.3">
      <c r="A11640">
        <v>50614</v>
      </c>
      <c r="B11640">
        <v>1</v>
      </c>
      <c r="C11640">
        <v>8</v>
      </c>
    </row>
    <row r="11641" spans="1:3" x14ac:dyDescent="0.3">
      <c r="A11641">
        <v>51692</v>
      </c>
      <c r="B11641">
        <v>1</v>
      </c>
      <c r="C11641">
        <v>8</v>
      </c>
    </row>
    <row r="11642" spans="1:3" x14ac:dyDescent="0.3">
      <c r="A11642">
        <v>51693</v>
      </c>
      <c r="B11642">
        <v>1</v>
      </c>
      <c r="C11642">
        <v>8</v>
      </c>
    </row>
    <row r="11643" spans="1:3" x14ac:dyDescent="0.3">
      <c r="A11643">
        <v>51776</v>
      </c>
      <c r="B11643">
        <v>1</v>
      </c>
      <c r="C11643">
        <v>8</v>
      </c>
    </row>
    <row r="11644" spans="1:3" x14ac:dyDescent="0.3">
      <c r="A11644">
        <v>52370</v>
      </c>
      <c r="B11644">
        <v>1</v>
      </c>
      <c r="C11644">
        <v>8</v>
      </c>
    </row>
    <row r="11645" spans="1:3" x14ac:dyDescent="0.3">
      <c r="A11645">
        <v>52448</v>
      </c>
      <c r="B11645">
        <v>1</v>
      </c>
      <c r="C11645">
        <v>8</v>
      </c>
    </row>
    <row r="11646" spans="1:3" x14ac:dyDescent="0.3">
      <c r="A11646">
        <v>55162</v>
      </c>
      <c r="B11646">
        <v>1</v>
      </c>
      <c r="C11646">
        <v>8</v>
      </c>
    </row>
    <row r="11647" spans="1:3" x14ac:dyDescent="0.3">
      <c r="A11647">
        <v>57669</v>
      </c>
      <c r="B11647">
        <v>1</v>
      </c>
      <c r="C11647">
        <v>8</v>
      </c>
    </row>
    <row r="11648" spans="1:3" x14ac:dyDescent="0.3">
      <c r="A11648">
        <v>57781</v>
      </c>
      <c r="B11648">
        <v>1</v>
      </c>
      <c r="C11648">
        <v>8</v>
      </c>
    </row>
    <row r="11649" spans="1:3" x14ac:dyDescent="0.3">
      <c r="A11649">
        <v>58399</v>
      </c>
      <c r="B11649">
        <v>1</v>
      </c>
      <c r="C11649">
        <v>8</v>
      </c>
    </row>
    <row r="11650" spans="1:3" x14ac:dyDescent="0.3">
      <c r="A11650">
        <v>58500</v>
      </c>
      <c r="B11650">
        <v>1</v>
      </c>
      <c r="C11650">
        <v>8</v>
      </c>
    </row>
    <row r="11651" spans="1:3" x14ac:dyDescent="0.3">
      <c r="A11651">
        <v>58855</v>
      </c>
      <c r="B11651">
        <v>1</v>
      </c>
      <c r="C11651">
        <v>8</v>
      </c>
    </row>
    <row r="11652" spans="1:3" x14ac:dyDescent="0.3">
      <c r="A11652">
        <v>58856</v>
      </c>
      <c r="B11652">
        <v>1</v>
      </c>
      <c r="C11652">
        <v>8</v>
      </c>
    </row>
    <row r="11653" spans="1:3" x14ac:dyDescent="0.3">
      <c r="A11653">
        <v>60732</v>
      </c>
      <c r="B11653">
        <v>1</v>
      </c>
      <c r="C11653">
        <v>8</v>
      </c>
    </row>
    <row r="11654" spans="1:3" x14ac:dyDescent="0.3">
      <c r="A11654">
        <v>61124</v>
      </c>
      <c r="B11654">
        <v>1</v>
      </c>
      <c r="C11654">
        <v>8</v>
      </c>
    </row>
    <row r="11655" spans="1:3" x14ac:dyDescent="0.3">
      <c r="A11655">
        <v>63430</v>
      </c>
      <c r="B11655">
        <v>1</v>
      </c>
      <c r="C11655">
        <v>8</v>
      </c>
    </row>
    <row r="11656" spans="1:3" x14ac:dyDescent="0.3">
      <c r="A11656">
        <v>63463</v>
      </c>
      <c r="B11656">
        <v>1</v>
      </c>
      <c r="C11656">
        <v>8</v>
      </c>
    </row>
    <row r="11657" spans="1:3" x14ac:dyDescent="0.3">
      <c r="A11657">
        <v>64067</v>
      </c>
      <c r="B11657">
        <v>1</v>
      </c>
      <c r="C11657">
        <v>8</v>
      </c>
    </row>
    <row r="11658" spans="1:3" x14ac:dyDescent="0.3">
      <c r="A11658">
        <v>64746</v>
      </c>
      <c r="B11658">
        <v>1</v>
      </c>
      <c r="C11658">
        <v>8</v>
      </c>
    </row>
    <row r="11659" spans="1:3" x14ac:dyDescent="0.3">
      <c r="A11659">
        <v>64795</v>
      </c>
      <c r="B11659">
        <v>1</v>
      </c>
      <c r="C11659">
        <v>8</v>
      </c>
    </row>
    <row r="11660" spans="1:3" x14ac:dyDescent="0.3">
      <c r="A11660">
        <v>66097</v>
      </c>
      <c r="B11660">
        <v>1</v>
      </c>
      <c r="C11660">
        <v>8</v>
      </c>
    </row>
    <row r="11661" spans="1:3" x14ac:dyDescent="0.3">
      <c r="A11661">
        <v>66401</v>
      </c>
      <c r="B11661">
        <v>1</v>
      </c>
      <c r="C11661">
        <v>8</v>
      </c>
    </row>
    <row r="11662" spans="1:3" x14ac:dyDescent="0.3">
      <c r="A11662">
        <v>66707</v>
      </c>
      <c r="B11662">
        <v>1</v>
      </c>
      <c r="C11662">
        <v>8</v>
      </c>
    </row>
    <row r="11663" spans="1:3" x14ac:dyDescent="0.3">
      <c r="A11663">
        <v>66875</v>
      </c>
      <c r="B11663">
        <v>1</v>
      </c>
      <c r="C11663">
        <v>8</v>
      </c>
    </row>
    <row r="11664" spans="1:3" x14ac:dyDescent="0.3">
      <c r="A11664">
        <v>70767</v>
      </c>
      <c r="B11664">
        <v>1</v>
      </c>
      <c r="C11664">
        <v>8</v>
      </c>
    </row>
    <row r="11665" spans="1:3" x14ac:dyDescent="0.3">
      <c r="A11665">
        <v>70942</v>
      </c>
      <c r="B11665">
        <v>1</v>
      </c>
      <c r="C11665">
        <v>8</v>
      </c>
    </row>
    <row r="11666" spans="1:3" x14ac:dyDescent="0.3">
      <c r="A11666">
        <v>71351</v>
      </c>
      <c r="B11666">
        <v>1</v>
      </c>
      <c r="C11666">
        <v>8</v>
      </c>
    </row>
    <row r="11667" spans="1:3" x14ac:dyDescent="0.3">
      <c r="A11667">
        <v>71878</v>
      </c>
      <c r="B11667">
        <v>1</v>
      </c>
      <c r="C11667">
        <v>8</v>
      </c>
    </row>
    <row r="11668" spans="1:3" x14ac:dyDescent="0.3">
      <c r="A11668">
        <v>74573</v>
      </c>
      <c r="B11668">
        <v>1</v>
      </c>
      <c r="C11668">
        <v>8</v>
      </c>
    </row>
    <row r="11669" spans="1:3" x14ac:dyDescent="0.3">
      <c r="A11669">
        <v>75049</v>
      </c>
      <c r="B11669">
        <v>1</v>
      </c>
      <c r="C11669">
        <v>8</v>
      </c>
    </row>
    <row r="11670" spans="1:3" x14ac:dyDescent="0.3">
      <c r="A11670">
        <v>75721</v>
      </c>
      <c r="B11670">
        <v>1</v>
      </c>
      <c r="C11670">
        <v>8</v>
      </c>
    </row>
    <row r="11671" spans="1:3" x14ac:dyDescent="0.3">
      <c r="A11671">
        <v>76975</v>
      </c>
      <c r="B11671">
        <v>1</v>
      </c>
      <c r="C11671">
        <v>8</v>
      </c>
    </row>
    <row r="11672" spans="1:3" x14ac:dyDescent="0.3">
      <c r="A11672">
        <v>77037</v>
      </c>
      <c r="B11672">
        <v>1</v>
      </c>
      <c r="C11672">
        <v>8</v>
      </c>
    </row>
    <row r="11673" spans="1:3" x14ac:dyDescent="0.3">
      <c r="A11673">
        <v>77322</v>
      </c>
      <c r="B11673">
        <v>1</v>
      </c>
      <c r="C11673">
        <v>8</v>
      </c>
    </row>
    <row r="11674" spans="1:3" x14ac:dyDescent="0.3">
      <c r="A11674">
        <v>77361</v>
      </c>
      <c r="B11674">
        <v>1</v>
      </c>
      <c r="C11674">
        <v>8</v>
      </c>
    </row>
    <row r="11675" spans="1:3" x14ac:dyDescent="0.3">
      <c r="A11675">
        <v>77677</v>
      </c>
      <c r="B11675">
        <v>1</v>
      </c>
      <c r="C11675">
        <v>8</v>
      </c>
    </row>
    <row r="11676" spans="1:3" x14ac:dyDescent="0.3">
      <c r="A11676">
        <v>77698</v>
      </c>
      <c r="B11676">
        <v>1</v>
      </c>
      <c r="C11676">
        <v>8</v>
      </c>
    </row>
    <row r="11677" spans="1:3" x14ac:dyDescent="0.3">
      <c r="A11677">
        <v>77967</v>
      </c>
      <c r="B11677">
        <v>1</v>
      </c>
      <c r="C11677">
        <v>8</v>
      </c>
    </row>
    <row r="11678" spans="1:3" x14ac:dyDescent="0.3">
      <c r="A11678">
        <v>78808</v>
      </c>
      <c r="B11678">
        <v>1</v>
      </c>
      <c r="C11678">
        <v>8</v>
      </c>
    </row>
    <row r="11679" spans="1:3" x14ac:dyDescent="0.3">
      <c r="A11679">
        <v>78809</v>
      </c>
      <c r="B11679">
        <v>1</v>
      </c>
      <c r="C11679">
        <v>8</v>
      </c>
    </row>
    <row r="11680" spans="1:3" x14ac:dyDescent="0.3">
      <c r="A11680">
        <v>78814</v>
      </c>
      <c r="B11680">
        <v>1</v>
      </c>
      <c r="C11680">
        <v>8</v>
      </c>
    </row>
    <row r="11681" spans="1:3" x14ac:dyDescent="0.3">
      <c r="A11681">
        <v>78817</v>
      </c>
      <c r="B11681">
        <v>1</v>
      </c>
      <c r="C11681">
        <v>8</v>
      </c>
    </row>
    <row r="11682" spans="1:3" x14ac:dyDescent="0.3">
      <c r="A11682">
        <v>79506</v>
      </c>
      <c r="B11682">
        <v>1</v>
      </c>
      <c r="C11682">
        <v>8</v>
      </c>
    </row>
    <row r="11683" spans="1:3" x14ac:dyDescent="0.3">
      <c r="A11683">
        <v>80307</v>
      </c>
      <c r="B11683">
        <v>1</v>
      </c>
      <c r="C11683">
        <v>8</v>
      </c>
    </row>
    <row r="11684" spans="1:3" x14ac:dyDescent="0.3">
      <c r="A11684">
        <v>80308</v>
      </c>
      <c r="B11684">
        <v>1</v>
      </c>
      <c r="C11684">
        <v>8</v>
      </c>
    </row>
    <row r="11685" spans="1:3" x14ac:dyDescent="0.3">
      <c r="A11685">
        <v>80752</v>
      </c>
      <c r="B11685">
        <v>1</v>
      </c>
      <c r="C11685">
        <v>8</v>
      </c>
    </row>
    <row r="11686" spans="1:3" x14ac:dyDescent="0.3">
      <c r="A11686">
        <v>80881</v>
      </c>
      <c r="B11686">
        <v>1</v>
      </c>
      <c r="C11686">
        <v>8</v>
      </c>
    </row>
    <row r="11687" spans="1:3" x14ac:dyDescent="0.3">
      <c r="A11687">
        <v>80977</v>
      </c>
      <c r="B11687">
        <v>1</v>
      </c>
      <c r="C11687">
        <v>8</v>
      </c>
    </row>
    <row r="11688" spans="1:3" x14ac:dyDescent="0.3">
      <c r="A11688">
        <v>10155</v>
      </c>
      <c r="B11688">
        <v>1</v>
      </c>
      <c r="C11688">
        <v>8</v>
      </c>
    </row>
    <row r="11689" spans="1:3" x14ac:dyDescent="0.3">
      <c r="A11689">
        <v>10192</v>
      </c>
      <c r="B11689">
        <v>1</v>
      </c>
      <c r="C11689">
        <v>8</v>
      </c>
    </row>
    <row r="11690" spans="1:3" x14ac:dyDescent="0.3">
      <c r="A11690">
        <v>10207</v>
      </c>
      <c r="B11690">
        <v>2</v>
      </c>
      <c r="C11690">
        <v>16</v>
      </c>
    </row>
    <row r="11691" spans="1:3" x14ac:dyDescent="0.3">
      <c r="A11691">
        <v>10207</v>
      </c>
      <c r="B11691">
        <v>2</v>
      </c>
      <c r="C11691">
        <v>16</v>
      </c>
    </row>
    <row r="11692" spans="1:3" x14ac:dyDescent="0.3">
      <c r="A11692">
        <v>10243</v>
      </c>
      <c r="B11692">
        <v>2</v>
      </c>
      <c r="C11692">
        <v>16</v>
      </c>
    </row>
    <row r="11693" spans="1:3" x14ac:dyDescent="0.3">
      <c r="A11693">
        <v>10243</v>
      </c>
      <c r="B11693">
        <v>2</v>
      </c>
      <c r="C11693">
        <v>16</v>
      </c>
    </row>
    <row r="11694" spans="1:3" x14ac:dyDescent="0.3">
      <c r="A11694">
        <v>10332</v>
      </c>
      <c r="B11694">
        <v>1</v>
      </c>
      <c r="C11694">
        <v>16</v>
      </c>
    </row>
    <row r="11695" spans="1:3" x14ac:dyDescent="0.3">
      <c r="A11695">
        <v>10508</v>
      </c>
      <c r="B11695">
        <v>1</v>
      </c>
      <c r="C11695">
        <v>8</v>
      </c>
    </row>
    <row r="11696" spans="1:3" x14ac:dyDescent="0.3">
      <c r="A11696">
        <v>10520</v>
      </c>
      <c r="B11696">
        <v>1</v>
      </c>
      <c r="C11696">
        <v>8</v>
      </c>
    </row>
    <row r="11697" spans="1:3" x14ac:dyDescent="0.3">
      <c r="A11697">
        <v>10731</v>
      </c>
      <c r="B11697">
        <v>1</v>
      </c>
      <c r="C11697">
        <v>8</v>
      </c>
    </row>
    <row r="11698" spans="1:3" x14ac:dyDescent="0.3">
      <c r="A11698">
        <v>10812</v>
      </c>
      <c r="B11698">
        <v>1</v>
      </c>
      <c r="C11698">
        <v>8</v>
      </c>
    </row>
    <row r="11699" spans="1:3" x14ac:dyDescent="0.3">
      <c r="A11699">
        <v>10884</v>
      </c>
      <c r="B11699">
        <v>1</v>
      </c>
      <c r="C11699">
        <v>16</v>
      </c>
    </row>
    <row r="11700" spans="1:3" x14ac:dyDescent="0.3">
      <c r="A11700">
        <v>10886</v>
      </c>
      <c r="B11700">
        <v>1</v>
      </c>
      <c r="C11700">
        <v>8</v>
      </c>
    </row>
    <row r="11701" spans="1:3" x14ac:dyDescent="0.3">
      <c r="A11701">
        <v>10944</v>
      </c>
      <c r="B11701">
        <v>1</v>
      </c>
      <c r="C11701">
        <v>8</v>
      </c>
    </row>
    <row r="11702" spans="1:3" x14ac:dyDescent="0.3">
      <c r="A11702">
        <v>11032</v>
      </c>
      <c r="B11702">
        <v>2</v>
      </c>
      <c r="C11702">
        <v>16</v>
      </c>
    </row>
    <row r="11703" spans="1:3" x14ac:dyDescent="0.3">
      <c r="A11703">
        <v>11032</v>
      </c>
      <c r="B11703">
        <v>2</v>
      </c>
      <c r="C11703">
        <v>16</v>
      </c>
    </row>
    <row r="11704" spans="1:3" x14ac:dyDescent="0.3">
      <c r="A11704">
        <v>11071</v>
      </c>
      <c r="B11704">
        <v>2</v>
      </c>
      <c r="C11704">
        <v>16</v>
      </c>
    </row>
    <row r="11705" spans="1:3" x14ac:dyDescent="0.3">
      <c r="A11705">
        <v>11071</v>
      </c>
      <c r="B11705">
        <v>2</v>
      </c>
      <c r="C11705">
        <v>16</v>
      </c>
    </row>
    <row r="11706" spans="1:3" x14ac:dyDescent="0.3">
      <c r="A11706">
        <v>11100</v>
      </c>
      <c r="B11706">
        <v>1</v>
      </c>
      <c r="C11706">
        <v>8</v>
      </c>
    </row>
    <row r="11707" spans="1:3" x14ac:dyDescent="0.3">
      <c r="A11707">
        <v>11113</v>
      </c>
      <c r="B11707">
        <v>1</v>
      </c>
      <c r="C11707">
        <v>8</v>
      </c>
    </row>
    <row r="11708" spans="1:3" x14ac:dyDescent="0.3">
      <c r="A11708">
        <v>11413</v>
      </c>
      <c r="B11708">
        <v>1</v>
      </c>
      <c r="C11708">
        <v>8</v>
      </c>
    </row>
    <row r="11709" spans="1:3" x14ac:dyDescent="0.3">
      <c r="A11709">
        <v>11459</v>
      </c>
      <c r="B11709">
        <v>1</v>
      </c>
      <c r="C11709">
        <v>8</v>
      </c>
    </row>
    <row r="11710" spans="1:3" x14ac:dyDescent="0.3">
      <c r="A11710">
        <v>11748</v>
      </c>
      <c r="B11710">
        <v>1</v>
      </c>
      <c r="C11710">
        <v>16</v>
      </c>
    </row>
    <row r="11711" spans="1:3" x14ac:dyDescent="0.3">
      <c r="A11711">
        <v>12021</v>
      </c>
      <c r="B11711">
        <v>1</v>
      </c>
      <c r="C11711">
        <v>16</v>
      </c>
    </row>
    <row r="11712" spans="1:3" x14ac:dyDescent="0.3">
      <c r="A11712">
        <v>12034</v>
      </c>
      <c r="B11712">
        <v>1</v>
      </c>
      <c r="C11712">
        <v>8</v>
      </c>
    </row>
    <row r="11713" spans="1:3" x14ac:dyDescent="0.3">
      <c r="A11713">
        <v>12067</v>
      </c>
      <c r="B11713">
        <v>1</v>
      </c>
      <c r="C11713">
        <v>16</v>
      </c>
    </row>
    <row r="11714" spans="1:3" x14ac:dyDescent="0.3">
      <c r="A11714">
        <v>12070</v>
      </c>
      <c r="B11714">
        <v>1</v>
      </c>
      <c r="C11714">
        <v>8</v>
      </c>
    </row>
    <row r="11715" spans="1:3" x14ac:dyDescent="0.3">
      <c r="A11715">
        <v>13036</v>
      </c>
      <c r="B11715">
        <v>1</v>
      </c>
      <c r="C11715">
        <v>8</v>
      </c>
    </row>
    <row r="11716" spans="1:3" x14ac:dyDescent="0.3">
      <c r="A11716">
        <v>13337</v>
      </c>
      <c r="B11716">
        <v>1</v>
      </c>
      <c r="C11716">
        <v>8</v>
      </c>
    </row>
    <row r="11717" spans="1:3" x14ac:dyDescent="0.3">
      <c r="A11717">
        <v>13693</v>
      </c>
      <c r="B11717">
        <v>1</v>
      </c>
      <c r="C11717">
        <v>8</v>
      </c>
    </row>
    <row r="11718" spans="1:3" x14ac:dyDescent="0.3">
      <c r="A11718">
        <v>14778</v>
      </c>
      <c r="B11718">
        <v>1</v>
      </c>
      <c r="C11718">
        <v>16</v>
      </c>
    </row>
    <row r="11719" spans="1:3" x14ac:dyDescent="0.3">
      <c r="A11719">
        <v>15556</v>
      </c>
      <c r="B11719">
        <v>1</v>
      </c>
      <c r="C11719">
        <v>16</v>
      </c>
    </row>
    <row r="11720" spans="1:3" x14ac:dyDescent="0.3">
      <c r="A11720">
        <v>16292</v>
      </c>
      <c r="B11720">
        <v>1</v>
      </c>
      <c r="C11720">
        <v>8</v>
      </c>
    </row>
    <row r="11721" spans="1:3" x14ac:dyDescent="0.3">
      <c r="A11721">
        <v>17555</v>
      </c>
      <c r="B11721">
        <v>1</v>
      </c>
      <c r="C11721">
        <v>16</v>
      </c>
    </row>
    <row r="11722" spans="1:3" x14ac:dyDescent="0.3">
      <c r="A11722">
        <v>17902</v>
      </c>
      <c r="B11722">
        <v>1</v>
      </c>
      <c r="C11722">
        <v>8</v>
      </c>
    </row>
    <row r="11723" spans="1:3" x14ac:dyDescent="0.3">
      <c r="A11723">
        <v>17998</v>
      </c>
      <c r="B11723">
        <v>1</v>
      </c>
      <c r="C11723">
        <v>8</v>
      </c>
    </row>
    <row r="11724" spans="1:3" x14ac:dyDescent="0.3">
      <c r="A11724">
        <v>18293</v>
      </c>
      <c r="B11724">
        <v>1</v>
      </c>
      <c r="C11724">
        <v>8</v>
      </c>
    </row>
    <row r="11725" spans="1:3" x14ac:dyDescent="0.3">
      <c r="A11725">
        <v>18692</v>
      </c>
      <c r="B11725">
        <v>1</v>
      </c>
      <c r="C11725">
        <v>16</v>
      </c>
    </row>
    <row r="11726" spans="1:3" x14ac:dyDescent="0.3">
      <c r="A11726">
        <v>18878</v>
      </c>
      <c r="B11726">
        <v>1</v>
      </c>
      <c r="C11726">
        <v>8</v>
      </c>
    </row>
    <row r="11727" spans="1:3" x14ac:dyDescent="0.3">
      <c r="A11727">
        <v>18929</v>
      </c>
      <c r="B11727">
        <v>1</v>
      </c>
      <c r="C11727">
        <v>8</v>
      </c>
    </row>
    <row r="11728" spans="1:3" x14ac:dyDescent="0.3">
      <c r="A11728">
        <v>19115</v>
      </c>
      <c r="B11728">
        <v>1</v>
      </c>
      <c r="C11728">
        <v>8</v>
      </c>
    </row>
    <row r="11729" spans="1:3" x14ac:dyDescent="0.3">
      <c r="A11729">
        <v>19563</v>
      </c>
      <c r="B11729">
        <v>1</v>
      </c>
      <c r="C11729">
        <v>8</v>
      </c>
    </row>
    <row r="11730" spans="1:3" x14ac:dyDescent="0.3">
      <c r="A11730">
        <v>20781</v>
      </c>
      <c r="B11730">
        <v>1</v>
      </c>
      <c r="C11730">
        <v>8</v>
      </c>
    </row>
    <row r="11731" spans="1:3" x14ac:dyDescent="0.3">
      <c r="A11731">
        <v>21153</v>
      </c>
      <c r="B11731">
        <v>1</v>
      </c>
      <c r="C11731">
        <v>8</v>
      </c>
    </row>
    <row r="11732" spans="1:3" x14ac:dyDescent="0.3">
      <c r="A11732">
        <v>21193</v>
      </c>
      <c r="B11732">
        <v>1</v>
      </c>
      <c r="C11732">
        <v>16</v>
      </c>
    </row>
    <row r="11733" spans="1:3" x14ac:dyDescent="0.3">
      <c r="A11733">
        <v>21213</v>
      </c>
      <c r="B11733">
        <v>1</v>
      </c>
      <c r="C11733">
        <v>8</v>
      </c>
    </row>
    <row r="11734" spans="1:3" x14ac:dyDescent="0.3">
      <c r="A11734">
        <v>22193</v>
      </c>
      <c r="B11734">
        <v>1</v>
      </c>
      <c r="C11734">
        <v>16</v>
      </c>
    </row>
    <row r="11735" spans="1:3" x14ac:dyDescent="0.3">
      <c r="A11735">
        <v>22465</v>
      </c>
      <c r="B11735">
        <v>1</v>
      </c>
      <c r="C11735">
        <v>16</v>
      </c>
    </row>
    <row r="11736" spans="1:3" x14ac:dyDescent="0.3">
      <c r="A11736">
        <v>22651</v>
      </c>
      <c r="B11736">
        <v>1</v>
      </c>
      <c r="C11736">
        <v>16</v>
      </c>
    </row>
    <row r="11737" spans="1:3" x14ac:dyDescent="0.3">
      <c r="A11737">
        <v>22884</v>
      </c>
      <c r="B11737">
        <v>1</v>
      </c>
      <c r="C11737">
        <v>8</v>
      </c>
    </row>
    <row r="11738" spans="1:3" x14ac:dyDescent="0.3">
      <c r="A11738">
        <v>22958</v>
      </c>
      <c r="B11738">
        <v>1</v>
      </c>
      <c r="C11738">
        <v>8</v>
      </c>
    </row>
    <row r="11739" spans="1:3" x14ac:dyDescent="0.3">
      <c r="A11739">
        <v>23408</v>
      </c>
      <c r="B11739">
        <v>1</v>
      </c>
      <c r="C11739">
        <v>8</v>
      </c>
    </row>
    <row r="11740" spans="1:3" x14ac:dyDescent="0.3">
      <c r="A11740">
        <v>23524</v>
      </c>
      <c r="B11740">
        <v>1</v>
      </c>
      <c r="C11740">
        <v>8</v>
      </c>
    </row>
    <row r="11741" spans="1:3" x14ac:dyDescent="0.3">
      <c r="A11741">
        <v>23944</v>
      </c>
      <c r="B11741">
        <v>1</v>
      </c>
      <c r="C11741">
        <v>8</v>
      </c>
    </row>
    <row r="11742" spans="1:3" x14ac:dyDescent="0.3">
      <c r="A11742">
        <v>23955</v>
      </c>
      <c r="B11742">
        <v>1</v>
      </c>
      <c r="C11742">
        <v>8</v>
      </c>
    </row>
    <row r="11743" spans="1:3" x14ac:dyDescent="0.3">
      <c r="A11743">
        <v>24121</v>
      </c>
      <c r="B11743">
        <v>1</v>
      </c>
      <c r="C11743">
        <v>8</v>
      </c>
    </row>
    <row r="11744" spans="1:3" x14ac:dyDescent="0.3">
      <c r="A11744">
        <v>24471</v>
      </c>
      <c r="B11744">
        <v>1</v>
      </c>
      <c r="C11744">
        <v>16</v>
      </c>
    </row>
    <row r="11745" spans="1:3" x14ac:dyDescent="0.3">
      <c r="A11745">
        <v>24847</v>
      </c>
      <c r="B11745">
        <v>1</v>
      </c>
      <c r="C11745">
        <v>8</v>
      </c>
    </row>
    <row r="11746" spans="1:3" x14ac:dyDescent="0.3">
      <c r="A11746">
        <v>24992</v>
      </c>
      <c r="B11746">
        <v>1</v>
      </c>
      <c r="C11746">
        <v>8</v>
      </c>
    </row>
    <row r="11747" spans="1:3" x14ac:dyDescent="0.3">
      <c r="A11747">
        <v>25665</v>
      </c>
      <c r="B11747">
        <v>1</v>
      </c>
      <c r="C11747">
        <v>8</v>
      </c>
    </row>
    <row r="11748" spans="1:3" x14ac:dyDescent="0.3">
      <c r="A11748">
        <v>25694</v>
      </c>
      <c r="B11748">
        <v>1</v>
      </c>
      <c r="C11748">
        <v>8</v>
      </c>
    </row>
    <row r="11749" spans="1:3" x14ac:dyDescent="0.3">
      <c r="A11749">
        <v>25885</v>
      </c>
      <c r="B11749">
        <v>1</v>
      </c>
      <c r="C11749">
        <v>8</v>
      </c>
    </row>
    <row r="11750" spans="1:3" x14ac:dyDescent="0.3">
      <c r="A11750">
        <v>26309</v>
      </c>
      <c r="B11750">
        <v>1</v>
      </c>
      <c r="C11750">
        <v>8</v>
      </c>
    </row>
    <row r="11751" spans="1:3" x14ac:dyDescent="0.3">
      <c r="A11751">
        <v>27073</v>
      </c>
      <c r="B11751">
        <v>1</v>
      </c>
      <c r="C11751">
        <v>8</v>
      </c>
    </row>
    <row r="11752" spans="1:3" x14ac:dyDescent="0.3">
      <c r="A11752">
        <v>27428</v>
      </c>
      <c r="B11752">
        <v>1</v>
      </c>
      <c r="C11752">
        <v>8</v>
      </c>
    </row>
    <row r="11753" spans="1:3" x14ac:dyDescent="0.3">
      <c r="A11753">
        <v>27644</v>
      </c>
      <c r="B11753">
        <v>1</v>
      </c>
      <c r="C11753">
        <v>8</v>
      </c>
    </row>
    <row r="11754" spans="1:3" x14ac:dyDescent="0.3">
      <c r="A11754">
        <v>28030</v>
      </c>
      <c r="B11754">
        <v>1</v>
      </c>
      <c r="C11754">
        <v>8</v>
      </c>
    </row>
    <row r="11755" spans="1:3" x14ac:dyDescent="0.3">
      <c r="A11755">
        <v>28087</v>
      </c>
      <c r="B11755">
        <v>1</v>
      </c>
      <c r="C11755">
        <v>16</v>
      </c>
    </row>
    <row r="11756" spans="1:3" x14ac:dyDescent="0.3">
      <c r="A11756">
        <v>28298</v>
      </c>
      <c r="B11756">
        <v>2</v>
      </c>
      <c r="C11756">
        <v>8</v>
      </c>
    </row>
    <row r="11757" spans="1:3" x14ac:dyDescent="0.3">
      <c r="A11757">
        <v>28298</v>
      </c>
      <c r="B11757">
        <v>2</v>
      </c>
      <c r="C11757">
        <v>8</v>
      </c>
    </row>
    <row r="11758" spans="1:3" x14ac:dyDescent="0.3">
      <c r="A11758">
        <v>28499</v>
      </c>
      <c r="B11758">
        <v>1</v>
      </c>
      <c r="C11758">
        <v>16</v>
      </c>
    </row>
    <row r="11759" spans="1:3" x14ac:dyDescent="0.3">
      <c r="A11759">
        <v>28519</v>
      </c>
      <c r="B11759">
        <v>2</v>
      </c>
      <c r="C11759">
        <v>16</v>
      </c>
    </row>
    <row r="11760" spans="1:3" x14ac:dyDescent="0.3">
      <c r="A11760">
        <v>28519</v>
      </c>
      <c r="B11760">
        <v>2</v>
      </c>
      <c r="C11760">
        <v>16</v>
      </c>
    </row>
    <row r="11761" spans="1:3" x14ac:dyDescent="0.3">
      <c r="A11761">
        <v>28877</v>
      </c>
      <c r="B11761">
        <v>1</v>
      </c>
      <c r="C11761">
        <v>16</v>
      </c>
    </row>
    <row r="11762" spans="1:3" x14ac:dyDescent="0.3">
      <c r="A11762">
        <v>28878</v>
      </c>
      <c r="B11762">
        <v>1</v>
      </c>
      <c r="C11762">
        <v>8</v>
      </c>
    </row>
    <row r="11763" spans="1:3" x14ac:dyDescent="0.3">
      <c r="A11763">
        <v>29161</v>
      </c>
      <c r="B11763">
        <v>1</v>
      </c>
      <c r="C11763">
        <v>16</v>
      </c>
    </row>
    <row r="11764" spans="1:3" x14ac:dyDescent="0.3">
      <c r="A11764">
        <v>29245</v>
      </c>
      <c r="B11764">
        <v>1</v>
      </c>
      <c r="C11764">
        <v>8</v>
      </c>
    </row>
    <row r="11765" spans="1:3" x14ac:dyDescent="0.3">
      <c r="A11765">
        <v>31294</v>
      </c>
      <c r="B11765">
        <v>1</v>
      </c>
      <c r="C11765">
        <v>16</v>
      </c>
    </row>
    <row r="11766" spans="1:3" x14ac:dyDescent="0.3">
      <c r="A11766">
        <v>32255</v>
      </c>
      <c r="B11766">
        <v>1</v>
      </c>
      <c r="C11766">
        <v>16</v>
      </c>
    </row>
    <row r="11767" spans="1:3" x14ac:dyDescent="0.3">
      <c r="A11767">
        <v>32607</v>
      </c>
      <c r="B11767">
        <v>1</v>
      </c>
      <c r="C11767">
        <v>8</v>
      </c>
    </row>
    <row r="11768" spans="1:3" x14ac:dyDescent="0.3">
      <c r="A11768">
        <v>33030</v>
      </c>
      <c r="B11768">
        <v>1</v>
      </c>
      <c r="C11768">
        <v>8</v>
      </c>
    </row>
    <row r="11769" spans="1:3" x14ac:dyDescent="0.3">
      <c r="A11769">
        <v>33452</v>
      </c>
      <c r="B11769">
        <v>1</v>
      </c>
      <c r="C11769">
        <v>8</v>
      </c>
    </row>
    <row r="11770" spans="1:3" x14ac:dyDescent="0.3">
      <c r="A11770">
        <v>33730</v>
      </c>
      <c r="B11770">
        <v>1</v>
      </c>
      <c r="C11770">
        <v>16</v>
      </c>
    </row>
    <row r="11771" spans="1:3" x14ac:dyDescent="0.3">
      <c r="A11771">
        <v>33840</v>
      </c>
      <c r="B11771">
        <v>1</v>
      </c>
      <c r="C11771">
        <v>8</v>
      </c>
    </row>
    <row r="11772" spans="1:3" x14ac:dyDescent="0.3">
      <c r="A11772">
        <v>34180</v>
      </c>
      <c r="B11772">
        <v>1</v>
      </c>
      <c r="C11772">
        <v>8</v>
      </c>
    </row>
    <row r="11773" spans="1:3" x14ac:dyDescent="0.3">
      <c r="A11773">
        <v>34185</v>
      </c>
      <c r="B11773">
        <v>1</v>
      </c>
      <c r="C11773">
        <v>8</v>
      </c>
    </row>
    <row r="11774" spans="1:3" x14ac:dyDescent="0.3">
      <c r="A11774">
        <v>34503</v>
      </c>
      <c r="B11774">
        <v>1</v>
      </c>
      <c r="C11774">
        <v>8</v>
      </c>
    </row>
    <row r="11775" spans="1:3" x14ac:dyDescent="0.3">
      <c r="A11775">
        <v>35248</v>
      </c>
      <c r="B11775">
        <v>1</v>
      </c>
      <c r="C11775">
        <v>16</v>
      </c>
    </row>
    <row r="11776" spans="1:3" x14ac:dyDescent="0.3">
      <c r="A11776">
        <v>35862</v>
      </c>
      <c r="B11776">
        <v>1</v>
      </c>
      <c r="C11776">
        <v>8</v>
      </c>
    </row>
    <row r="11777" spans="1:3" x14ac:dyDescent="0.3">
      <c r="A11777">
        <v>35990</v>
      </c>
      <c r="B11777">
        <v>2</v>
      </c>
      <c r="C11777">
        <v>16</v>
      </c>
    </row>
    <row r="11778" spans="1:3" x14ac:dyDescent="0.3">
      <c r="A11778">
        <v>35990</v>
      </c>
      <c r="B11778">
        <v>2</v>
      </c>
      <c r="C11778">
        <v>16</v>
      </c>
    </row>
    <row r="11779" spans="1:3" x14ac:dyDescent="0.3">
      <c r="A11779">
        <v>36230</v>
      </c>
      <c r="B11779">
        <v>1</v>
      </c>
      <c r="C11779">
        <v>8</v>
      </c>
    </row>
    <row r="11780" spans="1:3" x14ac:dyDescent="0.3">
      <c r="A11780">
        <v>36854</v>
      </c>
      <c r="B11780">
        <v>1</v>
      </c>
      <c r="C11780">
        <v>8</v>
      </c>
    </row>
    <row r="11781" spans="1:3" x14ac:dyDescent="0.3">
      <c r="A11781">
        <v>37319</v>
      </c>
      <c r="B11781">
        <v>1</v>
      </c>
      <c r="C11781">
        <v>16</v>
      </c>
    </row>
    <row r="11782" spans="1:3" x14ac:dyDescent="0.3">
      <c r="A11782">
        <v>37739</v>
      </c>
      <c r="B11782">
        <v>1</v>
      </c>
      <c r="C11782">
        <v>8</v>
      </c>
    </row>
    <row r="11783" spans="1:3" x14ac:dyDescent="0.3">
      <c r="A11783">
        <v>38241</v>
      </c>
      <c r="B11783">
        <v>4</v>
      </c>
      <c r="C11783">
        <v>16</v>
      </c>
    </row>
    <row r="11784" spans="1:3" x14ac:dyDescent="0.3">
      <c r="A11784">
        <v>38241</v>
      </c>
      <c r="B11784">
        <v>4</v>
      </c>
      <c r="C11784">
        <v>16</v>
      </c>
    </row>
    <row r="11785" spans="1:3" x14ac:dyDescent="0.3">
      <c r="A11785">
        <v>38241</v>
      </c>
      <c r="B11785">
        <v>4</v>
      </c>
      <c r="C11785">
        <v>16</v>
      </c>
    </row>
    <row r="11786" spans="1:3" x14ac:dyDescent="0.3">
      <c r="A11786">
        <v>38241</v>
      </c>
      <c r="B11786">
        <v>4</v>
      </c>
      <c r="C11786">
        <v>16</v>
      </c>
    </row>
    <row r="11787" spans="1:3" x14ac:dyDescent="0.3">
      <c r="A11787">
        <v>38271</v>
      </c>
      <c r="B11787">
        <v>1</v>
      </c>
      <c r="C11787">
        <v>8</v>
      </c>
    </row>
    <row r="11788" spans="1:3" x14ac:dyDescent="0.3">
      <c r="A11788">
        <v>38282</v>
      </c>
      <c r="B11788">
        <v>1</v>
      </c>
      <c r="C11788">
        <v>8</v>
      </c>
    </row>
    <row r="11789" spans="1:3" x14ac:dyDescent="0.3">
      <c r="A11789">
        <v>38484</v>
      </c>
      <c r="B11789">
        <v>1</v>
      </c>
      <c r="C11789">
        <v>8</v>
      </c>
    </row>
    <row r="11790" spans="1:3" x14ac:dyDescent="0.3">
      <c r="A11790">
        <v>38723</v>
      </c>
      <c r="B11790">
        <v>1</v>
      </c>
      <c r="C11790">
        <v>8</v>
      </c>
    </row>
    <row r="11791" spans="1:3" x14ac:dyDescent="0.3">
      <c r="A11791">
        <v>38733</v>
      </c>
      <c r="B11791">
        <v>2</v>
      </c>
      <c r="C11791">
        <v>16</v>
      </c>
    </row>
    <row r="11792" spans="1:3" x14ac:dyDescent="0.3">
      <c r="A11792">
        <v>38733</v>
      </c>
      <c r="B11792">
        <v>2</v>
      </c>
      <c r="C11792">
        <v>16</v>
      </c>
    </row>
    <row r="11793" spans="1:3" x14ac:dyDescent="0.3">
      <c r="A11793">
        <v>38924</v>
      </c>
      <c r="B11793">
        <v>1</v>
      </c>
      <c r="C11793">
        <v>8</v>
      </c>
    </row>
    <row r="11794" spans="1:3" x14ac:dyDescent="0.3">
      <c r="A11794">
        <v>39035</v>
      </c>
      <c r="B11794">
        <v>1</v>
      </c>
      <c r="C11794">
        <v>16</v>
      </c>
    </row>
    <row r="11795" spans="1:3" x14ac:dyDescent="0.3">
      <c r="A11795">
        <v>39145</v>
      </c>
      <c r="B11795">
        <v>1</v>
      </c>
      <c r="C11795">
        <v>8</v>
      </c>
    </row>
    <row r="11796" spans="1:3" x14ac:dyDescent="0.3">
      <c r="A11796">
        <v>39224</v>
      </c>
      <c r="B11796">
        <v>1</v>
      </c>
      <c r="C11796">
        <v>8</v>
      </c>
    </row>
    <row r="11797" spans="1:3" x14ac:dyDescent="0.3">
      <c r="A11797">
        <v>40080</v>
      </c>
      <c r="B11797">
        <v>1</v>
      </c>
      <c r="C11797">
        <v>8</v>
      </c>
    </row>
    <row r="11798" spans="1:3" x14ac:dyDescent="0.3">
      <c r="A11798">
        <v>40146</v>
      </c>
      <c r="B11798">
        <v>1</v>
      </c>
      <c r="C11798">
        <v>8</v>
      </c>
    </row>
    <row r="11799" spans="1:3" x14ac:dyDescent="0.3">
      <c r="A11799">
        <v>40623</v>
      </c>
      <c r="B11799">
        <v>1</v>
      </c>
      <c r="C11799">
        <v>16</v>
      </c>
    </row>
    <row r="11800" spans="1:3" x14ac:dyDescent="0.3">
      <c r="A11800">
        <v>40640</v>
      </c>
      <c r="B11800">
        <v>1</v>
      </c>
      <c r="C11800">
        <v>8</v>
      </c>
    </row>
    <row r="11801" spans="1:3" x14ac:dyDescent="0.3">
      <c r="A11801">
        <v>40880</v>
      </c>
      <c r="B11801">
        <v>1</v>
      </c>
      <c r="C11801">
        <v>8</v>
      </c>
    </row>
    <row r="11802" spans="1:3" x14ac:dyDescent="0.3">
      <c r="A11802">
        <v>40901</v>
      </c>
      <c r="B11802">
        <v>1</v>
      </c>
      <c r="C11802">
        <v>8</v>
      </c>
    </row>
    <row r="11803" spans="1:3" x14ac:dyDescent="0.3">
      <c r="A11803">
        <v>42107</v>
      </c>
      <c r="B11803">
        <v>1</v>
      </c>
      <c r="C11803">
        <v>8</v>
      </c>
    </row>
    <row r="11804" spans="1:3" x14ac:dyDescent="0.3">
      <c r="A11804">
        <v>42222</v>
      </c>
      <c r="B11804">
        <v>1</v>
      </c>
      <c r="C11804">
        <v>8</v>
      </c>
    </row>
    <row r="11805" spans="1:3" x14ac:dyDescent="0.3">
      <c r="A11805">
        <v>42278</v>
      </c>
      <c r="B11805">
        <v>1</v>
      </c>
      <c r="C11805">
        <v>8</v>
      </c>
    </row>
    <row r="11806" spans="1:3" x14ac:dyDescent="0.3">
      <c r="A11806">
        <v>42283</v>
      </c>
      <c r="B11806">
        <v>1</v>
      </c>
      <c r="C11806">
        <v>8</v>
      </c>
    </row>
    <row r="11807" spans="1:3" x14ac:dyDescent="0.3">
      <c r="A11807">
        <v>42367</v>
      </c>
      <c r="B11807">
        <v>1</v>
      </c>
      <c r="C11807">
        <v>8</v>
      </c>
    </row>
    <row r="11808" spans="1:3" x14ac:dyDescent="0.3">
      <c r="A11808">
        <v>42431</v>
      </c>
      <c r="B11808">
        <v>1</v>
      </c>
      <c r="C11808">
        <v>8</v>
      </c>
    </row>
    <row r="11809" spans="1:3" x14ac:dyDescent="0.3">
      <c r="A11809">
        <v>42670</v>
      </c>
      <c r="B11809">
        <v>1</v>
      </c>
      <c r="C11809">
        <v>8</v>
      </c>
    </row>
    <row r="11810" spans="1:3" x14ac:dyDescent="0.3">
      <c r="A11810">
        <v>43008</v>
      </c>
      <c r="B11810">
        <v>1</v>
      </c>
      <c r="C11810">
        <v>8</v>
      </c>
    </row>
    <row r="11811" spans="1:3" x14ac:dyDescent="0.3">
      <c r="A11811">
        <v>43160</v>
      </c>
      <c r="B11811">
        <v>1</v>
      </c>
      <c r="C11811">
        <v>8</v>
      </c>
    </row>
    <row r="11812" spans="1:3" x14ac:dyDescent="0.3">
      <c r="A11812">
        <v>43551</v>
      </c>
      <c r="B11812">
        <v>1</v>
      </c>
      <c r="C11812">
        <v>8</v>
      </c>
    </row>
    <row r="11813" spans="1:3" x14ac:dyDescent="0.3">
      <c r="A11813">
        <v>43667</v>
      </c>
      <c r="B11813">
        <v>1</v>
      </c>
      <c r="C11813">
        <v>8</v>
      </c>
    </row>
    <row r="11814" spans="1:3" x14ac:dyDescent="0.3">
      <c r="A11814">
        <v>43675</v>
      </c>
      <c r="B11814">
        <v>1</v>
      </c>
      <c r="C11814">
        <v>8</v>
      </c>
    </row>
    <row r="11815" spans="1:3" x14ac:dyDescent="0.3">
      <c r="A11815">
        <v>44595</v>
      </c>
      <c r="B11815">
        <v>1</v>
      </c>
      <c r="C11815">
        <v>8</v>
      </c>
    </row>
    <row r="11816" spans="1:3" x14ac:dyDescent="0.3">
      <c r="A11816">
        <v>44881</v>
      </c>
      <c r="B11816">
        <v>1</v>
      </c>
      <c r="C11816">
        <v>8</v>
      </c>
    </row>
    <row r="11817" spans="1:3" x14ac:dyDescent="0.3">
      <c r="A11817">
        <v>45679</v>
      </c>
      <c r="B11817">
        <v>1</v>
      </c>
      <c r="C11817">
        <v>8</v>
      </c>
    </row>
    <row r="11818" spans="1:3" x14ac:dyDescent="0.3">
      <c r="A11818">
        <v>45977</v>
      </c>
      <c r="B11818">
        <v>1</v>
      </c>
      <c r="C11818">
        <v>8</v>
      </c>
    </row>
    <row r="11819" spans="1:3" x14ac:dyDescent="0.3">
      <c r="A11819">
        <v>46134</v>
      </c>
      <c r="B11819">
        <v>1</v>
      </c>
      <c r="C11819">
        <v>8</v>
      </c>
    </row>
    <row r="11820" spans="1:3" x14ac:dyDescent="0.3">
      <c r="A11820">
        <v>46343</v>
      </c>
      <c r="B11820">
        <v>1</v>
      </c>
      <c r="C11820">
        <v>16</v>
      </c>
    </row>
    <row r="11821" spans="1:3" x14ac:dyDescent="0.3">
      <c r="A11821">
        <v>46419</v>
      </c>
      <c r="B11821">
        <v>1</v>
      </c>
      <c r="C11821">
        <v>8</v>
      </c>
    </row>
    <row r="11822" spans="1:3" x14ac:dyDescent="0.3">
      <c r="A11822">
        <v>46676</v>
      </c>
      <c r="B11822">
        <v>1</v>
      </c>
      <c r="C11822">
        <v>8</v>
      </c>
    </row>
    <row r="11823" spans="1:3" x14ac:dyDescent="0.3">
      <c r="A11823">
        <v>46796</v>
      </c>
      <c r="B11823">
        <v>1</v>
      </c>
      <c r="C11823">
        <v>8</v>
      </c>
    </row>
    <row r="11824" spans="1:3" x14ac:dyDescent="0.3">
      <c r="A11824">
        <v>46889</v>
      </c>
      <c r="B11824">
        <v>1</v>
      </c>
      <c r="C11824">
        <v>8</v>
      </c>
    </row>
    <row r="11825" spans="1:3" x14ac:dyDescent="0.3">
      <c r="A11825">
        <v>47377</v>
      </c>
      <c r="B11825">
        <v>1</v>
      </c>
      <c r="C11825">
        <v>8</v>
      </c>
    </row>
    <row r="11826" spans="1:3" x14ac:dyDescent="0.3">
      <c r="A11826">
        <v>47384</v>
      </c>
      <c r="B11826">
        <v>1</v>
      </c>
      <c r="C11826">
        <v>16</v>
      </c>
    </row>
    <row r="11827" spans="1:3" x14ac:dyDescent="0.3">
      <c r="A11827">
        <v>47542</v>
      </c>
      <c r="B11827">
        <v>1</v>
      </c>
      <c r="C11827">
        <v>8</v>
      </c>
    </row>
    <row r="11828" spans="1:3" x14ac:dyDescent="0.3">
      <c r="A11828">
        <v>47551</v>
      </c>
      <c r="B11828">
        <v>1</v>
      </c>
      <c r="C11828">
        <v>8</v>
      </c>
    </row>
    <row r="11829" spans="1:3" x14ac:dyDescent="0.3">
      <c r="A11829">
        <v>47752</v>
      </c>
      <c r="B11829">
        <v>1</v>
      </c>
      <c r="C11829">
        <v>16</v>
      </c>
    </row>
    <row r="11830" spans="1:3" x14ac:dyDescent="0.3">
      <c r="A11830">
        <v>48367</v>
      </c>
      <c r="B11830">
        <v>1</v>
      </c>
      <c r="C11830">
        <v>8</v>
      </c>
    </row>
    <row r="11831" spans="1:3" x14ac:dyDescent="0.3">
      <c r="A11831">
        <v>48398</v>
      </c>
      <c r="B11831">
        <v>1</v>
      </c>
      <c r="C11831">
        <v>8</v>
      </c>
    </row>
    <row r="11832" spans="1:3" x14ac:dyDescent="0.3">
      <c r="A11832">
        <v>48400</v>
      </c>
      <c r="B11832">
        <v>1</v>
      </c>
      <c r="C11832">
        <v>8</v>
      </c>
    </row>
    <row r="11833" spans="1:3" x14ac:dyDescent="0.3">
      <c r="A11833">
        <v>48450</v>
      </c>
      <c r="B11833">
        <v>1</v>
      </c>
      <c r="C11833">
        <v>8</v>
      </c>
    </row>
    <row r="11834" spans="1:3" x14ac:dyDescent="0.3">
      <c r="A11834">
        <v>48614</v>
      </c>
      <c r="B11834">
        <v>1</v>
      </c>
      <c r="C11834">
        <v>8</v>
      </c>
    </row>
    <row r="11835" spans="1:3" x14ac:dyDescent="0.3">
      <c r="A11835">
        <v>49763</v>
      </c>
      <c r="B11835">
        <v>1</v>
      </c>
      <c r="C11835">
        <v>16</v>
      </c>
    </row>
    <row r="11836" spans="1:3" x14ac:dyDescent="0.3">
      <c r="A11836">
        <v>50334</v>
      </c>
      <c r="B11836">
        <v>1</v>
      </c>
      <c r="C11836">
        <v>16</v>
      </c>
    </row>
    <row r="11837" spans="1:3" x14ac:dyDescent="0.3">
      <c r="A11837">
        <v>50621</v>
      </c>
      <c r="B11837">
        <v>1</v>
      </c>
      <c r="C11837">
        <v>8</v>
      </c>
    </row>
    <row r="11838" spans="1:3" x14ac:dyDescent="0.3">
      <c r="A11838">
        <v>50843</v>
      </c>
      <c r="B11838">
        <v>1</v>
      </c>
      <c r="C11838">
        <v>8</v>
      </c>
    </row>
    <row r="11839" spans="1:3" x14ac:dyDescent="0.3">
      <c r="A11839">
        <v>50927</v>
      </c>
      <c r="B11839">
        <v>1</v>
      </c>
      <c r="C11839">
        <v>8</v>
      </c>
    </row>
    <row r="11840" spans="1:3" x14ac:dyDescent="0.3">
      <c r="A11840">
        <v>51717</v>
      </c>
      <c r="B11840">
        <v>1</v>
      </c>
      <c r="C11840">
        <v>16</v>
      </c>
    </row>
    <row r="11841" spans="1:3" x14ac:dyDescent="0.3">
      <c r="A11841">
        <v>51757</v>
      </c>
      <c r="B11841">
        <v>1</v>
      </c>
      <c r="C11841">
        <v>8</v>
      </c>
    </row>
    <row r="11842" spans="1:3" x14ac:dyDescent="0.3">
      <c r="A11842">
        <v>51760</v>
      </c>
      <c r="B11842">
        <v>1</v>
      </c>
      <c r="C11842">
        <v>8</v>
      </c>
    </row>
    <row r="11843" spans="1:3" x14ac:dyDescent="0.3">
      <c r="A11843">
        <v>51933</v>
      </c>
      <c r="B11843">
        <v>1</v>
      </c>
      <c r="C11843">
        <v>8</v>
      </c>
    </row>
    <row r="11844" spans="1:3" x14ac:dyDescent="0.3">
      <c r="A11844">
        <v>52300</v>
      </c>
      <c r="B11844">
        <v>1</v>
      </c>
      <c r="C11844">
        <v>8</v>
      </c>
    </row>
    <row r="11845" spans="1:3" x14ac:dyDescent="0.3">
      <c r="A11845">
        <v>52629</v>
      </c>
      <c r="B11845">
        <v>1</v>
      </c>
      <c r="C11845">
        <v>8</v>
      </c>
    </row>
    <row r="11846" spans="1:3" x14ac:dyDescent="0.3">
      <c r="A11846">
        <v>52635</v>
      </c>
      <c r="B11846">
        <v>1</v>
      </c>
      <c r="C11846">
        <v>8</v>
      </c>
    </row>
    <row r="11847" spans="1:3" x14ac:dyDescent="0.3">
      <c r="A11847">
        <v>52938</v>
      </c>
      <c r="B11847">
        <v>1</v>
      </c>
      <c r="C11847">
        <v>8</v>
      </c>
    </row>
    <row r="11848" spans="1:3" x14ac:dyDescent="0.3">
      <c r="A11848">
        <v>52966</v>
      </c>
      <c r="B11848">
        <v>1</v>
      </c>
      <c r="C11848">
        <v>8</v>
      </c>
    </row>
    <row r="11849" spans="1:3" x14ac:dyDescent="0.3">
      <c r="A11849">
        <v>53186</v>
      </c>
      <c r="B11849">
        <v>1</v>
      </c>
      <c r="C11849">
        <v>8</v>
      </c>
    </row>
    <row r="11850" spans="1:3" x14ac:dyDescent="0.3">
      <c r="A11850">
        <v>53446</v>
      </c>
      <c r="B11850">
        <v>1</v>
      </c>
      <c r="C11850">
        <v>8</v>
      </c>
    </row>
    <row r="11851" spans="1:3" x14ac:dyDescent="0.3">
      <c r="A11851">
        <v>53449</v>
      </c>
      <c r="B11851">
        <v>1</v>
      </c>
      <c r="C11851">
        <v>8</v>
      </c>
    </row>
    <row r="11852" spans="1:3" x14ac:dyDescent="0.3">
      <c r="A11852">
        <v>53527</v>
      </c>
      <c r="B11852">
        <v>1</v>
      </c>
      <c r="C11852">
        <v>8</v>
      </c>
    </row>
    <row r="11853" spans="1:3" x14ac:dyDescent="0.3">
      <c r="A11853">
        <v>53793</v>
      </c>
      <c r="B11853">
        <v>1</v>
      </c>
      <c r="C11853">
        <v>8</v>
      </c>
    </row>
    <row r="11854" spans="1:3" x14ac:dyDescent="0.3">
      <c r="A11854">
        <v>54102</v>
      </c>
      <c r="B11854">
        <v>1</v>
      </c>
      <c r="C11854">
        <v>8</v>
      </c>
    </row>
    <row r="11855" spans="1:3" x14ac:dyDescent="0.3">
      <c r="A11855">
        <v>54141</v>
      </c>
      <c r="B11855">
        <v>1</v>
      </c>
      <c r="C11855">
        <v>8</v>
      </c>
    </row>
    <row r="11856" spans="1:3" x14ac:dyDescent="0.3">
      <c r="A11856">
        <v>54236</v>
      </c>
      <c r="B11856">
        <v>1</v>
      </c>
      <c r="C11856">
        <v>8</v>
      </c>
    </row>
    <row r="11857" spans="1:3" x14ac:dyDescent="0.3">
      <c r="A11857">
        <v>54237</v>
      </c>
      <c r="B11857">
        <v>1</v>
      </c>
      <c r="C11857">
        <v>16</v>
      </c>
    </row>
    <row r="11858" spans="1:3" x14ac:dyDescent="0.3">
      <c r="A11858">
        <v>54509</v>
      </c>
      <c r="B11858">
        <v>1</v>
      </c>
      <c r="C11858">
        <v>8</v>
      </c>
    </row>
    <row r="11859" spans="1:3" x14ac:dyDescent="0.3">
      <c r="A11859">
        <v>54565</v>
      </c>
      <c r="B11859">
        <v>1</v>
      </c>
      <c r="C11859">
        <v>8</v>
      </c>
    </row>
    <row r="11860" spans="1:3" x14ac:dyDescent="0.3">
      <c r="A11860">
        <v>55349</v>
      </c>
      <c r="B11860">
        <v>1</v>
      </c>
      <c r="C11860">
        <v>8</v>
      </c>
    </row>
    <row r="11861" spans="1:3" x14ac:dyDescent="0.3">
      <c r="A11861">
        <v>55444</v>
      </c>
      <c r="B11861">
        <v>1</v>
      </c>
      <c r="C11861">
        <v>8</v>
      </c>
    </row>
    <row r="11862" spans="1:3" x14ac:dyDescent="0.3">
      <c r="A11862">
        <v>55738</v>
      </c>
      <c r="B11862">
        <v>1</v>
      </c>
      <c r="C11862">
        <v>8</v>
      </c>
    </row>
    <row r="11863" spans="1:3" x14ac:dyDescent="0.3">
      <c r="A11863">
        <v>56414</v>
      </c>
      <c r="B11863">
        <v>1</v>
      </c>
      <c r="C11863">
        <v>8</v>
      </c>
    </row>
    <row r="11864" spans="1:3" x14ac:dyDescent="0.3">
      <c r="A11864">
        <v>56415</v>
      </c>
      <c r="B11864">
        <v>1</v>
      </c>
      <c r="C11864">
        <v>16</v>
      </c>
    </row>
    <row r="11865" spans="1:3" x14ac:dyDescent="0.3">
      <c r="A11865">
        <v>56440</v>
      </c>
      <c r="B11865">
        <v>1</v>
      </c>
      <c r="C11865">
        <v>8</v>
      </c>
    </row>
    <row r="11866" spans="1:3" x14ac:dyDescent="0.3">
      <c r="A11866">
        <v>56753</v>
      </c>
      <c r="B11866">
        <v>1</v>
      </c>
      <c r="C11866">
        <v>8</v>
      </c>
    </row>
    <row r="11867" spans="1:3" x14ac:dyDescent="0.3">
      <c r="A11867">
        <v>57215</v>
      </c>
      <c r="B11867">
        <v>1</v>
      </c>
      <c r="C11867">
        <v>8</v>
      </c>
    </row>
    <row r="11868" spans="1:3" x14ac:dyDescent="0.3">
      <c r="A11868">
        <v>57551</v>
      </c>
      <c r="B11868">
        <v>1</v>
      </c>
      <c r="C11868">
        <v>8</v>
      </c>
    </row>
    <row r="11869" spans="1:3" x14ac:dyDescent="0.3">
      <c r="A11869">
        <v>57858</v>
      </c>
      <c r="B11869">
        <v>1</v>
      </c>
      <c r="C11869">
        <v>8</v>
      </c>
    </row>
    <row r="11870" spans="1:3" x14ac:dyDescent="0.3">
      <c r="A11870">
        <v>58307</v>
      </c>
      <c r="B11870">
        <v>1</v>
      </c>
      <c r="C11870">
        <v>8</v>
      </c>
    </row>
    <row r="11871" spans="1:3" x14ac:dyDescent="0.3">
      <c r="A11871">
        <v>58374</v>
      </c>
      <c r="B11871">
        <v>1</v>
      </c>
      <c r="C11871">
        <v>8</v>
      </c>
    </row>
    <row r="11872" spans="1:3" x14ac:dyDescent="0.3">
      <c r="A11872">
        <v>58412</v>
      </c>
      <c r="B11872">
        <v>1</v>
      </c>
      <c r="C11872">
        <v>8</v>
      </c>
    </row>
    <row r="11873" spans="1:3" x14ac:dyDescent="0.3">
      <c r="A11873">
        <v>58518</v>
      </c>
      <c r="B11873">
        <v>1</v>
      </c>
      <c r="C11873">
        <v>8</v>
      </c>
    </row>
    <row r="11874" spans="1:3" x14ac:dyDescent="0.3">
      <c r="A11874">
        <v>58537</v>
      </c>
      <c r="B11874">
        <v>1</v>
      </c>
      <c r="C11874">
        <v>8</v>
      </c>
    </row>
    <row r="11875" spans="1:3" x14ac:dyDescent="0.3">
      <c r="A11875">
        <v>58674</v>
      </c>
      <c r="B11875">
        <v>1</v>
      </c>
      <c r="C11875">
        <v>8</v>
      </c>
    </row>
    <row r="11876" spans="1:3" x14ac:dyDescent="0.3">
      <c r="A11876">
        <v>58945</v>
      </c>
      <c r="B11876">
        <v>1</v>
      </c>
      <c r="C11876">
        <v>8</v>
      </c>
    </row>
    <row r="11877" spans="1:3" x14ac:dyDescent="0.3">
      <c r="A11877">
        <v>58972</v>
      </c>
      <c r="B11877">
        <v>2</v>
      </c>
      <c r="C11877">
        <v>16</v>
      </c>
    </row>
    <row r="11878" spans="1:3" x14ac:dyDescent="0.3">
      <c r="A11878">
        <v>58972</v>
      </c>
      <c r="B11878">
        <v>2</v>
      </c>
      <c r="C11878">
        <v>16</v>
      </c>
    </row>
    <row r="11879" spans="1:3" x14ac:dyDescent="0.3">
      <c r="A11879">
        <v>59160</v>
      </c>
      <c r="B11879">
        <v>1</v>
      </c>
      <c r="C11879">
        <v>8</v>
      </c>
    </row>
    <row r="11880" spans="1:3" x14ac:dyDescent="0.3">
      <c r="A11880">
        <v>59504</v>
      </c>
      <c r="B11880">
        <v>1</v>
      </c>
      <c r="C11880">
        <v>8</v>
      </c>
    </row>
    <row r="11881" spans="1:3" x14ac:dyDescent="0.3">
      <c r="A11881">
        <v>59629</v>
      </c>
      <c r="B11881">
        <v>1</v>
      </c>
      <c r="C11881">
        <v>8</v>
      </c>
    </row>
    <row r="11882" spans="1:3" x14ac:dyDescent="0.3">
      <c r="A11882">
        <v>60169</v>
      </c>
      <c r="B11882">
        <v>1</v>
      </c>
      <c r="C11882">
        <v>8</v>
      </c>
    </row>
    <row r="11883" spans="1:3" x14ac:dyDescent="0.3">
      <c r="A11883">
        <v>60377</v>
      </c>
      <c r="B11883">
        <v>1</v>
      </c>
      <c r="C11883">
        <v>16</v>
      </c>
    </row>
    <row r="11884" spans="1:3" x14ac:dyDescent="0.3">
      <c r="A11884">
        <v>60457</v>
      </c>
      <c r="B11884">
        <v>1</v>
      </c>
      <c r="C11884">
        <v>8</v>
      </c>
    </row>
    <row r="11885" spans="1:3" x14ac:dyDescent="0.3">
      <c r="A11885">
        <v>60655</v>
      </c>
      <c r="B11885">
        <v>1</v>
      </c>
      <c r="C11885">
        <v>8</v>
      </c>
    </row>
    <row r="11886" spans="1:3" x14ac:dyDescent="0.3">
      <c r="A11886">
        <v>60820</v>
      </c>
      <c r="B11886">
        <v>1</v>
      </c>
      <c r="C11886">
        <v>8</v>
      </c>
    </row>
    <row r="11887" spans="1:3" x14ac:dyDescent="0.3">
      <c r="A11887">
        <v>60981</v>
      </c>
      <c r="B11887">
        <v>1</v>
      </c>
      <c r="C11887">
        <v>8</v>
      </c>
    </row>
    <row r="11888" spans="1:3" x14ac:dyDescent="0.3">
      <c r="A11888">
        <v>60986</v>
      </c>
      <c r="B11888">
        <v>1</v>
      </c>
      <c r="C11888">
        <v>8</v>
      </c>
    </row>
    <row r="11889" spans="1:3" x14ac:dyDescent="0.3">
      <c r="A11889">
        <v>61199</v>
      </c>
      <c r="B11889">
        <v>2</v>
      </c>
      <c r="C11889">
        <v>16</v>
      </c>
    </row>
    <row r="11890" spans="1:3" x14ac:dyDescent="0.3">
      <c r="A11890">
        <v>61199</v>
      </c>
      <c r="B11890">
        <v>2</v>
      </c>
      <c r="C11890">
        <v>16</v>
      </c>
    </row>
    <row r="11891" spans="1:3" x14ac:dyDescent="0.3">
      <c r="A11891">
        <v>61222</v>
      </c>
      <c r="B11891">
        <v>1</v>
      </c>
      <c r="C11891">
        <v>8</v>
      </c>
    </row>
    <row r="11892" spans="1:3" x14ac:dyDescent="0.3">
      <c r="A11892">
        <v>61230</v>
      </c>
      <c r="B11892">
        <v>1</v>
      </c>
      <c r="C11892">
        <v>16</v>
      </c>
    </row>
    <row r="11893" spans="1:3" x14ac:dyDescent="0.3">
      <c r="A11893">
        <v>61234</v>
      </c>
      <c r="B11893">
        <v>1</v>
      </c>
      <c r="C11893">
        <v>8</v>
      </c>
    </row>
    <row r="11894" spans="1:3" x14ac:dyDescent="0.3">
      <c r="A11894">
        <v>61262</v>
      </c>
      <c r="B11894">
        <v>1</v>
      </c>
      <c r="C11894">
        <v>8</v>
      </c>
    </row>
    <row r="11895" spans="1:3" x14ac:dyDescent="0.3">
      <c r="A11895">
        <v>61264</v>
      </c>
      <c r="B11895">
        <v>1</v>
      </c>
      <c r="C11895">
        <v>8</v>
      </c>
    </row>
    <row r="11896" spans="1:3" x14ac:dyDescent="0.3">
      <c r="A11896">
        <v>61277</v>
      </c>
      <c r="B11896">
        <v>1</v>
      </c>
      <c r="C11896">
        <v>8</v>
      </c>
    </row>
    <row r="11897" spans="1:3" x14ac:dyDescent="0.3">
      <c r="A11897">
        <v>61349</v>
      </c>
      <c r="B11897">
        <v>1</v>
      </c>
      <c r="C11897">
        <v>8</v>
      </c>
    </row>
    <row r="11898" spans="1:3" x14ac:dyDescent="0.3">
      <c r="A11898">
        <v>61569</v>
      </c>
      <c r="B11898">
        <v>1</v>
      </c>
      <c r="C11898">
        <v>8</v>
      </c>
    </row>
    <row r="11899" spans="1:3" x14ac:dyDescent="0.3">
      <c r="A11899">
        <v>61687</v>
      </c>
      <c r="B11899">
        <v>1</v>
      </c>
      <c r="C11899">
        <v>8</v>
      </c>
    </row>
    <row r="11900" spans="1:3" x14ac:dyDescent="0.3">
      <c r="A11900">
        <v>61881</v>
      </c>
      <c r="B11900">
        <v>1</v>
      </c>
      <c r="C11900">
        <v>8</v>
      </c>
    </row>
    <row r="11901" spans="1:3" x14ac:dyDescent="0.3">
      <c r="A11901">
        <v>61889</v>
      </c>
      <c r="B11901">
        <v>1</v>
      </c>
      <c r="C11901">
        <v>8</v>
      </c>
    </row>
    <row r="11902" spans="1:3" x14ac:dyDescent="0.3">
      <c r="A11902">
        <v>61968</v>
      </c>
      <c r="B11902">
        <v>1</v>
      </c>
      <c r="C11902">
        <v>8</v>
      </c>
    </row>
    <row r="11903" spans="1:3" x14ac:dyDescent="0.3">
      <c r="A11903">
        <v>62591</v>
      </c>
      <c r="B11903">
        <v>1</v>
      </c>
      <c r="C11903">
        <v>8</v>
      </c>
    </row>
    <row r="11904" spans="1:3" x14ac:dyDescent="0.3">
      <c r="A11904">
        <v>62602</v>
      </c>
      <c r="B11904">
        <v>1</v>
      </c>
      <c r="C11904">
        <v>8</v>
      </c>
    </row>
    <row r="11905" spans="1:3" x14ac:dyDescent="0.3">
      <c r="A11905">
        <v>62675</v>
      </c>
      <c r="B11905">
        <v>1</v>
      </c>
      <c r="C11905">
        <v>8</v>
      </c>
    </row>
    <row r="11906" spans="1:3" x14ac:dyDescent="0.3">
      <c r="A11906">
        <v>62692</v>
      </c>
      <c r="B11906">
        <v>1</v>
      </c>
      <c r="C11906">
        <v>8</v>
      </c>
    </row>
    <row r="11907" spans="1:3" x14ac:dyDescent="0.3">
      <c r="A11907">
        <v>62788</v>
      </c>
      <c r="B11907">
        <v>1</v>
      </c>
      <c r="C11907">
        <v>8</v>
      </c>
    </row>
    <row r="11908" spans="1:3" x14ac:dyDescent="0.3">
      <c r="A11908">
        <v>62842</v>
      </c>
      <c r="B11908">
        <v>1</v>
      </c>
      <c r="C11908">
        <v>8</v>
      </c>
    </row>
    <row r="11909" spans="1:3" x14ac:dyDescent="0.3">
      <c r="A11909">
        <v>62894</v>
      </c>
      <c r="B11909">
        <v>1</v>
      </c>
      <c r="C11909">
        <v>8</v>
      </c>
    </row>
    <row r="11910" spans="1:3" x14ac:dyDescent="0.3">
      <c r="A11910">
        <v>62918</v>
      </c>
      <c r="B11910">
        <v>1</v>
      </c>
      <c r="C11910">
        <v>16</v>
      </c>
    </row>
    <row r="11911" spans="1:3" x14ac:dyDescent="0.3">
      <c r="A11911">
        <v>63136</v>
      </c>
      <c r="B11911">
        <v>1</v>
      </c>
      <c r="C11911">
        <v>8</v>
      </c>
    </row>
    <row r="11912" spans="1:3" x14ac:dyDescent="0.3">
      <c r="A11912">
        <v>63153</v>
      </c>
      <c r="B11912">
        <v>1</v>
      </c>
      <c r="C11912">
        <v>8</v>
      </c>
    </row>
    <row r="11913" spans="1:3" x14ac:dyDescent="0.3">
      <c r="A11913">
        <v>63456</v>
      </c>
      <c r="B11913">
        <v>1</v>
      </c>
      <c r="C11913">
        <v>8</v>
      </c>
    </row>
    <row r="11914" spans="1:3" x14ac:dyDescent="0.3">
      <c r="A11914">
        <v>63572</v>
      </c>
      <c r="B11914">
        <v>1</v>
      </c>
      <c r="C11914">
        <v>8</v>
      </c>
    </row>
    <row r="11915" spans="1:3" x14ac:dyDescent="0.3">
      <c r="A11915">
        <v>63915</v>
      </c>
      <c r="B11915">
        <v>1</v>
      </c>
      <c r="C11915">
        <v>8</v>
      </c>
    </row>
    <row r="11916" spans="1:3" x14ac:dyDescent="0.3">
      <c r="A11916">
        <v>64258</v>
      </c>
      <c r="B11916">
        <v>1</v>
      </c>
      <c r="C11916">
        <v>8</v>
      </c>
    </row>
    <row r="11917" spans="1:3" x14ac:dyDescent="0.3">
      <c r="A11917">
        <v>64418</v>
      </c>
      <c r="B11917">
        <v>1</v>
      </c>
      <c r="C11917">
        <v>8</v>
      </c>
    </row>
    <row r="11918" spans="1:3" x14ac:dyDescent="0.3">
      <c r="A11918">
        <v>64427</v>
      </c>
      <c r="B11918">
        <v>1</v>
      </c>
      <c r="C11918">
        <v>16</v>
      </c>
    </row>
    <row r="11919" spans="1:3" x14ac:dyDescent="0.3">
      <c r="A11919">
        <v>64428</v>
      </c>
      <c r="B11919">
        <v>1</v>
      </c>
      <c r="C11919">
        <v>8</v>
      </c>
    </row>
    <row r="11920" spans="1:3" x14ac:dyDescent="0.3">
      <c r="A11920">
        <v>64485</v>
      </c>
      <c r="B11920">
        <v>1</v>
      </c>
      <c r="C11920">
        <v>8</v>
      </c>
    </row>
    <row r="11921" spans="1:3" x14ac:dyDescent="0.3">
      <c r="A11921">
        <v>64730</v>
      </c>
      <c r="B11921">
        <v>1</v>
      </c>
      <c r="C11921">
        <v>8</v>
      </c>
    </row>
    <row r="11922" spans="1:3" x14ac:dyDescent="0.3">
      <c r="A11922">
        <v>64753</v>
      </c>
      <c r="B11922">
        <v>1</v>
      </c>
      <c r="C11922">
        <v>8</v>
      </c>
    </row>
    <row r="11923" spans="1:3" x14ac:dyDescent="0.3">
      <c r="A11923">
        <v>64838</v>
      </c>
      <c r="B11923">
        <v>1</v>
      </c>
      <c r="C11923">
        <v>16</v>
      </c>
    </row>
    <row r="11924" spans="1:3" x14ac:dyDescent="0.3">
      <c r="A11924">
        <v>65002</v>
      </c>
      <c r="B11924">
        <v>1</v>
      </c>
      <c r="C11924">
        <v>8</v>
      </c>
    </row>
    <row r="11925" spans="1:3" x14ac:dyDescent="0.3">
      <c r="A11925">
        <v>65074</v>
      </c>
      <c r="B11925">
        <v>1</v>
      </c>
      <c r="C11925">
        <v>8</v>
      </c>
    </row>
    <row r="11926" spans="1:3" x14ac:dyDescent="0.3">
      <c r="A11926">
        <v>65230</v>
      </c>
      <c r="B11926">
        <v>1</v>
      </c>
      <c r="C11926">
        <v>8</v>
      </c>
    </row>
    <row r="11927" spans="1:3" x14ac:dyDescent="0.3">
      <c r="A11927">
        <v>65250</v>
      </c>
      <c r="B11927">
        <v>1</v>
      </c>
      <c r="C11927">
        <v>8</v>
      </c>
    </row>
    <row r="11928" spans="1:3" x14ac:dyDescent="0.3">
      <c r="A11928">
        <v>65262</v>
      </c>
      <c r="B11928">
        <v>1</v>
      </c>
      <c r="C11928">
        <v>16</v>
      </c>
    </row>
    <row r="11929" spans="1:3" x14ac:dyDescent="0.3">
      <c r="A11929">
        <v>65500</v>
      </c>
      <c r="B11929">
        <v>1</v>
      </c>
      <c r="C11929">
        <v>16</v>
      </c>
    </row>
    <row r="11930" spans="1:3" x14ac:dyDescent="0.3">
      <c r="A11930">
        <v>65570</v>
      </c>
      <c r="B11930">
        <v>1</v>
      </c>
      <c r="C11930">
        <v>8</v>
      </c>
    </row>
    <row r="11931" spans="1:3" x14ac:dyDescent="0.3">
      <c r="A11931">
        <v>65693</v>
      </c>
      <c r="B11931">
        <v>1</v>
      </c>
      <c r="C11931">
        <v>8</v>
      </c>
    </row>
    <row r="11932" spans="1:3" x14ac:dyDescent="0.3">
      <c r="A11932">
        <v>65875</v>
      </c>
      <c r="B11932">
        <v>1</v>
      </c>
      <c r="C11932">
        <v>8</v>
      </c>
    </row>
    <row r="11933" spans="1:3" x14ac:dyDescent="0.3">
      <c r="A11933">
        <v>65891</v>
      </c>
      <c r="B11933">
        <v>1</v>
      </c>
      <c r="C11933">
        <v>16</v>
      </c>
    </row>
    <row r="11934" spans="1:3" x14ac:dyDescent="0.3">
      <c r="A11934">
        <v>66019</v>
      </c>
      <c r="B11934">
        <v>1</v>
      </c>
      <c r="C11934">
        <v>8</v>
      </c>
    </row>
    <row r="11935" spans="1:3" x14ac:dyDescent="0.3">
      <c r="A11935">
        <v>66158</v>
      </c>
      <c r="B11935">
        <v>1</v>
      </c>
      <c r="C11935">
        <v>8</v>
      </c>
    </row>
    <row r="11936" spans="1:3" x14ac:dyDescent="0.3">
      <c r="A11936">
        <v>66222</v>
      </c>
      <c r="B11936">
        <v>1</v>
      </c>
      <c r="C11936">
        <v>8</v>
      </c>
    </row>
    <row r="11937" spans="1:3" x14ac:dyDescent="0.3">
      <c r="A11937">
        <v>66391</v>
      </c>
      <c r="B11937">
        <v>1</v>
      </c>
      <c r="C11937">
        <v>8</v>
      </c>
    </row>
    <row r="11938" spans="1:3" x14ac:dyDescent="0.3">
      <c r="A11938">
        <v>66392</v>
      </c>
      <c r="B11938">
        <v>1</v>
      </c>
      <c r="C11938">
        <v>16</v>
      </c>
    </row>
    <row r="11939" spans="1:3" x14ac:dyDescent="0.3">
      <c r="A11939">
        <v>66405</v>
      </c>
      <c r="B11939">
        <v>1</v>
      </c>
      <c r="C11939">
        <v>8</v>
      </c>
    </row>
    <row r="11940" spans="1:3" x14ac:dyDescent="0.3">
      <c r="A11940">
        <v>66664</v>
      </c>
      <c r="B11940">
        <v>1</v>
      </c>
      <c r="C11940">
        <v>8</v>
      </c>
    </row>
    <row r="11941" spans="1:3" x14ac:dyDescent="0.3">
      <c r="A11941">
        <v>66824</v>
      </c>
      <c r="B11941">
        <v>1</v>
      </c>
      <c r="C11941">
        <v>8</v>
      </c>
    </row>
    <row r="11942" spans="1:3" x14ac:dyDescent="0.3">
      <c r="A11942">
        <v>66915</v>
      </c>
      <c r="B11942">
        <v>1</v>
      </c>
      <c r="C11942">
        <v>16</v>
      </c>
    </row>
    <row r="11943" spans="1:3" x14ac:dyDescent="0.3">
      <c r="A11943">
        <v>67030</v>
      </c>
      <c r="B11943">
        <v>1</v>
      </c>
      <c r="C11943">
        <v>8</v>
      </c>
    </row>
    <row r="11944" spans="1:3" x14ac:dyDescent="0.3">
      <c r="A11944">
        <v>67108</v>
      </c>
      <c r="B11944">
        <v>1</v>
      </c>
      <c r="C11944">
        <v>8</v>
      </c>
    </row>
    <row r="11945" spans="1:3" x14ac:dyDescent="0.3">
      <c r="A11945">
        <v>67571</v>
      </c>
      <c r="B11945">
        <v>1</v>
      </c>
      <c r="C11945">
        <v>8</v>
      </c>
    </row>
    <row r="11946" spans="1:3" x14ac:dyDescent="0.3">
      <c r="A11946">
        <v>67654</v>
      </c>
      <c r="B11946">
        <v>1</v>
      </c>
      <c r="C11946">
        <v>8</v>
      </c>
    </row>
    <row r="11947" spans="1:3" x14ac:dyDescent="0.3">
      <c r="A11947">
        <v>67837</v>
      </c>
      <c r="B11947">
        <v>1</v>
      </c>
      <c r="C11947">
        <v>8</v>
      </c>
    </row>
    <row r="11948" spans="1:3" x14ac:dyDescent="0.3">
      <c r="A11948">
        <v>67838</v>
      </c>
      <c r="B11948">
        <v>1</v>
      </c>
      <c r="C11948">
        <v>8</v>
      </c>
    </row>
    <row r="11949" spans="1:3" x14ac:dyDescent="0.3">
      <c r="A11949">
        <v>68400</v>
      </c>
      <c r="B11949">
        <v>1</v>
      </c>
      <c r="C11949">
        <v>8</v>
      </c>
    </row>
    <row r="11950" spans="1:3" x14ac:dyDescent="0.3">
      <c r="A11950">
        <v>68835</v>
      </c>
      <c r="B11950">
        <v>1</v>
      </c>
      <c r="C11950">
        <v>8</v>
      </c>
    </row>
    <row r="11951" spans="1:3" x14ac:dyDescent="0.3">
      <c r="A11951">
        <v>69014</v>
      </c>
      <c r="B11951">
        <v>1</v>
      </c>
      <c r="C11951">
        <v>8</v>
      </c>
    </row>
    <row r="11952" spans="1:3" x14ac:dyDescent="0.3">
      <c r="A11952">
        <v>69297</v>
      </c>
      <c r="B11952">
        <v>1</v>
      </c>
      <c r="C11952">
        <v>8</v>
      </c>
    </row>
    <row r="11953" spans="1:3" x14ac:dyDescent="0.3">
      <c r="A11953">
        <v>69328</v>
      </c>
      <c r="B11953">
        <v>1</v>
      </c>
      <c r="C11953">
        <v>8</v>
      </c>
    </row>
    <row r="11954" spans="1:3" x14ac:dyDescent="0.3">
      <c r="A11954">
        <v>69539</v>
      </c>
      <c r="B11954">
        <v>1</v>
      </c>
      <c r="C11954">
        <v>8</v>
      </c>
    </row>
    <row r="11955" spans="1:3" x14ac:dyDescent="0.3">
      <c r="A11955">
        <v>69591</v>
      </c>
      <c r="B11955">
        <v>1</v>
      </c>
      <c r="C11955">
        <v>8</v>
      </c>
    </row>
    <row r="11956" spans="1:3" x14ac:dyDescent="0.3">
      <c r="A11956">
        <v>69761</v>
      </c>
      <c r="B11956">
        <v>1</v>
      </c>
      <c r="C11956">
        <v>8</v>
      </c>
    </row>
    <row r="11957" spans="1:3" x14ac:dyDescent="0.3">
      <c r="A11957">
        <v>70190</v>
      </c>
      <c r="B11957">
        <v>1</v>
      </c>
      <c r="C11957">
        <v>8</v>
      </c>
    </row>
    <row r="11958" spans="1:3" x14ac:dyDescent="0.3">
      <c r="A11958">
        <v>70278</v>
      </c>
      <c r="B11958">
        <v>1</v>
      </c>
      <c r="C11958">
        <v>8</v>
      </c>
    </row>
    <row r="11959" spans="1:3" x14ac:dyDescent="0.3">
      <c r="A11959">
        <v>70650</v>
      </c>
      <c r="B11959">
        <v>1</v>
      </c>
      <c r="C11959">
        <v>16</v>
      </c>
    </row>
    <row r="11960" spans="1:3" x14ac:dyDescent="0.3">
      <c r="A11960">
        <v>70768</v>
      </c>
      <c r="B11960">
        <v>1</v>
      </c>
      <c r="C11960">
        <v>8</v>
      </c>
    </row>
    <row r="11961" spans="1:3" x14ac:dyDescent="0.3">
      <c r="A11961">
        <v>70836</v>
      </c>
      <c r="B11961">
        <v>1</v>
      </c>
      <c r="C11961">
        <v>8</v>
      </c>
    </row>
    <row r="11962" spans="1:3" x14ac:dyDescent="0.3">
      <c r="A11962">
        <v>70923</v>
      </c>
      <c r="B11962">
        <v>1</v>
      </c>
      <c r="C11962">
        <v>8</v>
      </c>
    </row>
    <row r="11963" spans="1:3" x14ac:dyDescent="0.3">
      <c r="A11963">
        <v>71018</v>
      </c>
      <c r="B11963">
        <v>1</v>
      </c>
      <c r="C11963">
        <v>8</v>
      </c>
    </row>
    <row r="11964" spans="1:3" x14ac:dyDescent="0.3">
      <c r="A11964">
        <v>71432</v>
      </c>
      <c r="B11964">
        <v>1</v>
      </c>
      <c r="C11964">
        <v>8</v>
      </c>
    </row>
    <row r="11965" spans="1:3" x14ac:dyDescent="0.3">
      <c r="A11965">
        <v>71664</v>
      </c>
      <c r="B11965">
        <v>1</v>
      </c>
      <c r="C11965">
        <v>8</v>
      </c>
    </row>
    <row r="11966" spans="1:3" x14ac:dyDescent="0.3">
      <c r="A11966">
        <v>71747</v>
      </c>
      <c r="B11966">
        <v>1</v>
      </c>
      <c r="C11966">
        <v>8</v>
      </c>
    </row>
    <row r="11967" spans="1:3" x14ac:dyDescent="0.3">
      <c r="A11967">
        <v>71771</v>
      </c>
      <c r="B11967">
        <v>1</v>
      </c>
      <c r="C11967">
        <v>8</v>
      </c>
    </row>
    <row r="11968" spans="1:3" x14ac:dyDescent="0.3">
      <c r="A11968">
        <v>71900</v>
      </c>
      <c r="B11968">
        <v>1</v>
      </c>
      <c r="C11968">
        <v>8</v>
      </c>
    </row>
    <row r="11969" spans="1:3" x14ac:dyDescent="0.3">
      <c r="A11969">
        <v>71977</v>
      </c>
      <c r="B11969">
        <v>1</v>
      </c>
      <c r="C11969">
        <v>8</v>
      </c>
    </row>
    <row r="11970" spans="1:3" x14ac:dyDescent="0.3">
      <c r="A11970">
        <v>72019</v>
      </c>
      <c r="B11970">
        <v>1</v>
      </c>
      <c r="C11970">
        <v>8</v>
      </c>
    </row>
    <row r="11971" spans="1:3" x14ac:dyDescent="0.3">
      <c r="A11971">
        <v>72034</v>
      </c>
      <c r="B11971">
        <v>1</v>
      </c>
      <c r="C11971">
        <v>8</v>
      </c>
    </row>
    <row r="11972" spans="1:3" x14ac:dyDescent="0.3">
      <c r="A11972">
        <v>72164</v>
      </c>
      <c r="B11972">
        <v>1</v>
      </c>
      <c r="C11972">
        <v>8</v>
      </c>
    </row>
    <row r="11973" spans="1:3" x14ac:dyDescent="0.3">
      <c r="A11973">
        <v>72259</v>
      </c>
      <c r="B11973">
        <v>1</v>
      </c>
      <c r="C11973">
        <v>8</v>
      </c>
    </row>
    <row r="11974" spans="1:3" x14ac:dyDescent="0.3">
      <c r="A11974">
        <v>72299</v>
      </c>
      <c r="B11974">
        <v>1</v>
      </c>
      <c r="C11974">
        <v>8</v>
      </c>
    </row>
    <row r="11975" spans="1:3" x14ac:dyDescent="0.3">
      <c r="A11975">
        <v>72470</v>
      </c>
      <c r="B11975">
        <v>1</v>
      </c>
      <c r="C11975">
        <v>8</v>
      </c>
    </row>
    <row r="11976" spans="1:3" x14ac:dyDescent="0.3">
      <c r="A11976">
        <v>72477</v>
      </c>
      <c r="B11976">
        <v>1</v>
      </c>
      <c r="C11976">
        <v>8</v>
      </c>
    </row>
    <row r="11977" spans="1:3" x14ac:dyDescent="0.3">
      <c r="A11977">
        <v>72553</v>
      </c>
      <c r="B11977">
        <v>1</v>
      </c>
      <c r="C11977">
        <v>8</v>
      </c>
    </row>
    <row r="11978" spans="1:3" x14ac:dyDescent="0.3">
      <c r="A11978">
        <v>73059</v>
      </c>
      <c r="B11978">
        <v>1</v>
      </c>
      <c r="C11978">
        <v>8</v>
      </c>
    </row>
    <row r="11979" spans="1:3" x14ac:dyDescent="0.3">
      <c r="A11979">
        <v>73255</v>
      </c>
      <c r="B11979">
        <v>1</v>
      </c>
      <c r="C11979">
        <v>8</v>
      </c>
    </row>
    <row r="11980" spans="1:3" x14ac:dyDescent="0.3">
      <c r="A11980">
        <v>73268</v>
      </c>
      <c r="B11980">
        <v>1</v>
      </c>
      <c r="C11980">
        <v>8</v>
      </c>
    </row>
    <row r="11981" spans="1:3" x14ac:dyDescent="0.3">
      <c r="A11981">
        <v>73290</v>
      </c>
      <c r="B11981">
        <v>1</v>
      </c>
      <c r="C11981">
        <v>8</v>
      </c>
    </row>
    <row r="11982" spans="1:3" x14ac:dyDescent="0.3">
      <c r="A11982">
        <v>73623</v>
      </c>
      <c r="B11982">
        <v>1</v>
      </c>
      <c r="C11982">
        <v>8</v>
      </c>
    </row>
    <row r="11983" spans="1:3" x14ac:dyDescent="0.3">
      <c r="A11983">
        <v>73925</v>
      </c>
      <c r="B11983">
        <v>1</v>
      </c>
      <c r="C11983">
        <v>8</v>
      </c>
    </row>
    <row r="11984" spans="1:3" x14ac:dyDescent="0.3">
      <c r="A11984">
        <v>74063</v>
      </c>
      <c r="B11984">
        <v>1</v>
      </c>
      <c r="C11984">
        <v>8</v>
      </c>
    </row>
    <row r="11985" spans="1:3" x14ac:dyDescent="0.3">
      <c r="A11985">
        <v>74373</v>
      </c>
      <c r="B11985">
        <v>1</v>
      </c>
      <c r="C11985">
        <v>8</v>
      </c>
    </row>
    <row r="11986" spans="1:3" x14ac:dyDescent="0.3">
      <c r="A11986">
        <v>74453</v>
      </c>
      <c r="B11986">
        <v>1</v>
      </c>
      <c r="C11986">
        <v>8</v>
      </c>
    </row>
    <row r="11987" spans="1:3" x14ac:dyDescent="0.3">
      <c r="A11987">
        <v>74478</v>
      </c>
      <c r="B11987">
        <v>1</v>
      </c>
      <c r="C11987">
        <v>8</v>
      </c>
    </row>
    <row r="11988" spans="1:3" x14ac:dyDescent="0.3">
      <c r="A11988">
        <v>74488</v>
      </c>
      <c r="B11988">
        <v>1</v>
      </c>
      <c r="C11988">
        <v>8</v>
      </c>
    </row>
    <row r="11989" spans="1:3" x14ac:dyDescent="0.3">
      <c r="A11989">
        <v>74510</v>
      </c>
      <c r="B11989">
        <v>1</v>
      </c>
      <c r="C11989">
        <v>8</v>
      </c>
    </row>
    <row r="11990" spans="1:3" x14ac:dyDescent="0.3">
      <c r="A11990">
        <v>74552</v>
      </c>
      <c r="B11990">
        <v>1</v>
      </c>
      <c r="C11990">
        <v>8</v>
      </c>
    </row>
    <row r="11991" spans="1:3" x14ac:dyDescent="0.3">
      <c r="A11991">
        <v>74746</v>
      </c>
      <c r="B11991">
        <v>1</v>
      </c>
      <c r="C11991">
        <v>16</v>
      </c>
    </row>
    <row r="11992" spans="1:3" x14ac:dyDescent="0.3">
      <c r="A11992">
        <v>74793</v>
      </c>
      <c r="B11992">
        <v>1</v>
      </c>
      <c r="C11992">
        <v>8</v>
      </c>
    </row>
    <row r="11993" spans="1:3" x14ac:dyDescent="0.3">
      <c r="A11993">
        <v>74794</v>
      </c>
      <c r="B11993">
        <v>1</v>
      </c>
      <c r="C11993">
        <v>8</v>
      </c>
    </row>
    <row r="11994" spans="1:3" x14ac:dyDescent="0.3">
      <c r="A11994">
        <v>74881</v>
      </c>
      <c r="B11994">
        <v>1</v>
      </c>
      <c r="C11994">
        <v>8</v>
      </c>
    </row>
    <row r="11995" spans="1:3" x14ac:dyDescent="0.3">
      <c r="A11995">
        <v>74919</v>
      </c>
      <c r="B11995">
        <v>1</v>
      </c>
      <c r="C11995">
        <v>8</v>
      </c>
    </row>
    <row r="11996" spans="1:3" x14ac:dyDescent="0.3">
      <c r="A11996">
        <v>74952</v>
      </c>
      <c r="B11996">
        <v>1</v>
      </c>
      <c r="C11996">
        <v>8</v>
      </c>
    </row>
    <row r="11997" spans="1:3" x14ac:dyDescent="0.3">
      <c r="A11997">
        <v>74962</v>
      </c>
      <c r="B11997">
        <v>1</v>
      </c>
      <c r="C11997">
        <v>8</v>
      </c>
    </row>
    <row r="11998" spans="1:3" x14ac:dyDescent="0.3">
      <c r="A11998">
        <v>74963</v>
      </c>
      <c r="B11998">
        <v>1</v>
      </c>
      <c r="C11998">
        <v>8</v>
      </c>
    </row>
    <row r="11999" spans="1:3" x14ac:dyDescent="0.3">
      <c r="A11999">
        <v>75052</v>
      </c>
      <c r="B11999">
        <v>1</v>
      </c>
      <c r="C11999">
        <v>8</v>
      </c>
    </row>
    <row r="12000" spans="1:3" x14ac:dyDescent="0.3">
      <c r="A12000">
        <v>75067</v>
      </c>
      <c r="B12000">
        <v>1</v>
      </c>
      <c r="C12000">
        <v>8</v>
      </c>
    </row>
    <row r="12001" spans="1:3" x14ac:dyDescent="0.3">
      <c r="A12001">
        <v>75416</v>
      </c>
      <c r="B12001">
        <v>1</v>
      </c>
      <c r="C12001">
        <v>8</v>
      </c>
    </row>
    <row r="12002" spans="1:3" x14ac:dyDescent="0.3">
      <c r="A12002" s="26">
        <v>75439</v>
      </c>
      <c r="B12002" s="26">
        <v>1</v>
      </c>
      <c r="C12002" s="26">
        <v>8</v>
      </c>
    </row>
    <row r="12003" spans="1:3" x14ac:dyDescent="0.3">
      <c r="A12003">
        <v>75577</v>
      </c>
      <c r="B12003">
        <v>1</v>
      </c>
      <c r="C12003">
        <v>8</v>
      </c>
    </row>
    <row r="12004" spans="1:3" x14ac:dyDescent="0.3">
      <c r="A12004">
        <v>75599</v>
      </c>
      <c r="B12004">
        <v>1</v>
      </c>
      <c r="C12004">
        <v>8</v>
      </c>
    </row>
    <row r="12005" spans="1:3" x14ac:dyDescent="0.3">
      <c r="A12005">
        <v>75600</v>
      </c>
      <c r="B12005">
        <v>1</v>
      </c>
      <c r="C12005">
        <v>8</v>
      </c>
    </row>
    <row r="12006" spans="1:3" x14ac:dyDescent="0.3">
      <c r="A12006">
        <v>75607</v>
      </c>
      <c r="B12006">
        <v>1</v>
      </c>
      <c r="C12006">
        <v>8</v>
      </c>
    </row>
    <row r="12007" spans="1:3" x14ac:dyDescent="0.3">
      <c r="A12007">
        <v>75671</v>
      </c>
      <c r="B12007">
        <v>1</v>
      </c>
      <c r="C12007">
        <v>8</v>
      </c>
    </row>
    <row r="12008" spans="1:3" x14ac:dyDescent="0.3">
      <c r="A12008">
        <v>75691</v>
      </c>
      <c r="B12008">
        <v>1</v>
      </c>
      <c r="C12008">
        <v>8</v>
      </c>
    </row>
    <row r="12009" spans="1:3" x14ac:dyDescent="0.3">
      <c r="A12009">
        <v>75768</v>
      </c>
      <c r="B12009">
        <v>1</v>
      </c>
      <c r="C12009">
        <v>8</v>
      </c>
    </row>
    <row r="12010" spans="1:3" x14ac:dyDescent="0.3">
      <c r="A12010">
        <v>75893</v>
      </c>
      <c r="B12010">
        <v>1</v>
      </c>
      <c r="C12010">
        <v>8</v>
      </c>
    </row>
    <row r="12011" spans="1:3" x14ac:dyDescent="0.3">
      <c r="A12011">
        <v>75930</v>
      </c>
      <c r="B12011">
        <v>1</v>
      </c>
      <c r="C12011">
        <v>8</v>
      </c>
    </row>
    <row r="12012" spans="1:3" x14ac:dyDescent="0.3">
      <c r="A12012">
        <v>75995</v>
      </c>
      <c r="B12012">
        <v>1</v>
      </c>
      <c r="C12012">
        <v>8</v>
      </c>
    </row>
    <row r="12013" spans="1:3" x14ac:dyDescent="0.3">
      <c r="A12013">
        <v>76090</v>
      </c>
      <c r="B12013">
        <v>1</v>
      </c>
      <c r="C12013">
        <v>8</v>
      </c>
    </row>
    <row r="12014" spans="1:3" x14ac:dyDescent="0.3">
      <c r="A12014">
        <v>76135</v>
      </c>
      <c r="B12014">
        <v>2</v>
      </c>
      <c r="C12014">
        <v>16</v>
      </c>
    </row>
    <row r="12015" spans="1:3" x14ac:dyDescent="0.3">
      <c r="A12015">
        <v>76135</v>
      </c>
      <c r="B12015">
        <v>2</v>
      </c>
      <c r="C12015">
        <v>16</v>
      </c>
    </row>
    <row r="12016" spans="1:3" x14ac:dyDescent="0.3">
      <c r="A12016">
        <v>76146</v>
      </c>
      <c r="B12016">
        <v>1</v>
      </c>
      <c r="C12016">
        <v>8</v>
      </c>
    </row>
    <row r="12017" spans="1:3" x14ac:dyDescent="0.3">
      <c r="A12017">
        <v>76159</v>
      </c>
      <c r="B12017">
        <v>1</v>
      </c>
      <c r="C12017">
        <v>8</v>
      </c>
    </row>
    <row r="12018" spans="1:3" x14ac:dyDescent="0.3">
      <c r="A12018">
        <v>76167</v>
      </c>
      <c r="B12018">
        <v>1</v>
      </c>
      <c r="C12018">
        <v>8</v>
      </c>
    </row>
    <row r="12019" spans="1:3" x14ac:dyDescent="0.3">
      <c r="A12019">
        <v>76240</v>
      </c>
      <c r="B12019">
        <v>1</v>
      </c>
      <c r="C12019">
        <v>8</v>
      </c>
    </row>
    <row r="12020" spans="1:3" x14ac:dyDescent="0.3">
      <c r="A12020">
        <v>76279</v>
      </c>
      <c r="B12020">
        <v>1</v>
      </c>
      <c r="C12020">
        <v>8</v>
      </c>
    </row>
    <row r="12021" spans="1:3" x14ac:dyDescent="0.3">
      <c r="A12021">
        <v>76460</v>
      </c>
      <c r="B12021">
        <v>1</v>
      </c>
      <c r="C12021">
        <v>8</v>
      </c>
    </row>
    <row r="12022" spans="1:3" x14ac:dyDescent="0.3">
      <c r="A12022">
        <v>76471</v>
      </c>
      <c r="B12022">
        <v>1</v>
      </c>
      <c r="C12022">
        <v>8</v>
      </c>
    </row>
    <row r="12023" spans="1:3" x14ac:dyDescent="0.3">
      <c r="A12023">
        <v>76704</v>
      </c>
      <c r="B12023">
        <v>1</v>
      </c>
      <c r="C12023">
        <v>8</v>
      </c>
    </row>
    <row r="12024" spans="1:3" x14ac:dyDescent="0.3">
      <c r="A12024">
        <v>76808</v>
      </c>
      <c r="B12024">
        <v>1</v>
      </c>
      <c r="C12024">
        <v>8</v>
      </c>
    </row>
    <row r="12025" spans="1:3" x14ac:dyDescent="0.3">
      <c r="A12025">
        <v>77058</v>
      </c>
      <c r="B12025">
        <v>1</v>
      </c>
      <c r="C12025">
        <v>8</v>
      </c>
    </row>
    <row r="12026" spans="1:3" x14ac:dyDescent="0.3">
      <c r="A12026">
        <v>77154</v>
      </c>
      <c r="B12026">
        <v>1</v>
      </c>
      <c r="C12026">
        <v>8</v>
      </c>
    </row>
    <row r="12027" spans="1:3" x14ac:dyDescent="0.3">
      <c r="A12027">
        <v>77232</v>
      </c>
      <c r="B12027">
        <v>1</v>
      </c>
      <c r="C12027">
        <v>8</v>
      </c>
    </row>
    <row r="12028" spans="1:3" x14ac:dyDescent="0.3">
      <c r="A12028">
        <v>77394</v>
      </c>
      <c r="B12028">
        <v>1</v>
      </c>
      <c r="C12028">
        <v>8</v>
      </c>
    </row>
    <row r="12029" spans="1:3" x14ac:dyDescent="0.3">
      <c r="A12029">
        <v>77407</v>
      </c>
      <c r="B12029">
        <v>1</v>
      </c>
      <c r="C12029">
        <v>8</v>
      </c>
    </row>
    <row r="12030" spans="1:3" x14ac:dyDescent="0.3">
      <c r="A12030">
        <v>77452</v>
      </c>
      <c r="B12030">
        <v>1</v>
      </c>
      <c r="C12030">
        <v>8</v>
      </c>
    </row>
    <row r="12031" spans="1:3" x14ac:dyDescent="0.3">
      <c r="A12031">
        <v>77473</v>
      </c>
      <c r="B12031">
        <v>1</v>
      </c>
      <c r="C12031">
        <v>8</v>
      </c>
    </row>
    <row r="12032" spans="1:3" x14ac:dyDescent="0.3">
      <c r="A12032">
        <v>77630</v>
      </c>
      <c r="B12032">
        <v>1</v>
      </c>
      <c r="C12032">
        <v>8</v>
      </c>
    </row>
    <row r="12033" spans="1:3" x14ac:dyDescent="0.3">
      <c r="A12033">
        <v>77701</v>
      </c>
      <c r="B12033">
        <v>1</v>
      </c>
      <c r="C12033">
        <v>8</v>
      </c>
    </row>
    <row r="12034" spans="1:3" x14ac:dyDescent="0.3">
      <c r="A12034">
        <v>77797</v>
      </c>
      <c r="B12034">
        <v>1</v>
      </c>
      <c r="C12034">
        <v>8</v>
      </c>
    </row>
    <row r="12035" spans="1:3" x14ac:dyDescent="0.3">
      <c r="A12035">
        <v>77912</v>
      </c>
      <c r="B12035">
        <v>1</v>
      </c>
      <c r="C12035">
        <v>8</v>
      </c>
    </row>
    <row r="12036" spans="1:3" x14ac:dyDescent="0.3">
      <c r="A12036">
        <v>77955</v>
      </c>
      <c r="B12036">
        <v>1</v>
      </c>
      <c r="C12036">
        <v>8</v>
      </c>
    </row>
    <row r="12037" spans="1:3" x14ac:dyDescent="0.3">
      <c r="A12037">
        <v>78080</v>
      </c>
      <c r="B12037">
        <v>1</v>
      </c>
      <c r="C12037">
        <v>8</v>
      </c>
    </row>
    <row r="12038" spans="1:3" x14ac:dyDescent="0.3">
      <c r="A12038">
        <v>78121</v>
      </c>
      <c r="B12038">
        <v>1</v>
      </c>
      <c r="C12038">
        <v>8</v>
      </c>
    </row>
    <row r="12039" spans="1:3" x14ac:dyDescent="0.3">
      <c r="A12039">
        <v>78187</v>
      </c>
      <c r="B12039">
        <v>1</v>
      </c>
      <c r="C12039">
        <v>8</v>
      </c>
    </row>
    <row r="12040" spans="1:3" x14ac:dyDescent="0.3">
      <c r="A12040">
        <v>78330</v>
      </c>
      <c r="B12040">
        <v>1</v>
      </c>
      <c r="C12040">
        <v>8</v>
      </c>
    </row>
    <row r="12041" spans="1:3" x14ac:dyDescent="0.3">
      <c r="A12041">
        <v>78379</v>
      </c>
      <c r="B12041">
        <v>1</v>
      </c>
      <c r="C12041">
        <v>8</v>
      </c>
    </row>
    <row r="12042" spans="1:3" x14ac:dyDescent="0.3">
      <c r="A12042">
        <v>78410</v>
      </c>
      <c r="B12042">
        <v>1</v>
      </c>
      <c r="C12042">
        <v>8</v>
      </c>
    </row>
    <row r="12043" spans="1:3" x14ac:dyDescent="0.3">
      <c r="A12043">
        <v>78416</v>
      </c>
      <c r="B12043">
        <v>1</v>
      </c>
      <c r="C12043">
        <v>8</v>
      </c>
    </row>
    <row r="12044" spans="1:3" x14ac:dyDescent="0.3">
      <c r="A12044">
        <v>78436</v>
      </c>
      <c r="B12044">
        <v>1</v>
      </c>
      <c r="C12044">
        <v>8</v>
      </c>
    </row>
    <row r="12045" spans="1:3" x14ac:dyDescent="0.3">
      <c r="A12045">
        <v>78526</v>
      </c>
      <c r="B12045">
        <v>1</v>
      </c>
      <c r="C12045">
        <v>8</v>
      </c>
    </row>
    <row r="12046" spans="1:3" x14ac:dyDescent="0.3">
      <c r="A12046">
        <v>78556</v>
      </c>
      <c r="B12046">
        <v>1</v>
      </c>
      <c r="C12046">
        <v>8</v>
      </c>
    </row>
    <row r="12047" spans="1:3" x14ac:dyDescent="0.3">
      <c r="A12047">
        <v>78803</v>
      </c>
      <c r="B12047">
        <v>1</v>
      </c>
      <c r="C12047">
        <v>8</v>
      </c>
    </row>
    <row r="12048" spans="1:3" x14ac:dyDescent="0.3">
      <c r="A12048">
        <v>78804</v>
      </c>
      <c r="B12048">
        <v>1</v>
      </c>
      <c r="C12048">
        <v>8</v>
      </c>
    </row>
    <row r="12049" spans="1:3" x14ac:dyDescent="0.3">
      <c r="A12049">
        <v>78864</v>
      </c>
      <c r="B12049">
        <v>1</v>
      </c>
      <c r="C12049">
        <v>8</v>
      </c>
    </row>
    <row r="12050" spans="1:3" x14ac:dyDescent="0.3">
      <c r="A12050">
        <v>78953</v>
      </c>
      <c r="B12050">
        <v>1</v>
      </c>
      <c r="C12050">
        <v>8</v>
      </c>
    </row>
    <row r="12051" spans="1:3" x14ac:dyDescent="0.3">
      <c r="A12051">
        <v>78967</v>
      </c>
      <c r="B12051">
        <v>1</v>
      </c>
      <c r="C12051">
        <v>8</v>
      </c>
    </row>
    <row r="12052" spans="1:3" x14ac:dyDescent="0.3">
      <c r="A12052">
        <v>79078</v>
      </c>
      <c r="B12052">
        <v>1</v>
      </c>
      <c r="C12052">
        <v>8</v>
      </c>
    </row>
    <row r="12053" spans="1:3" x14ac:dyDescent="0.3">
      <c r="A12053">
        <v>79099</v>
      </c>
      <c r="B12053">
        <v>1</v>
      </c>
      <c r="C12053">
        <v>8</v>
      </c>
    </row>
    <row r="12054" spans="1:3" x14ac:dyDescent="0.3">
      <c r="A12054">
        <v>79100</v>
      </c>
      <c r="B12054">
        <v>1</v>
      </c>
      <c r="C12054">
        <v>8</v>
      </c>
    </row>
    <row r="12055" spans="1:3" x14ac:dyDescent="0.3">
      <c r="A12055">
        <v>79101</v>
      </c>
      <c r="B12055">
        <v>1</v>
      </c>
      <c r="C12055">
        <v>8</v>
      </c>
    </row>
    <row r="12056" spans="1:3" x14ac:dyDescent="0.3">
      <c r="A12056">
        <v>79127</v>
      </c>
      <c r="B12056">
        <v>1</v>
      </c>
      <c r="C12056">
        <v>8</v>
      </c>
    </row>
    <row r="12057" spans="1:3" x14ac:dyDescent="0.3">
      <c r="A12057">
        <v>79131</v>
      </c>
      <c r="B12057">
        <v>1</v>
      </c>
      <c r="C12057">
        <v>8</v>
      </c>
    </row>
    <row r="12058" spans="1:3" x14ac:dyDescent="0.3">
      <c r="A12058">
        <v>79214</v>
      </c>
      <c r="B12058">
        <v>1</v>
      </c>
      <c r="C12058">
        <v>8</v>
      </c>
    </row>
    <row r="12059" spans="1:3" x14ac:dyDescent="0.3">
      <c r="A12059">
        <v>79216</v>
      </c>
      <c r="B12059">
        <v>1</v>
      </c>
      <c r="C12059">
        <v>8</v>
      </c>
    </row>
    <row r="12060" spans="1:3" x14ac:dyDescent="0.3">
      <c r="A12060">
        <v>79292</v>
      </c>
      <c r="B12060">
        <v>1</v>
      </c>
      <c r="C12060">
        <v>8</v>
      </c>
    </row>
    <row r="12061" spans="1:3" x14ac:dyDescent="0.3">
      <c r="A12061">
        <v>79357</v>
      </c>
      <c r="B12061">
        <v>1</v>
      </c>
      <c r="C12061">
        <v>8</v>
      </c>
    </row>
    <row r="12062" spans="1:3" x14ac:dyDescent="0.3">
      <c r="A12062">
        <v>79421</v>
      </c>
      <c r="B12062">
        <v>1</v>
      </c>
      <c r="C12062">
        <v>8</v>
      </c>
    </row>
    <row r="12063" spans="1:3" x14ac:dyDescent="0.3">
      <c r="A12063">
        <v>79550</v>
      </c>
      <c r="B12063">
        <v>1</v>
      </c>
      <c r="C12063">
        <v>8</v>
      </c>
    </row>
    <row r="12064" spans="1:3" x14ac:dyDescent="0.3">
      <c r="A12064">
        <v>79574</v>
      </c>
      <c r="B12064">
        <v>1</v>
      </c>
      <c r="C12064">
        <v>8</v>
      </c>
    </row>
    <row r="12065" spans="1:3" x14ac:dyDescent="0.3">
      <c r="A12065">
        <v>79636</v>
      </c>
      <c r="B12065">
        <v>1</v>
      </c>
      <c r="C12065">
        <v>8</v>
      </c>
    </row>
    <row r="12066" spans="1:3" x14ac:dyDescent="0.3">
      <c r="A12066">
        <v>79638</v>
      </c>
      <c r="B12066">
        <v>1</v>
      </c>
      <c r="C12066">
        <v>8</v>
      </c>
    </row>
    <row r="12067" spans="1:3" x14ac:dyDescent="0.3">
      <c r="A12067">
        <v>79639</v>
      </c>
      <c r="B12067">
        <v>1</v>
      </c>
      <c r="C12067">
        <v>8</v>
      </c>
    </row>
    <row r="12068" spans="1:3" x14ac:dyDescent="0.3">
      <c r="A12068">
        <v>79735</v>
      </c>
      <c r="B12068">
        <v>1</v>
      </c>
      <c r="C12068">
        <v>8</v>
      </c>
    </row>
    <row r="12069" spans="1:3" x14ac:dyDescent="0.3">
      <c r="A12069">
        <v>79769</v>
      </c>
      <c r="B12069">
        <v>1</v>
      </c>
      <c r="C12069">
        <v>8</v>
      </c>
    </row>
    <row r="12070" spans="1:3" x14ac:dyDescent="0.3">
      <c r="A12070">
        <v>79788</v>
      </c>
      <c r="B12070">
        <v>1</v>
      </c>
      <c r="C12070">
        <v>8</v>
      </c>
    </row>
    <row r="12071" spans="1:3" x14ac:dyDescent="0.3">
      <c r="A12071">
        <v>79797</v>
      </c>
      <c r="B12071">
        <v>1</v>
      </c>
      <c r="C12071">
        <v>8</v>
      </c>
    </row>
    <row r="12072" spans="1:3" x14ac:dyDescent="0.3">
      <c r="A12072">
        <v>79812</v>
      </c>
      <c r="B12072">
        <v>1</v>
      </c>
      <c r="C12072">
        <v>8</v>
      </c>
    </row>
    <row r="12073" spans="1:3" x14ac:dyDescent="0.3">
      <c r="A12073">
        <v>79847</v>
      </c>
      <c r="B12073">
        <v>1</v>
      </c>
      <c r="C12073">
        <v>8</v>
      </c>
    </row>
    <row r="12074" spans="1:3" x14ac:dyDescent="0.3">
      <c r="A12074">
        <v>79967</v>
      </c>
      <c r="B12074">
        <v>1</v>
      </c>
      <c r="C12074">
        <v>8</v>
      </c>
    </row>
    <row r="12075" spans="1:3" x14ac:dyDescent="0.3">
      <c r="A12075">
        <v>80021</v>
      </c>
      <c r="B12075">
        <v>1</v>
      </c>
      <c r="C12075">
        <v>8</v>
      </c>
    </row>
    <row r="12076" spans="1:3" x14ac:dyDescent="0.3">
      <c r="A12076">
        <v>80081</v>
      </c>
      <c r="B12076">
        <v>1</v>
      </c>
      <c r="C12076">
        <v>8</v>
      </c>
    </row>
    <row r="12077" spans="1:3" x14ac:dyDescent="0.3">
      <c r="A12077">
        <v>80113</v>
      </c>
      <c r="B12077">
        <v>1</v>
      </c>
      <c r="C12077">
        <v>8</v>
      </c>
    </row>
    <row r="12078" spans="1:3" x14ac:dyDescent="0.3">
      <c r="A12078">
        <v>80128</v>
      </c>
      <c r="B12078">
        <v>1</v>
      </c>
      <c r="C12078">
        <v>8</v>
      </c>
    </row>
    <row r="12079" spans="1:3" x14ac:dyDescent="0.3">
      <c r="A12079">
        <v>80133</v>
      </c>
      <c r="B12079">
        <v>1</v>
      </c>
      <c r="C12079">
        <v>8</v>
      </c>
    </row>
    <row r="12080" spans="1:3" x14ac:dyDescent="0.3">
      <c r="A12080">
        <v>80150</v>
      </c>
      <c r="B12080">
        <v>1</v>
      </c>
      <c r="C12080">
        <v>8</v>
      </c>
    </row>
    <row r="12081" spans="1:3" x14ac:dyDescent="0.3">
      <c r="A12081">
        <v>80159</v>
      </c>
      <c r="B12081">
        <v>1</v>
      </c>
      <c r="C12081">
        <v>8</v>
      </c>
    </row>
    <row r="12082" spans="1:3" x14ac:dyDescent="0.3">
      <c r="A12082">
        <v>80187</v>
      </c>
      <c r="B12082">
        <v>1</v>
      </c>
      <c r="C12082">
        <v>8</v>
      </c>
    </row>
    <row r="12083" spans="1:3" x14ac:dyDescent="0.3">
      <c r="A12083">
        <v>80280</v>
      </c>
      <c r="B12083">
        <v>1</v>
      </c>
      <c r="C12083">
        <v>8</v>
      </c>
    </row>
    <row r="12084" spans="1:3" x14ac:dyDescent="0.3">
      <c r="A12084">
        <v>80281</v>
      </c>
      <c r="B12084">
        <v>1</v>
      </c>
      <c r="C12084">
        <v>8</v>
      </c>
    </row>
    <row r="12085" spans="1:3" x14ac:dyDescent="0.3">
      <c r="A12085">
        <v>80304</v>
      </c>
      <c r="B12085">
        <v>1</v>
      </c>
      <c r="C12085">
        <v>8</v>
      </c>
    </row>
    <row r="12086" spans="1:3" x14ac:dyDescent="0.3">
      <c r="A12086">
        <v>80376</v>
      </c>
      <c r="B12086">
        <v>1</v>
      </c>
      <c r="C12086">
        <v>8</v>
      </c>
    </row>
    <row r="12087" spans="1:3" x14ac:dyDescent="0.3">
      <c r="A12087">
        <v>80384</v>
      </c>
      <c r="B12087">
        <v>1</v>
      </c>
      <c r="C12087">
        <v>8</v>
      </c>
    </row>
    <row r="12088" spans="1:3" x14ac:dyDescent="0.3">
      <c r="A12088">
        <v>80404</v>
      </c>
      <c r="B12088">
        <v>1</v>
      </c>
      <c r="C12088">
        <v>8</v>
      </c>
    </row>
    <row r="12089" spans="1:3" x14ac:dyDescent="0.3">
      <c r="A12089">
        <v>80420</v>
      </c>
      <c r="B12089">
        <v>1</v>
      </c>
      <c r="C12089">
        <v>8</v>
      </c>
    </row>
    <row r="12090" spans="1:3" x14ac:dyDescent="0.3">
      <c r="A12090">
        <v>80521</v>
      </c>
      <c r="B12090">
        <v>1</v>
      </c>
      <c r="C12090">
        <v>8</v>
      </c>
    </row>
    <row r="12091" spans="1:3" x14ac:dyDescent="0.3">
      <c r="A12091">
        <v>80527</v>
      </c>
      <c r="B12091">
        <v>1</v>
      </c>
      <c r="C12091">
        <v>8</v>
      </c>
    </row>
    <row r="12092" spans="1:3" x14ac:dyDescent="0.3">
      <c r="A12092">
        <v>80528</v>
      </c>
      <c r="B12092">
        <v>1</v>
      </c>
      <c r="C12092">
        <v>8</v>
      </c>
    </row>
    <row r="12093" spans="1:3" x14ac:dyDescent="0.3">
      <c r="A12093">
        <v>80585</v>
      </c>
      <c r="B12093">
        <v>1</v>
      </c>
      <c r="C12093">
        <v>8</v>
      </c>
    </row>
    <row r="12094" spans="1:3" x14ac:dyDescent="0.3">
      <c r="A12094">
        <v>80601</v>
      </c>
      <c r="B12094">
        <v>1</v>
      </c>
      <c r="C12094">
        <v>8</v>
      </c>
    </row>
    <row r="12095" spans="1:3" x14ac:dyDescent="0.3">
      <c r="A12095">
        <v>80618</v>
      </c>
      <c r="B12095">
        <v>1</v>
      </c>
      <c r="C12095">
        <v>8</v>
      </c>
    </row>
    <row r="12096" spans="1:3" x14ac:dyDescent="0.3">
      <c r="A12096">
        <v>80666</v>
      </c>
      <c r="B12096">
        <v>1</v>
      </c>
      <c r="C12096">
        <v>8</v>
      </c>
    </row>
    <row r="12097" spans="1:3" x14ac:dyDescent="0.3">
      <c r="A12097">
        <v>80689</v>
      </c>
      <c r="B12097">
        <v>1</v>
      </c>
      <c r="C12097">
        <v>8</v>
      </c>
    </row>
    <row r="12098" spans="1:3" x14ac:dyDescent="0.3">
      <c r="A12098">
        <v>80690</v>
      </c>
      <c r="B12098">
        <v>1</v>
      </c>
      <c r="C12098">
        <v>8</v>
      </c>
    </row>
    <row r="12099" spans="1:3" x14ac:dyDescent="0.3">
      <c r="A12099">
        <v>80692</v>
      </c>
      <c r="B12099">
        <v>1</v>
      </c>
      <c r="C12099">
        <v>8</v>
      </c>
    </row>
    <row r="12100" spans="1:3" x14ac:dyDescent="0.3">
      <c r="A12100">
        <v>80701</v>
      </c>
      <c r="B12100">
        <v>1</v>
      </c>
      <c r="C12100">
        <v>8</v>
      </c>
    </row>
    <row r="12101" spans="1:3" x14ac:dyDescent="0.3">
      <c r="A12101">
        <v>80702</v>
      </c>
      <c r="B12101">
        <v>1</v>
      </c>
      <c r="C12101">
        <v>8</v>
      </c>
    </row>
    <row r="12102" spans="1:3" x14ac:dyDescent="0.3">
      <c r="A12102">
        <v>80723</v>
      </c>
      <c r="B12102">
        <v>1</v>
      </c>
      <c r="C12102">
        <v>8</v>
      </c>
    </row>
    <row r="12103" spans="1:3" x14ac:dyDescent="0.3">
      <c r="A12103">
        <v>80736</v>
      </c>
      <c r="B12103">
        <v>1</v>
      </c>
      <c r="C12103">
        <v>8</v>
      </c>
    </row>
    <row r="12104" spans="1:3" x14ac:dyDescent="0.3">
      <c r="A12104">
        <v>80757</v>
      </c>
      <c r="B12104">
        <v>1</v>
      </c>
      <c r="C12104">
        <v>8</v>
      </c>
    </row>
    <row r="12105" spans="1:3" x14ac:dyDescent="0.3">
      <c r="A12105">
        <v>80861</v>
      </c>
      <c r="B12105">
        <v>1</v>
      </c>
      <c r="C12105">
        <v>8</v>
      </c>
    </row>
    <row r="12106" spans="1:3" x14ac:dyDescent="0.3">
      <c r="A12106">
        <v>80869</v>
      </c>
      <c r="B12106">
        <v>1</v>
      </c>
      <c r="C12106">
        <v>8</v>
      </c>
    </row>
    <row r="12107" spans="1:3" x14ac:dyDescent="0.3">
      <c r="A12107">
        <v>80873</v>
      </c>
      <c r="B12107">
        <v>1</v>
      </c>
      <c r="C12107">
        <v>8</v>
      </c>
    </row>
    <row r="12108" spans="1:3" x14ac:dyDescent="0.3">
      <c r="A12108">
        <v>80882</v>
      </c>
      <c r="B12108">
        <v>1</v>
      </c>
      <c r="C12108">
        <v>8</v>
      </c>
    </row>
    <row r="12109" spans="1:3" x14ac:dyDescent="0.3">
      <c r="A12109">
        <v>80895</v>
      </c>
      <c r="B12109">
        <v>1</v>
      </c>
      <c r="C12109">
        <v>8</v>
      </c>
    </row>
    <row r="12110" spans="1:3" x14ac:dyDescent="0.3">
      <c r="A12110">
        <v>80908</v>
      </c>
      <c r="B12110">
        <v>1</v>
      </c>
      <c r="C12110">
        <v>8</v>
      </c>
    </row>
    <row r="12111" spans="1:3" x14ac:dyDescent="0.3">
      <c r="A12111">
        <v>80944</v>
      </c>
      <c r="B12111">
        <v>1</v>
      </c>
      <c r="C12111">
        <v>8</v>
      </c>
    </row>
    <row r="12112" spans="1:3" x14ac:dyDescent="0.3">
      <c r="A12112">
        <v>80947</v>
      </c>
      <c r="B12112">
        <v>1</v>
      </c>
      <c r="C12112">
        <v>8</v>
      </c>
    </row>
    <row r="12113" spans="1:3" x14ac:dyDescent="0.3">
      <c r="A12113">
        <v>80965</v>
      </c>
      <c r="B12113">
        <v>1</v>
      </c>
      <c r="C12113">
        <v>8</v>
      </c>
    </row>
    <row r="12114" spans="1:3" x14ac:dyDescent="0.3">
      <c r="A12114">
        <v>81050</v>
      </c>
      <c r="B12114">
        <v>1</v>
      </c>
      <c r="C12114">
        <v>8</v>
      </c>
    </row>
    <row r="12115" spans="1:3" x14ac:dyDescent="0.3">
      <c r="A12115">
        <v>81076</v>
      </c>
      <c r="B12115">
        <v>1</v>
      </c>
      <c r="C12115">
        <v>8</v>
      </c>
    </row>
    <row r="12116" spans="1:3" x14ac:dyDescent="0.3">
      <c r="A12116">
        <v>81153</v>
      </c>
      <c r="B12116">
        <v>1</v>
      </c>
      <c r="C12116">
        <v>8</v>
      </c>
    </row>
    <row r="12117" spans="1:3" x14ac:dyDescent="0.3">
      <c r="A12117">
        <v>81157</v>
      </c>
      <c r="B12117">
        <v>1</v>
      </c>
      <c r="C12117">
        <v>8</v>
      </c>
    </row>
    <row r="12118" spans="1:3" x14ac:dyDescent="0.3">
      <c r="A12118">
        <v>81171</v>
      </c>
      <c r="B12118">
        <v>1</v>
      </c>
      <c r="C12118">
        <v>8</v>
      </c>
    </row>
    <row r="12119" spans="1:3" x14ac:dyDescent="0.3">
      <c r="A12119">
        <v>81172</v>
      </c>
      <c r="B12119">
        <v>1</v>
      </c>
      <c r="C12119">
        <v>8</v>
      </c>
    </row>
    <row r="12120" spans="1:3" x14ac:dyDescent="0.3">
      <c r="A12120">
        <v>81210</v>
      </c>
      <c r="B12120">
        <v>1</v>
      </c>
      <c r="C12120">
        <v>8</v>
      </c>
    </row>
  </sheetData>
  <conditionalFormatting sqref="A11688:A12120 A1:A11600">
    <cfRule type="duplicateValues" dxfId="17" priority="1"/>
  </conditionalFormatting>
  <conditionalFormatting sqref="A11688:A12120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5"/>
  <sheetViews>
    <sheetView workbookViewId="0">
      <pane xSplit="1" ySplit="1" topLeftCell="H765" activePane="bottomRight" state="frozen"/>
      <selection pane="topRight" activeCell="B1" sqref="B1"/>
      <selection pane="bottomLeft" activeCell="A2" sqref="A2"/>
      <selection pane="bottomRight" activeCell="R2" sqref="R2:R784"/>
    </sheetView>
  </sheetViews>
  <sheetFormatPr baseColWidth="10" defaultColWidth="8.88671875" defaultRowHeight="15" customHeight="1" x14ac:dyDescent="0.3"/>
  <cols>
    <col min="1" max="1" width="12.6640625" customWidth="1"/>
    <col min="2" max="12" width="16.5546875" customWidth="1"/>
    <col min="13" max="13" width="16.5546875" style="2" customWidth="1"/>
    <col min="14" max="14" width="16.5546875" style="1" customWidth="1"/>
    <col min="15" max="15" width="12.109375" style="1" customWidth="1"/>
    <col min="16" max="17" width="21.44140625" customWidth="1"/>
    <col min="18" max="18" width="16.44140625" style="9" customWidth="1"/>
  </cols>
  <sheetData>
    <row r="1" spans="1:18" ht="43.2" x14ac:dyDescent="0.3">
      <c r="A1" s="19" t="s">
        <v>49</v>
      </c>
      <c r="B1" s="19" t="s">
        <v>52</v>
      </c>
      <c r="C1" s="19" t="s">
        <v>53</v>
      </c>
      <c r="D1" s="19" t="s">
        <v>54</v>
      </c>
      <c r="E1" s="19" t="s">
        <v>55</v>
      </c>
      <c r="F1" s="19" t="s">
        <v>56</v>
      </c>
      <c r="G1" s="19" t="s">
        <v>57</v>
      </c>
      <c r="H1" s="19" t="s">
        <v>58</v>
      </c>
      <c r="I1" s="19" t="s">
        <v>59</v>
      </c>
      <c r="J1" s="19" t="s">
        <v>60</v>
      </c>
      <c r="K1" s="19" t="s">
        <v>61</v>
      </c>
      <c r="L1" s="19" t="s">
        <v>62</v>
      </c>
      <c r="M1" s="19" t="s">
        <v>63</v>
      </c>
      <c r="N1" s="19" t="s">
        <v>64</v>
      </c>
      <c r="O1" s="19" t="s">
        <v>65</v>
      </c>
      <c r="P1" s="20" t="s">
        <v>66</v>
      </c>
      <c r="Q1" s="20" t="s">
        <v>46</v>
      </c>
      <c r="R1" s="20" t="s">
        <v>12</v>
      </c>
    </row>
    <row r="2" spans="1:18" s="28" customFormat="1" ht="14.4" x14ac:dyDescent="0.3">
      <c r="A2" s="28">
        <v>15190</v>
      </c>
      <c r="B2" s="28" t="s">
        <v>323</v>
      </c>
      <c r="C2" s="28">
        <v>70786438</v>
      </c>
      <c r="D2" s="28" t="s">
        <v>324</v>
      </c>
      <c r="E2" s="28" t="s">
        <v>325</v>
      </c>
      <c r="F2" s="28" t="s">
        <v>326</v>
      </c>
      <c r="G2" s="28" t="s">
        <v>327</v>
      </c>
      <c r="H2" s="28" t="s">
        <v>328</v>
      </c>
      <c r="I2" s="28" t="s">
        <v>329</v>
      </c>
      <c r="J2" s="28" t="s">
        <v>67</v>
      </c>
      <c r="K2" s="28" t="s">
        <v>206</v>
      </c>
      <c r="L2" s="28" t="s">
        <v>206</v>
      </c>
      <c r="M2" s="28">
        <v>5360</v>
      </c>
      <c r="N2" s="29" t="s">
        <v>330</v>
      </c>
      <c r="O2" s="24">
        <f>VLOOKUP(A2,Hoja1!A:C,3,0)</f>
        <v>16</v>
      </c>
      <c r="P2" s="30" t="str">
        <f>VLOOKUP(M2,[1]TIPOLOGIAS!$A:$F,4,0)</f>
        <v>MEDELLIN</v>
      </c>
      <c r="Q2" s="30" t="str">
        <f>VLOOKUP(P2,'BASE TARIFA 2025'!C:D,2,0)</f>
        <v>WOMPI NOROCCIDENTE</v>
      </c>
      <c r="R2" s="31">
        <f>VLOOKUP(P2,'BASE TARIFA 2025'!C:F,4,0)</f>
        <v>15709.5</v>
      </c>
    </row>
    <row r="3" spans="1:18" s="28" customFormat="1" ht="14.4" x14ac:dyDescent="0.3">
      <c r="A3" s="28">
        <v>78376</v>
      </c>
      <c r="B3" s="28" t="s">
        <v>331</v>
      </c>
      <c r="C3" s="28">
        <v>8353513</v>
      </c>
      <c r="D3" s="28" t="s">
        <v>332</v>
      </c>
      <c r="E3" s="28" t="s">
        <v>333</v>
      </c>
      <c r="F3" s="28" t="s">
        <v>334</v>
      </c>
      <c r="G3" s="28" t="s">
        <v>335</v>
      </c>
      <c r="H3" s="28" t="s">
        <v>336</v>
      </c>
      <c r="I3" s="28" t="s">
        <v>337</v>
      </c>
      <c r="J3" s="28" t="s">
        <v>67</v>
      </c>
      <c r="K3" s="28" t="s">
        <v>206</v>
      </c>
      <c r="L3" s="28" t="s">
        <v>206</v>
      </c>
      <c r="M3" s="28">
        <v>5360</v>
      </c>
      <c r="N3" s="29" t="s">
        <v>338</v>
      </c>
      <c r="O3" s="24">
        <f>VLOOKUP(A3,Hoja1!A:C,3,0)</f>
        <v>8</v>
      </c>
      <c r="P3" s="30" t="str">
        <f>VLOOKUP(M3,[1]TIPOLOGIAS!$A:$F,4,0)</f>
        <v>MEDELLIN</v>
      </c>
      <c r="Q3" s="30" t="str">
        <f>VLOOKUP(P3,'BASE TARIFA 2025'!C:D,2,0)</f>
        <v>WOMPI NOROCCIDENTE</v>
      </c>
      <c r="R3" s="31">
        <f>VLOOKUP(P3,'BASE TARIFA 2025'!C:F,4,0)</f>
        <v>15709.5</v>
      </c>
    </row>
    <row r="4" spans="1:18" s="28" customFormat="1" ht="14.4" x14ac:dyDescent="0.3">
      <c r="A4" s="28">
        <v>77534</v>
      </c>
      <c r="B4" s="28" t="s">
        <v>339</v>
      </c>
      <c r="C4" s="28">
        <v>901583748</v>
      </c>
      <c r="D4" s="28" t="s">
        <v>69</v>
      </c>
      <c r="E4" s="28" t="s">
        <v>340</v>
      </c>
      <c r="F4" s="28" t="s">
        <v>341</v>
      </c>
      <c r="G4" s="28" t="s">
        <v>342</v>
      </c>
      <c r="H4" s="28" t="s">
        <v>343</v>
      </c>
      <c r="I4" s="28" t="s">
        <v>344</v>
      </c>
      <c r="J4" s="28" t="s">
        <v>67</v>
      </c>
      <c r="K4" s="28" t="s">
        <v>206</v>
      </c>
      <c r="L4" s="28" t="s">
        <v>206</v>
      </c>
      <c r="M4" s="28">
        <v>5360</v>
      </c>
      <c r="N4" s="29" t="s">
        <v>338</v>
      </c>
      <c r="O4" s="24">
        <f>VLOOKUP(A4,Hoja1!A:C,3,0)</f>
        <v>8</v>
      </c>
      <c r="P4" s="30" t="str">
        <f>VLOOKUP(M4,[1]TIPOLOGIAS!$A:$F,4,0)</f>
        <v>MEDELLIN</v>
      </c>
      <c r="Q4" s="30" t="str">
        <f>VLOOKUP(P4,'BASE TARIFA 2025'!C:D,2,0)</f>
        <v>WOMPI NOROCCIDENTE</v>
      </c>
      <c r="R4" s="31">
        <f>VLOOKUP(P4,'BASE TARIFA 2025'!C:F,4,0)</f>
        <v>15709.5</v>
      </c>
    </row>
    <row r="5" spans="1:18" s="28" customFormat="1" ht="14.4" x14ac:dyDescent="0.3">
      <c r="A5" s="28">
        <v>77399</v>
      </c>
      <c r="B5" s="28" t="s">
        <v>345</v>
      </c>
      <c r="C5" s="28">
        <v>28056870</v>
      </c>
      <c r="D5" s="28" t="s">
        <v>346</v>
      </c>
      <c r="E5" s="28" t="s">
        <v>346</v>
      </c>
      <c r="F5" s="28" t="s">
        <v>347</v>
      </c>
      <c r="G5" s="28" t="s">
        <v>348</v>
      </c>
      <c r="H5" s="28" t="s">
        <v>349</v>
      </c>
      <c r="I5" s="28" t="s">
        <v>350</v>
      </c>
      <c r="J5" s="28" t="s">
        <v>67</v>
      </c>
      <c r="K5" s="28" t="s">
        <v>206</v>
      </c>
      <c r="L5" s="28" t="s">
        <v>206</v>
      </c>
      <c r="M5" s="28">
        <v>5360</v>
      </c>
      <c r="N5" s="29" t="s">
        <v>338</v>
      </c>
      <c r="O5" s="24">
        <f>VLOOKUP(A5,Hoja1!A:C,3,0)</f>
        <v>8</v>
      </c>
      <c r="P5" s="30" t="str">
        <f>VLOOKUP(M5,[1]TIPOLOGIAS!$A:$F,4,0)</f>
        <v>MEDELLIN</v>
      </c>
      <c r="Q5" s="30" t="str">
        <f>VLOOKUP(P5,'BASE TARIFA 2025'!C:D,2,0)</f>
        <v>WOMPI NOROCCIDENTE</v>
      </c>
      <c r="R5" s="31">
        <f>VLOOKUP(P5,'BASE TARIFA 2025'!C:F,4,0)</f>
        <v>15709.5</v>
      </c>
    </row>
    <row r="6" spans="1:18" s="28" customFormat="1" ht="14.4" x14ac:dyDescent="0.3">
      <c r="A6" s="28">
        <v>73721</v>
      </c>
      <c r="B6" s="28" t="s">
        <v>351</v>
      </c>
      <c r="C6" s="28">
        <v>1129508911</v>
      </c>
      <c r="D6" s="28" t="s">
        <v>352</v>
      </c>
      <c r="E6" s="28" t="s">
        <v>352</v>
      </c>
      <c r="F6" s="28" t="s">
        <v>352</v>
      </c>
      <c r="G6" s="28" t="s">
        <v>353</v>
      </c>
      <c r="H6" s="28" t="s">
        <v>354</v>
      </c>
      <c r="I6" s="28" t="s">
        <v>355</v>
      </c>
      <c r="J6" s="28" t="s">
        <v>67</v>
      </c>
      <c r="K6" s="28" t="s">
        <v>206</v>
      </c>
      <c r="L6" s="28" t="s">
        <v>206</v>
      </c>
      <c r="M6" s="28">
        <v>5360</v>
      </c>
      <c r="N6" s="29" t="s">
        <v>338</v>
      </c>
      <c r="O6" s="24">
        <f>VLOOKUP(A6,Hoja1!A:C,3,0)</f>
        <v>8</v>
      </c>
      <c r="P6" s="30" t="str">
        <f>VLOOKUP(M6,[1]TIPOLOGIAS!$A:$F,4,0)</f>
        <v>MEDELLIN</v>
      </c>
      <c r="Q6" s="30" t="str">
        <f>VLOOKUP(P6,'BASE TARIFA 2025'!C:D,2,0)</f>
        <v>WOMPI NOROCCIDENTE</v>
      </c>
      <c r="R6" s="31">
        <f>VLOOKUP(P6,'BASE TARIFA 2025'!C:F,4,0)</f>
        <v>15709.5</v>
      </c>
    </row>
    <row r="7" spans="1:18" s="28" customFormat="1" ht="14.4" x14ac:dyDescent="0.3">
      <c r="A7" s="28">
        <v>72556</v>
      </c>
      <c r="B7" s="28" t="s">
        <v>356</v>
      </c>
      <c r="C7" s="28">
        <v>901340974</v>
      </c>
      <c r="D7" s="28" t="s">
        <v>357</v>
      </c>
      <c r="E7" s="28" t="s">
        <v>358</v>
      </c>
      <c r="F7" s="28" t="s">
        <v>358</v>
      </c>
      <c r="G7" s="28" t="s">
        <v>359</v>
      </c>
      <c r="H7" s="28" t="s">
        <v>360</v>
      </c>
      <c r="I7" s="28" t="s">
        <v>361</v>
      </c>
      <c r="J7" s="28" t="s">
        <v>67</v>
      </c>
      <c r="K7" s="28" t="s">
        <v>206</v>
      </c>
      <c r="L7" s="28" t="s">
        <v>206</v>
      </c>
      <c r="M7" s="28">
        <v>5360</v>
      </c>
      <c r="N7" s="29" t="s">
        <v>362</v>
      </c>
      <c r="O7" s="24">
        <f>VLOOKUP(A7,Hoja1!A:C,3,0)</f>
        <v>8</v>
      </c>
      <c r="P7" s="30" t="str">
        <f>VLOOKUP(M7,[1]TIPOLOGIAS!$A:$F,4,0)</f>
        <v>MEDELLIN</v>
      </c>
      <c r="Q7" s="30" t="str">
        <f>VLOOKUP(P7,'BASE TARIFA 2025'!C:D,2,0)</f>
        <v>WOMPI NOROCCIDENTE</v>
      </c>
      <c r="R7" s="31">
        <f>VLOOKUP(P7,'BASE TARIFA 2025'!C:F,4,0)</f>
        <v>15709.5</v>
      </c>
    </row>
    <row r="8" spans="1:18" s="28" customFormat="1" ht="14.4" x14ac:dyDescent="0.3">
      <c r="A8" s="28">
        <v>44132</v>
      </c>
      <c r="B8" s="28" t="s">
        <v>363</v>
      </c>
      <c r="C8" s="28">
        <v>800046457</v>
      </c>
      <c r="D8" s="28" t="s">
        <v>364</v>
      </c>
      <c r="E8" s="28" t="s">
        <v>365</v>
      </c>
      <c r="F8" s="28" t="s">
        <v>366</v>
      </c>
      <c r="G8" s="28" t="s">
        <v>367</v>
      </c>
      <c r="H8" s="28" t="s">
        <v>166</v>
      </c>
      <c r="I8" s="28" t="s">
        <v>368</v>
      </c>
      <c r="J8" s="28" t="s">
        <v>67</v>
      </c>
      <c r="K8" s="28" t="s">
        <v>206</v>
      </c>
      <c r="L8" s="28" t="s">
        <v>206</v>
      </c>
      <c r="M8" s="28">
        <v>5360</v>
      </c>
      <c r="N8" s="29" t="s">
        <v>338</v>
      </c>
      <c r="O8" s="24">
        <f>VLOOKUP(A8,Hoja1!A:C,3,0)</f>
        <v>8</v>
      </c>
      <c r="P8" s="30" t="str">
        <f>VLOOKUP(M8,[1]TIPOLOGIAS!$A:$F,4,0)</f>
        <v>MEDELLIN</v>
      </c>
      <c r="Q8" s="30" t="str">
        <f>VLOOKUP(P8,'BASE TARIFA 2025'!C:D,2,0)</f>
        <v>WOMPI NOROCCIDENTE</v>
      </c>
      <c r="R8" s="31">
        <f>VLOOKUP(P8,'BASE TARIFA 2025'!C:F,4,0)</f>
        <v>15709.5</v>
      </c>
    </row>
    <row r="9" spans="1:18" s="28" customFormat="1" ht="14.4" x14ac:dyDescent="0.3">
      <c r="A9" s="28">
        <v>46735</v>
      </c>
      <c r="B9" s="28" t="s">
        <v>369</v>
      </c>
      <c r="C9" s="28">
        <v>900872708</v>
      </c>
      <c r="D9" s="28" t="s">
        <v>370</v>
      </c>
      <c r="E9" s="28" t="s">
        <v>371</v>
      </c>
      <c r="F9" s="28" t="s">
        <v>371</v>
      </c>
      <c r="G9" s="28" t="s">
        <v>372</v>
      </c>
      <c r="H9" s="28" t="s">
        <v>373</v>
      </c>
      <c r="I9" s="28" t="s">
        <v>374</v>
      </c>
      <c r="J9" s="28" t="s">
        <v>67</v>
      </c>
      <c r="K9" s="28" t="s">
        <v>206</v>
      </c>
      <c r="L9" s="28" t="s">
        <v>206</v>
      </c>
      <c r="M9" s="28">
        <v>5360</v>
      </c>
      <c r="N9" s="29" t="s">
        <v>362</v>
      </c>
      <c r="O9" s="24">
        <f>VLOOKUP(A9,Hoja1!A:C,3,0)</f>
        <v>8</v>
      </c>
      <c r="P9" s="30" t="str">
        <f>VLOOKUP(M9,[1]TIPOLOGIAS!$A:$F,4,0)</f>
        <v>MEDELLIN</v>
      </c>
      <c r="Q9" s="30" t="str">
        <f>VLOOKUP(P9,'BASE TARIFA 2025'!C:D,2,0)</f>
        <v>WOMPI NOROCCIDENTE</v>
      </c>
      <c r="R9" s="31">
        <f>VLOOKUP(P9,'BASE TARIFA 2025'!C:F,4,0)</f>
        <v>15709.5</v>
      </c>
    </row>
    <row r="10" spans="1:18" s="28" customFormat="1" ht="14.4" x14ac:dyDescent="0.3">
      <c r="A10" s="28">
        <v>44593</v>
      </c>
      <c r="B10" s="28" t="s">
        <v>375</v>
      </c>
      <c r="C10" s="28">
        <v>901340974</v>
      </c>
      <c r="D10" s="28" t="s">
        <v>357</v>
      </c>
      <c r="E10" s="28" t="s">
        <v>376</v>
      </c>
      <c r="F10" s="28" t="s">
        <v>376</v>
      </c>
      <c r="G10" s="28" t="s">
        <v>377</v>
      </c>
      <c r="H10" s="28" t="s">
        <v>378</v>
      </c>
      <c r="I10" s="28" t="s">
        <v>379</v>
      </c>
      <c r="J10" s="28" t="s">
        <v>67</v>
      </c>
      <c r="K10" s="28" t="s">
        <v>206</v>
      </c>
      <c r="L10" s="28" t="s">
        <v>206</v>
      </c>
      <c r="M10" s="28">
        <v>5360</v>
      </c>
      <c r="N10" s="29" t="s">
        <v>330</v>
      </c>
      <c r="O10" s="24">
        <f>VLOOKUP(A10,Hoja1!A:C,3,0)</f>
        <v>16</v>
      </c>
      <c r="P10" s="30" t="str">
        <f>VLOOKUP(M10,[1]TIPOLOGIAS!$A:$F,4,0)</f>
        <v>MEDELLIN</v>
      </c>
      <c r="Q10" s="30" t="str">
        <f>VLOOKUP(P10,'BASE TARIFA 2025'!C:D,2,0)</f>
        <v>WOMPI NOROCCIDENTE</v>
      </c>
      <c r="R10" s="31">
        <f>VLOOKUP(P10,'BASE TARIFA 2025'!C:F,4,0)</f>
        <v>15709.5</v>
      </c>
    </row>
    <row r="11" spans="1:18" s="28" customFormat="1" ht="14.4" x14ac:dyDescent="0.3">
      <c r="A11" s="28">
        <v>33798</v>
      </c>
      <c r="B11" s="28" t="s">
        <v>380</v>
      </c>
      <c r="C11" s="28">
        <v>900014642</v>
      </c>
      <c r="D11" s="28" t="s">
        <v>381</v>
      </c>
      <c r="E11" s="28" t="s">
        <v>382</v>
      </c>
      <c r="F11" s="28" t="s">
        <v>383</v>
      </c>
      <c r="G11" s="28" t="s">
        <v>384</v>
      </c>
      <c r="H11" s="28" t="s">
        <v>385</v>
      </c>
      <c r="I11" s="28" t="s">
        <v>386</v>
      </c>
      <c r="J11" s="28" t="s">
        <v>67</v>
      </c>
      <c r="K11" s="28" t="s">
        <v>206</v>
      </c>
      <c r="L11" s="28" t="s">
        <v>206</v>
      </c>
      <c r="M11" s="28">
        <v>5360</v>
      </c>
      <c r="N11" s="29" t="s">
        <v>362</v>
      </c>
      <c r="O11" s="24">
        <f>VLOOKUP(A11,Hoja1!A:C,3,0)</f>
        <v>8</v>
      </c>
      <c r="P11" s="30" t="str">
        <f>VLOOKUP(M11,[1]TIPOLOGIAS!$A:$F,4,0)</f>
        <v>MEDELLIN</v>
      </c>
      <c r="Q11" s="30" t="str">
        <f>VLOOKUP(P11,'BASE TARIFA 2025'!C:D,2,0)</f>
        <v>WOMPI NOROCCIDENTE</v>
      </c>
      <c r="R11" s="31">
        <f>VLOOKUP(P11,'BASE TARIFA 2025'!C:F,4,0)</f>
        <v>15709.5</v>
      </c>
    </row>
    <row r="12" spans="1:18" s="28" customFormat="1" ht="14.4" x14ac:dyDescent="0.3">
      <c r="A12" s="28">
        <v>37129</v>
      </c>
      <c r="B12" s="28" t="s">
        <v>387</v>
      </c>
      <c r="C12" s="28">
        <v>10183532</v>
      </c>
      <c r="D12" s="28" t="s">
        <v>388</v>
      </c>
      <c r="E12" s="28" t="s">
        <v>389</v>
      </c>
      <c r="F12" s="28" t="s">
        <v>389</v>
      </c>
      <c r="G12" s="28" t="s">
        <v>390</v>
      </c>
      <c r="H12" s="28" t="s">
        <v>391</v>
      </c>
      <c r="I12" s="28" t="s">
        <v>392</v>
      </c>
      <c r="J12" s="28" t="s">
        <v>67</v>
      </c>
      <c r="K12" s="28" t="s">
        <v>206</v>
      </c>
      <c r="L12" s="28" t="s">
        <v>206</v>
      </c>
      <c r="M12" s="28">
        <v>5360</v>
      </c>
      <c r="N12" s="29" t="s">
        <v>338</v>
      </c>
      <c r="O12" s="24">
        <f>VLOOKUP(A12,Hoja1!A:C,3,0)</f>
        <v>16</v>
      </c>
      <c r="P12" s="30" t="str">
        <f>VLOOKUP(M12,[1]TIPOLOGIAS!$A:$F,4,0)</f>
        <v>MEDELLIN</v>
      </c>
      <c r="Q12" s="30" t="str">
        <f>VLOOKUP(P12,'BASE TARIFA 2025'!C:D,2,0)</f>
        <v>WOMPI NOROCCIDENTE</v>
      </c>
      <c r="R12" s="31">
        <f>VLOOKUP(P12,'BASE TARIFA 2025'!C:F,4,0)</f>
        <v>15709.5</v>
      </c>
    </row>
    <row r="13" spans="1:18" s="28" customFormat="1" ht="14.4" x14ac:dyDescent="0.3">
      <c r="A13" s="28">
        <v>34176</v>
      </c>
      <c r="B13" s="28" t="s">
        <v>393</v>
      </c>
      <c r="C13" s="28">
        <v>1037586135</v>
      </c>
      <c r="D13" s="28" t="s">
        <v>394</v>
      </c>
      <c r="E13" s="28" t="s">
        <v>395</v>
      </c>
      <c r="F13" s="28" t="s">
        <v>395</v>
      </c>
      <c r="G13" s="28" t="s">
        <v>396</v>
      </c>
      <c r="H13" s="28" t="s">
        <v>397</v>
      </c>
      <c r="I13" s="28" t="s">
        <v>398</v>
      </c>
      <c r="J13" s="28" t="s">
        <v>67</v>
      </c>
      <c r="K13" s="28" t="s">
        <v>206</v>
      </c>
      <c r="L13" s="28" t="s">
        <v>206</v>
      </c>
      <c r="M13" s="28">
        <v>5360</v>
      </c>
      <c r="N13" s="29" t="s">
        <v>362</v>
      </c>
      <c r="O13" s="24">
        <f>VLOOKUP(A13,Hoja1!A:C,3,0)</f>
        <v>16</v>
      </c>
      <c r="P13" s="30" t="str">
        <f>VLOOKUP(M13,[1]TIPOLOGIAS!$A:$F,4,0)</f>
        <v>MEDELLIN</v>
      </c>
      <c r="Q13" s="30" t="str">
        <f>VLOOKUP(P13,'BASE TARIFA 2025'!C:D,2,0)</f>
        <v>WOMPI NOROCCIDENTE</v>
      </c>
      <c r="R13" s="31">
        <f>VLOOKUP(P13,'BASE TARIFA 2025'!C:F,4,0)</f>
        <v>15709.5</v>
      </c>
    </row>
    <row r="14" spans="1:18" s="28" customFormat="1" ht="14.4" x14ac:dyDescent="0.3">
      <c r="A14" s="28">
        <v>35409</v>
      </c>
      <c r="B14" s="28" t="s">
        <v>399</v>
      </c>
      <c r="C14" s="28">
        <v>1036600007</v>
      </c>
      <c r="D14" s="28" t="s">
        <v>400</v>
      </c>
      <c r="E14" s="28" t="s">
        <v>401</v>
      </c>
      <c r="F14" s="28" t="s">
        <v>401</v>
      </c>
      <c r="G14" s="28" t="s">
        <v>402</v>
      </c>
      <c r="H14" s="28" t="s">
        <v>403</v>
      </c>
      <c r="I14" s="28" t="s">
        <v>404</v>
      </c>
      <c r="J14" s="28" t="s">
        <v>67</v>
      </c>
      <c r="K14" s="28" t="s">
        <v>206</v>
      </c>
      <c r="L14" s="28" t="s">
        <v>206</v>
      </c>
      <c r="M14" s="28">
        <v>5360</v>
      </c>
      <c r="N14" s="29" t="s">
        <v>338</v>
      </c>
      <c r="O14" s="24">
        <f>VLOOKUP(A14,Hoja1!A:C,3,0)</f>
        <v>8</v>
      </c>
      <c r="P14" s="30" t="str">
        <f>VLOOKUP(M14,[1]TIPOLOGIAS!$A:$F,4,0)</f>
        <v>MEDELLIN</v>
      </c>
      <c r="Q14" s="30" t="str">
        <f>VLOOKUP(P14,'BASE TARIFA 2025'!C:D,2,0)</f>
        <v>WOMPI NOROCCIDENTE</v>
      </c>
      <c r="R14" s="31">
        <f>VLOOKUP(P14,'BASE TARIFA 2025'!C:F,4,0)</f>
        <v>15709.5</v>
      </c>
    </row>
    <row r="15" spans="1:18" s="28" customFormat="1" ht="14.4" x14ac:dyDescent="0.3">
      <c r="A15" s="28">
        <v>24500</v>
      </c>
      <c r="B15" s="28" t="s">
        <v>405</v>
      </c>
      <c r="C15" s="28">
        <v>70786438</v>
      </c>
      <c r="D15" s="28" t="s">
        <v>406</v>
      </c>
      <c r="E15" s="28" t="s">
        <v>407</v>
      </c>
      <c r="F15" s="28" t="s">
        <v>408</v>
      </c>
      <c r="G15" s="28" t="s">
        <v>409</v>
      </c>
      <c r="H15" s="28" t="s">
        <v>410</v>
      </c>
      <c r="I15" s="28" t="s">
        <v>411</v>
      </c>
      <c r="J15" s="28" t="s">
        <v>67</v>
      </c>
      <c r="K15" s="28" t="s">
        <v>206</v>
      </c>
      <c r="L15" s="28" t="s">
        <v>206</v>
      </c>
      <c r="M15" s="28">
        <v>5360</v>
      </c>
      <c r="N15" s="29" t="s">
        <v>330</v>
      </c>
      <c r="O15" s="24">
        <f>VLOOKUP(A15,Hoja1!A:C,3,0)</f>
        <v>16</v>
      </c>
      <c r="P15" s="30" t="str">
        <f>VLOOKUP(M15,[1]TIPOLOGIAS!$A:$F,4,0)</f>
        <v>MEDELLIN</v>
      </c>
      <c r="Q15" s="30" t="str">
        <f>VLOOKUP(P15,'BASE TARIFA 2025'!C:D,2,0)</f>
        <v>WOMPI NOROCCIDENTE</v>
      </c>
      <c r="R15" s="31">
        <f>VLOOKUP(P15,'BASE TARIFA 2025'!C:F,4,0)</f>
        <v>15709.5</v>
      </c>
    </row>
    <row r="16" spans="1:18" s="28" customFormat="1" ht="14.4" x14ac:dyDescent="0.3">
      <c r="A16" s="28">
        <v>27731</v>
      </c>
      <c r="B16" s="28" t="s">
        <v>412</v>
      </c>
      <c r="C16" s="28">
        <v>900014642</v>
      </c>
      <c r="D16" s="28" t="s">
        <v>413</v>
      </c>
      <c r="E16" s="28" t="s">
        <v>414</v>
      </c>
      <c r="F16" s="28" t="s">
        <v>414</v>
      </c>
      <c r="G16" s="28" t="s">
        <v>415</v>
      </c>
      <c r="H16" s="28" t="s">
        <v>416</v>
      </c>
      <c r="I16" s="28" t="s">
        <v>417</v>
      </c>
      <c r="J16" s="28" t="s">
        <v>67</v>
      </c>
      <c r="K16" s="28" t="s">
        <v>206</v>
      </c>
      <c r="L16" s="28" t="s">
        <v>206</v>
      </c>
      <c r="M16" s="28">
        <v>5360</v>
      </c>
      <c r="N16" s="29" t="s">
        <v>338</v>
      </c>
      <c r="O16" s="24">
        <f>VLOOKUP(A16,Hoja1!A:C,3,0)</f>
        <v>8</v>
      </c>
      <c r="P16" s="30" t="str">
        <f>VLOOKUP(M16,[1]TIPOLOGIAS!$A:$F,4,0)</f>
        <v>MEDELLIN</v>
      </c>
      <c r="Q16" s="30" t="str">
        <f>VLOOKUP(P16,'BASE TARIFA 2025'!C:D,2,0)</f>
        <v>WOMPI NOROCCIDENTE</v>
      </c>
      <c r="R16" s="31">
        <f>VLOOKUP(P16,'BASE TARIFA 2025'!C:F,4,0)</f>
        <v>15709.5</v>
      </c>
    </row>
    <row r="17" spans="1:18" s="28" customFormat="1" ht="14.4" x14ac:dyDescent="0.3">
      <c r="A17" s="28">
        <v>26969</v>
      </c>
      <c r="B17" s="28" t="s">
        <v>418</v>
      </c>
      <c r="C17" s="28">
        <v>43161222</v>
      </c>
      <c r="D17" s="28" t="s">
        <v>419</v>
      </c>
      <c r="E17" s="28" t="s">
        <v>420</v>
      </c>
      <c r="F17" s="28" t="s">
        <v>420</v>
      </c>
      <c r="G17" s="28" t="s">
        <v>421</v>
      </c>
      <c r="H17" s="28" t="s">
        <v>422</v>
      </c>
      <c r="I17" s="28" t="s">
        <v>423</v>
      </c>
      <c r="J17" s="28" t="s">
        <v>67</v>
      </c>
      <c r="K17" s="28" t="s">
        <v>206</v>
      </c>
      <c r="L17" s="28" t="s">
        <v>206</v>
      </c>
      <c r="M17" s="28">
        <v>5360</v>
      </c>
      <c r="N17" s="29" t="s">
        <v>330</v>
      </c>
      <c r="O17" s="24">
        <f>VLOOKUP(A17,Hoja1!A:C,3,0)</f>
        <v>8</v>
      </c>
      <c r="P17" s="30" t="str">
        <f>VLOOKUP(M17,[1]TIPOLOGIAS!$A:$F,4,0)</f>
        <v>MEDELLIN</v>
      </c>
      <c r="Q17" s="30" t="str">
        <f>VLOOKUP(P17,'BASE TARIFA 2025'!C:D,2,0)</f>
        <v>WOMPI NOROCCIDENTE</v>
      </c>
      <c r="R17" s="31">
        <f>VLOOKUP(P17,'BASE TARIFA 2025'!C:F,4,0)</f>
        <v>15709.5</v>
      </c>
    </row>
    <row r="18" spans="1:18" s="28" customFormat="1" ht="14.4" x14ac:dyDescent="0.3">
      <c r="A18" s="28">
        <v>18551</v>
      </c>
      <c r="B18" s="28" t="s">
        <v>424</v>
      </c>
      <c r="C18" s="28">
        <v>71992351</v>
      </c>
      <c r="D18" s="28" t="s">
        <v>425</v>
      </c>
      <c r="E18" s="28" t="s">
        <v>426</v>
      </c>
      <c r="F18" s="28" t="s">
        <v>426</v>
      </c>
      <c r="G18" s="28" t="s">
        <v>427</v>
      </c>
      <c r="H18" s="28" t="s">
        <v>428</v>
      </c>
      <c r="I18" s="28" t="s">
        <v>429</v>
      </c>
      <c r="J18" s="28" t="s">
        <v>67</v>
      </c>
      <c r="K18" s="28" t="s">
        <v>206</v>
      </c>
      <c r="L18" s="28" t="s">
        <v>206</v>
      </c>
      <c r="M18" s="28">
        <v>5360</v>
      </c>
      <c r="N18" s="29" t="s">
        <v>330</v>
      </c>
      <c r="O18" s="24">
        <f>VLOOKUP(A18,Hoja1!A:C,3,0)</f>
        <v>16</v>
      </c>
      <c r="P18" s="30" t="str">
        <f>VLOOKUP(M18,[1]TIPOLOGIAS!$A:$F,4,0)</f>
        <v>MEDELLIN</v>
      </c>
      <c r="Q18" s="30" t="str">
        <f>VLOOKUP(P18,'BASE TARIFA 2025'!C:D,2,0)</f>
        <v>WOMPI NOROCCIDENTE</v>
      </c>
      <c r="R18" s="31">
        <f>VLOOKUP(P18,'BASE TARIFA 2025'!C:F,4,0)</f>
        <v>15709.5</v>
      </c>
    </row>
    <row r="19" spans="1:18" s="28" customFormat="1" ht="14.4" x14ac:dyDescent="0.3">
      <c r="A19" s="28">
        <v>78777</v>
      </c>
      <c r="B19" s="28" t="s">
        <v>430</v>
      </c>
      <c r="C19" s="28">
        <v>1046398325</v>
      </c>
      <c r="D19" s="28" t="s">
        <v>431</v>
      </c>
      <c r="E19" s="28" t="s">
        <v>431</v>
      </c>
      <c r="G19" s="28" t="s">
        <v>432</v>
      </c>
      <c r="H19" s="28" t="s">
        <v>433</v>
      </c>
      <c r="I19" s="28" t="s">
        <v>434</v>
      </c>
      <c r="J19" s="28" t="s">
        <v>141</v>
      </c>
      <c r="K19" s="28" t="s">
        <v>23</v>
      </c>
      <c r="L19" s="28" t="s">
        <v>23</v>
      </c>
      <c r="M19" s="28">
        <v>8001</v>
      </c>
      <c r="N19" s="29" t="s">
        <v>435</v>
      </c>
      <c r="O19" s="24">
        <f>VLOOKUP(A19,Hoja1!A:C,3,0)</f>
        <v>8</v>
      </c>
      <c r="P19" s="30" t="str">
        <f>VLOOKUP(M19,[1]TIPOLOGIAS!$A:$F,4,0)</f>
        <v>BARRANQUILLA</v>
      </c>
      <c r="Q19" s="30" t="str">
        <f>VLOOKUP(P19,'BASE TARIFA 2025'!C:D,2,0)</f>
        <v>WOMPI COSTA</v>
      </c>
      <c r="R19" s="31">
        <f>VLOOKUP(P19,'BASE TARIFA 2025'!C:F,4,0)</f>
        <v>15709.5</v>
      </c>
    </row>
    <row r="20" spans="1:18" s="28" customFormat="1" ht="14.4" x14ac:dyDescent="0.3">
      <c r="A20" s="28">
        <v>77516</v>
      </c>
      <c r="B20" s="28" t="s">
        <v>436</v>
      </c>
      <c r="C20" s="28">
        <v>1140896804</v>
      </c>
      <c r="D20" s="28" t="s">
        <v>437</v>
      </c>
      <c r="E20" s="28" t="s">
        <v>438</v>
      </c>
      <c r="F20" s="28" t="s">
        <v>437</v>
      </c>
      <c r="G20" s="28" t="s">
        <v>439</v>
      </c>
      <c r="H20" s="28" t="s">
        <v>440</v>
      </c>
      <c r="I20" s="28" t="s">
        <v>441</v>
      </c>
      <c r="J20" s="28" t="s">
        <v>141</v>
      </c>
      <c r="K20" s="28" t="s">
        <v>23</v>
      </c>
      <c r="L20" s="28" t="s">
        <v>23</v>
      </c>
      <c r="M20" s="28">
        <v>8001</v>
      </c>
      <c r="N20" s="29" t="s">
        <v>362</v>
      </c>
      <c r="O20" s="24">
        <f>VLOOKUP(A20,Hoja1!A:C,3,0)</f>
        <v>16</v>
      </c>
      <c r="P20" s="30" t="str">
        <f>VLOOKUP(M20,[1]TIPOLOGIAS!$A:$F,4,0)</f>
        <v>BARRANQUILLA</v>
      </c>
      <c r="Q20" s="30" t="str">
        <f>VLOOKUP(P20,'BASE TARIFA 2025'!C:D,2,0)</f>
        <v>WOMPI COSTA</v>
      </c>
      <c r="R20" s="31">
        <f>VLOOKUP(P20,'BASE TARIFA 2025'!C:F,4,0)</f>
        <v>15709.5</v>
      </c>
    </row>
    <row r="21" spans="1:18" s="28" customFormat="1" ht="14.4" x14ac:dyDescent="0.3">
      <c r="A21" s="28">
        <v>78064</v>
      </c>
      <c r="B21" s="28" t="s">
        <v>442</v>
      </c>
      <c r="C21" s="28">
        <v>8520914</v>
      </c>
      <c r="D21" s="28" t="s">
        <v>443</v>
      </c>
      <c r="E21" s="28" t="s">
        <v>443</v>
      </c>
      <c r="F21" s="28" t="s">
        <v>444</v>
      </c>
      <c r="G21" s="28" t="s">
        <v>445</v>
      </c>
      <c r="H21" s="28" t="s">
        <v>446</v>
      </c>
      <c r="I21" s="28" t="s">
        <v>447</v>
      </c>
      <c r="J21" s="28" t="s">
        <v>141</v>
      </c>
      <c r="K21" s="28" t="s">
        <v>23</v>
      </c>
      <c r="L21" s="28" t="s">
        <v>23</v>
      </c>
      <c r="M21" s="28">
        <v>8001</v>
      </c>
      <c r="N21" s="29" t="s">
        <v>330</v>
      </c>
      <c r="O21" s="24">
        <f>VLOOKUP(A21,Hoja1!A:C,3,0)</f>
        <v>8</v>
      </c>
      <c r="P21" s="30" t="str">
        <f>VLOOKUP(M21,[1]TIPOLOGIAS!$A:$F,4,0)</f>
        <v>BARRANQUILLA</v>
      </c>
      <c r="Q21" s="30" t="str">
        <f>VLOOKUP(P21,'BASE TARIFA 2025'!C:D,2,0)</f>
        <v>WOMPI COSTA</v>
      </c>
      <c r="R21" s="31">
        <f>VLOOKUP(P21,'BASE TARIFA 2025'!C:F,4,0)</f>
        <v>15709.5</v>
      </c>
    </row>
    <row r="22" spans="1:18" s="28" customFormat="1" ht="14.4" x14ac:dyDescent="0.3">
      <c r="A22" s="28">
        <v>77514</v>
      </c>
      <c r="B22" s="28" t="s">
        <v>448</v>
      </c>
      <c r="C22" s="28">
        <v>901526326</v>
      </c>
      <c r="D22" s="28" t="s">
        <v>449</v>
      </c>
      <c r="E22" s="28" t="s">
        <v>450</v>
      </c>
      <c r="F22" s="28" t="s">
        <v>449</v>
      </c>
      <c r="G22" s="28" t="s">
        <v>451</v>
      </c>
      <c r="H22" s="28" t="s">
        <v>452</v>
      </c>
      <c r="I22" s="28" t="s">
        <v>453</v>
      </c>
      <c r="J22" s="28" t="s">
        <v>141</v>
      </c>
      <c r="K22" s="28" t="s">
        <v>23</v>
      </c>
      <c r="L22" s="28" t="s">
        <v>23</v>
      </c>
      <c r="M22" s="28">
        <v>8001</v>
      </c>
      <c r="N22" s="29" t="s">
        <v>330</v>
      </c>
      <c r="O22" s="24">
        <f>VLOOKUP(A22,Hoja1!A:C,3,0)</f>
        <v>16</v>
      </c>
      <c r="P22" s="30" t="str">
        <f>VLOOKUP(M22,[1]TIPOLOGIAS!$A:$F,4,0)</f>
        <v>BARRANQUILLA</v>
      </c>
      <c r="Q22" s="30" t="str">
        <f>VLOOKUP(P22,'BASE TARIFA 2025'!C:D,2,0)</f>
        <v>WOMPI COSTA</v>
      </c>
      <c r="R22" s="31">
        <f>VLOOKUP(P22,'BASE TARIFA 2025'!C:F,4,0)</f>
        <v>15709.5</v>
      </c>
    </row>
    <row r="23" spans="1:18" s="28" customFormat="1" ht="14.4" x14ac:dyDescent="0.3">
      <c r="A23" s="28">
        <v>77194</v>
      </c>
      <c r="B23" s="28" t="s">
        <v>454</v>
      </c>
      <c r="C23" s="28">
        <v>73550509</v>
      </c>
      <c r="D23" s="28" t="s">
        <v>455</v>
      </c>
      <c r="E23" s="28" t="s">
        <v>456</v>
      </c>
      <c r="F23" s="28" t="s">
        <v>457</v>
      </c>
      <c r="G23" s="28" t="s">
        <v>458</v>
      </c>
      <c r="H23" s="28" t="s">
        <v>459</v>
      </c>
      <c r="I23" s="28" t="s">
        <v>460</v>
      </c>
      <c r="J23" s="28" t="s">
        <v>141</v>
      </c>
      <c r="K23" s="28" t="s">
        <v>23</v>
      </c>
      <c r="L23" s="28" t="s">
        <v>23</v>
      </c>
      <c r="M23" s="28">
        <v>8001</v>
      </c>
      <c r="N23" s="29" t="s">
        <v>435</v>
      </c>
      <c r="O23" s="24">
        <f>VLOOKUP(A23,Hoja1!A:C,3,0)</f>
        <v>8</v>
      </c>
      <c r="P23" s="30" t="str">
        <f>VLOOKUP(M23,[1]TIPOLOGIAS!$A:$F,4,0)</f>
        <v>BARRANQUILLA</v>
      </c>
      <c r="Q23" s="30" t="str">
        <f>VLOOKUP(P23,'BASE TARIFA 2025'!C:D,2,0)</f>
        <v>WOMPI COSTA</v>
      </c>
      <c r="R23" s="31">
        <f>VLOOKUP(P23,'BASE TARIFA 2025'!C:F,4,0)</f>
        <v>15709.5</v>
      </c>
    </row>
    <row r="24" spans="1:18" s="28" customFormat="1" ht="14.4" x14ac:dyDescent="0.3">
      <c r="A24" s="28">
        <v>77215</v>
      </c>
      <c r="B24" s="28" t="s">
        <v>461</v>
      </c>
      <c r="C24" s="28">
        <v>8709578</v>
      </c>
      <c r="D24" s="28" t="s">
        <v>462</v>
      </c>
      <c r="E24" s="28" t="s">
        <v>462</v>
      </c>
      <c r="F24" s="28" t="s">
        <v>462</v>
      </c>
      <c r="G24" s="28" t="s">
        <v>463</v>
      </c>
      <c r="H24" s="28" t="s">
        <v>464</v>
      </c>
      <c r="I24" s="28" t="s">
        <v>465</v>
      </c>
      <c r="J24" s="28" t="s">
        <v>141</v>
      </c>
      <c r="K24" s="28" t="s">
        <v>23</v>
      </c>
      <c r="L24" s="28" t="s">
        <v>23</v>
      </c>
      <c r="M24" s="28">
        <v>8001</v>
      </c>
      <c r="N24" s="29" t="s">
        <v>330</v>
      </c>
      <c r="O24" s="24">
        <f>VLOOKUP(A24,Hoja1!A:C,3,0)</f>
        <v>16</v>
      </c>
      <c r="P24" s="30" t="str">
        <f>VLOOKUP(M24,[1]TIPOLOGIAS!$A:$F,4,0)</f>
        <v>BARRANQUILLA</v>
      </c>
      <c r="Q24" s="30" t="str">
        <f>VLOOKUP(P24,'BASE TARIFA 2025'!C:D,2,0)</f>
        <v>WOMPI COSTA</v>
      </c>
      <c r="R24" s="31">
        <f>VLOOKUP(P24,'BASE TARIFA 2025'!C:F,4,0)</f>
        <v>15709.5</v>
      </c>
    </row>
    <row r="25" spans="1:18" s="28" customFormat="1" ht="14.4" x14ac:dyDescent="0.3">
      <c r="A25" s="28">
        <v>77298</v>
      </c>
      <c r="B25" s="28" t="s">
        <v>466</v>
      </c>
      <c r="C25" s="28">
        <v>1143259355</v>
      </c>
      <c r="D25" s="28" t="s">
        <v>467</v>
      </c>
      <c r="E25" s="28" t="s">
        <v>467</v>
      </c>
      <c r="F25" s="28" t="s">
        <v>468</v>
      </c>
      <c r="G25" s="28" t="s">
        <v>469</v>
      </c>
      <c r="H25" s="28" t="s">
        <v>470</v>
      </c>
      <c r="I25" s="28" t="s">
        <v>471</v>
      </c>
      <c r="J25" s="28" t="s">
        <v>141</v>
      </c>
      <c r="K25" s="28" t="s">
        <v>23</v>
      </c>
      <c r="L25" s="28" t="s">
        <v>23</v>
      </c>
      <c r="M25" s="28">
        <v>8001</v>
      </c>
      <c r="N25" s="29" t="s">
        <v>362</v>
      </c>
      <c r="O25" s="24">
        <f>VLOOKUP(A25,Hoja1!A:C,3,0)</f>
        <v>8</v>
      </c>
      <c r="P25" s="30" t="str">
        <f>VLOOKUP(M25,[1]TIPOLOGIAS!$A:$F,4,0)</f>
        <v>BARRANQUILLA</v>
      </c>
      <c r="Q25" s="30" t="str">
        <f>VLOOKUP(P25,'BASE TARIFA 2025'!C:D,2,0)</f>
        <v>WOMPI COSTA</v>
      </c>
      <c r="R25" s="31">
        <f>VLOOKUP(P25,'BASE TARIFA 2025'!C:F,4,0)</f>
        <v>15709.5</v>
      </c>
    </row>
    <row r="26" spans="1:18" s="28" customFormat="1" ht="14.4" x14ac:dyDescent="0.3">
      <c r="A26" s="28">
        <v>76876</v>
      </c>
      <c r="B26" s="28" t="s">
        <v>472</v>
      </c>
      <c r="C26" s="28">
        <v>1042472912</v>
      </c>
      <c r="D26" s="28" t="s">
        <v>473</v>
      </c>
      <c r="E26" s="28" t="s">
        <v>474</v>
      </c>
      <c r="F26" s="28" t="s">
        <v>473</v>
      </c>
      <c r="G26" s="28" t="s">
        <v>475</v>
      </c>
      <c r="H26" s="28" t="s">
        <v>476</v>
      </c>
      <c r="I26" s="28" t="s">
        <v>477</v>
      </c>
      <c r="J26" s="28" t="s">
        <v>141</v>
      </c>
      <c r="K26" s="28" t="s">
        <v>23</v>
      </c>
      <c r="L26" s="28" t="s">
        <v>23</v>
      </c>
      <c r="M26" s="28">
        <v>8001</v>
      </c>
      <c r="N26" s="29" t="s">
        <v>330</v>
      </c>
      <c r="O26" s="24">
        <f>VLOOKUP(A26,Hoja1!A:C,3,0)</f>
        <v>8</v>
      </c>
      <c r="P26" s="30" t="str">
        <f>VLOOKUP(M26,[1]TIPOLOGIAS!$A:$F,4,0)</f>
        <v>BARRANQUILLA</v>
      </c>
      <c r="Q26" s="30" t="str">
        <f>VLOOKUP(P26,'BASE TARIFA 2025'!C:D,2,0)</f>
        <v>WOMPI COSTA</v>
      </c>
      <c r="R26" s="31">
        <f>VLOOKUP(P26,'BASE TARIFA 2025'!C:F,4,0)</f>
        <v>15709.5</v>
      </c>
    </row>
    <row r="27" spans="1:18" s="28" customFormat="1" ht="14.4" x14ac:dyDescent="0.3">
      <c r="A27" s="28">
        <v>74251</v>
      </c>
      <c r="B27" s="28" t="s">
        <v>478</v>
      </c>
      <c r="C27" s="28">
        <v>901449900</v>
      </c>
      <c r="D27" s="28" t="s">
        <v>479</v>
      </c>
      <c r="E27" s="28" t="s">
        <v>480</v>
      </c>
      <c r="F27" s="28" t="s">
        <v>479</v>
      </c>
      <c r="G27" s="28" t="s">
        <v>481</v>
      </c>
      <c r="H27" s="28" t="s">
        <v>482</v>
      </c>
      <c r="I27" s="28" t="s">
        <v>483</v>
      </c>
      <c r="J27" s="28" t="s">
        <v>141</v>
      </c>
      <c r="K27" s="28" t="s">
        <v>23</v>
      </c>
      <c r="L27" s="28" t="s">
        <v>23</v>
      </c>
      <c r="M27" s="28">
        <v>8001</v>
      </c>
      <c r="N27" s="29" t="s">
        <v>330</v>
      </c>
      <c r="O27" s="24">
        <f>VLOOKUP(A27,Hoja1!A:C,3,0)</f>
        <v>8</v>
      </c>
      <c r="P27" s="30" t="str">
        <f>VLOOKUP(M27,[1]TIPOLOGIAS!$A:$F,4,0)</f>
        <v>BARRANQUILLA</v>
      </c>
      <c r="Q27" s="30" t="str">
        <f>VLOOKUP(P27,'BASE TARIFA 2025'!C:D,2,0)</f>
        <v>WOMPI COSTA</v>
      </c>
      <c r="R27" s="31">
        <f>VLOOKUP(P27,'BASE TARIFA 2025'!C:F,4,0)</f>
        <v>15709.5</v>
      </c>
    </row>
    <row r="28" spans="1:18" s="28" customFormat="1" ht="14.4" x14ac:dyDescent="0.3">
      <c r="A28" s="28">
        <v>75412</v>
      </c>
      <c r="B28" s="28" t="s">
        <v>484</v>
      </c>
      <c r="C28" s="28">
        <v>72263142</v>
      </c>
      <c r="D28" s="28" t="s">
        <v>485</v>
      </c>
      <c r="E28" s="28" t="s">
        <v>167</v>
      </c>
      <c r="F28" s="28" t="s">
        <v>485</v>
      </c>
      <c r="G28" s="28" t="s">
        <v>486</v>
      </c>
      <c r="H28" s="28" t="s">
        <v>487</v>
      </c>
      <c r="I28" s="28" t="s">
        <v>488</v>
      </c>
      <c r="J28" s="28" t="s">
        <v>141</v>
      </c>
      <c r="K28" s="28" t="s">
        <v>23</v>
      </c>
      <c r="L28" s="28" t="s">
        <v>23</v>
      </c>
      <c r="M28" s="28">
        <v>8001</v>
      </c>
      <c r="N28" s="29" t="s">
        <v>362</v>
      </c>
      <c r="O28" s="24">
        <f>VLOOKUP(A28,Hoja1!A:C,3,0)</f>
        <v>8</v>
      </c>
      <c r="P28" s="30" t="str">
        <f>VLOOKUP(M28,[1]TIPOLOGIAS!$A:$F,4,0)</f>
        <v>BARRANQUILLA</v>
      </c>
      <c r="Q28" s="30" t="str">
        <f>VLOOKUP(P28,'BASE TARIFA 2025'!C:D,2,0)</f>
        <v>WOMPI COSTA</v>
      </c>
      <c r="R28" s="31">
        <f>VLOOKUP(P28,'BASE TARIFA 2025'!C:F,4,0)</f>
        <v>15709.5</v>
      </c>
    </row>
    <row r="29" spans="1:18" s="28" customFormat="1" ht="14.4" x14ac:dyDescent="0.3">
      <c r="A29" s="28">
        <v>73101</v>
      </c>
      <c r="B29" s="28" t="s">
        <v>489</v>
      </c>
      <c r="C29" s="28">
        <v>1129518575</v>
      </c>
      <c r="D29" s="28" t="s">
        <v>490</v>
      </c>
      <c r="E29" s="28" t="s">
        <v>491</v>
      </c>
      <c r="F29" s="28" t="s">
        <v>491</v>
      </c>
      <c r="G29" s="28" t="s">
        <v>492</v>
      </c>
      <c r="H29" s="28" t="s">
        <v>493</v>
      </c>
      <c r="I29" s="28" t="s">
        <v>494</v>
      </c>
      <c r="J29" s="28" t="s">
        <v>141</v>
      </c>
      <c r="K29" s="28" t="s">
        <v>23</v>
      </c>
      <c r="L29" s="28" t="s">
        <v>23</v>
      </c>
      <c r="M29" s="28">
        <v>8001</v>
      </c>
      <c r="N29" s="29" t="s">
        <v>495</v>
      </c>
      <c r="O29" s="24">
        <f>VLOOKUP(A29,Hoja1!A:C,3,0)</f>
        <v>16</v>
      </c>
      <c r="P29" s="30" t="str">
        <f>VLOOKUP(M29,[1]TIPOLOGIAS!$A:$F,4,0)</f>
        <v>BARRANQUILLA</v>
      </c>
      <c r="Q29" s="30" t="str">
        <f>VLOOKUP(P29,'BASE TARIFA 2025'!C:D,2,0)</f>
        <v>WOMPI COSTA</v>
      </c>
      <c r="R29" s="31">
        <f>VLOOKUP(P29,'BASE TARIFA 2025'!C:F,4,0)</f>
        <v>15709.5</v>
      </c>
    </row>
    <row r="30" spans="1:18" s="28" customFormat="1" ht="14.4" x14ac:dyDescent="0.3">
      <c r="A30" s="28">
        <v>74121</v>
      </c>
      <c r="B30" s="28" t="s">
        <v>496</v>
      </c>
      <c r="C30" s="28">
        <v>1001945227</v>
      </c>
      <c r="D30" s="28" t="s">
        <v>497</v>
      </c>
      <c r="E30" s="28" t="s">
        <v>498</v>
      </c>
      <c r="F30" s="28" t="s">
        <v>498</v>
      </c>
      <c r="G30" s="28" t="s">
        <v>499</v>
      </c>
      <c r="H30" s="28" t="s">
        <v>500</v>
      </c>
      <c r="I30" s="28" t="s">
        <v>501</v>
      </c>
      <c r="J30" s="28" t="s">
        <v>141</v>
      </c>
      <c r="K30" s="28" t="s">
        <v>23</v>
      </c>
      <c r="L30" s="28" t="s">
        <v>23</v>
      </c>
      <c r="M30" s="28">
        <v>8001</v>
      </c>
      <c r="N30" s="29" t="s">
        <v>495</v>
      </c>
      <c r="O30" s="24">
        <f>VLOOKUP(A30,Hoja1!A:C,3,0)</f>
        <v>8</v>
      </c>
      <c r="P30" s="30" t="str">
        <f>VLOOKUP(M30,[1]TIPOLOGIAS!$A:$F,4,0)</f>
        <v>BARRANQUILLA</v>
      </c>
      <c r="Q30" s="30" t="str">
        <f>VLOOKUP(P30,'BASE TARIFA 2025'!C:D,2,0)</f>
        <v>WOMPI COSTA</v>
      </c>
      <c r="R30" s="31">
        <f>VLOOKUP(P30,'BASE TARIFA 2025'!C:F,4,0)</f>
        <v>15709.5</v>
      </c>
    </row>
    <row r="31" spans="1:18" s="28" customFormat="1" ht="14.4" x14ac:dyDescent="0.3">
      <c r="A31" s="28">
        <v>74522</v>
      </c>
      <c r="B31" s="28" t="s">
        <v>502</v>
      </c>
      <c r="C31" s="28">
        <v>901678042</v>
      </c>
      <c r="D31" s="28" t="s">
        <v>503</v>
      </c>
      <c r="E31" s="28" t="s">
        <v>503</v>
      </c>
      <c r="F31" s="28" t="s">
        <v>504</v>
      </c>
      <c r="G31" s="28" t="s">
        <v>505</v>
      </c>
      <c r="H31" s="28" t="s">
        <v>506</v>
      </c>
      <c r="I31" s="28" t="s">
        <v>507</v>
      </c>
      <c r="J31" s="28" t="s">
        <v>141</v>
      </c>
      <c r="K31" s="28" t="s">
        <v>23</v>
      </c>
      <c r="L31" s="28" t="s">
        <v>23</v>
      </c>
      <c r="M31" s="28">
        <v>8001</v>
      </c>
      <c r="N31" s="29" t="s">
        <v>495</v>
      </c>
      <c r="O31" s="24">
        <f>VLOOKUP(A31,Hoja1!A:C,3,0)</f>
        <v>8</v>
      </c>
      <c r="P31" s="30" t="str">
        <f>VLOOKUP(M31,[1]TIPOLOGIAS!$A:$F,4,0)</f>
        <v>BARRANQUILLA</v>
      </c>
      <c r="Q31" s="30" t="str">
        <f>VLOOKUP(P31,'BASE TARIFA 2025'!C:D,2,0)</f>
        <v>WOMPI COSTA</v>
      </c>
      <c r="R31" s="31">
        <f>VLOOKUP(P31,'BASE TARIFA 2025'!C:F,4,0)</f>
        <v>15709.5</v>
      </c>
    </row>
    <row r="32" spans="1:18" s="28" customFormat="1" ht="14.4" x14ac:dyDescent="0.3">
      <c r="A32" s="28">
        <v>69017</v>
      </c>
      <c r="B32" s="28" t="s">
        <v>508</v>
      </c>
      <c r="C32" s="28">
        <v>900774104</v>
      </c>
      <c r="D32" s="28" t="s">
        <v>509</v>
      </c>
      <c r="E32" s="28" t="s">
        <v>69</v>
      </c>
      <c r="F32" s="28" t="s">
        <v>510</v>
      </c>
      <c r="G32" s="28" t="s">
        <v>511</v>
      </c>
      <c r="H32" s="28" t="s">
        <v>512</v>
      </c>
      <c r="I32" s="28" t="s">
        <v>513</v>
      </c>
      <c r="J32" s="28" t="s">
        <v>141</v>
      </c>
      <c r="K32" s="28" t="s">
        <v>23</v>
      </c>
      <c r="L32" s="28" t="s">
        <v>23</v>
      </c>
      <c r="M32" s="28">
        <v>8001</v>
      </c>
      <c r="N32" s="29" t="s">
        <v>435</v>
      </c>
      <c r="O32" s="24">
        <f>VLOOKUP(A32,Hoja1!A:C,3,0)</f>
        <v>8</v>
      </c>
      <c r="P32" s="30" t="str">
        <f>VLOOKUP(M32,[1]TIPOLOGIAS!$A:$F,4,0)</f>
        <v>BARRANQUILLA</v>
      </c>
      <c r="Q32" s="30" t="str">
        <f>VLOOKUP(P32,'BASE TARIFA 2025'!C:D,2,0)</f>
        <v>WOMPI COSTA</v>
      </c>
      <c r="R32" s="31">
        <f>VLOOKUP(P32,'BASE TARIFA 2025'!C:F,4,0)</f>
        <v>15709.5</v>
      </c>
    </row>
    <row r="33" spans="1:18" s="28" customFormat="1" ht="14.4" x14ac:dyDescent="0.3">
      <c r="A33" s="28">
        <v>69991</v>
      </c>
      <c r="B33" s="28" t="s">
        <v>514</v>
      </c>
      <c r="C33" s="28">
        <v>901192464</v>
      </c>
      <c r="D33" s="28" t="s">
        <v>515</v>
      </c>
      <c r="E33" s="28" t="s">
        <v>515</v>
      </c>
      <c r="F33" s="28" t="s">
        <v>515</v>
      </c>
      <c r="G33" s="28" t="s">
        <v>516</v>
      </c>
      <c r="H33" s="28" t="s">
        <v>517</v>
      </c>
      <c r="I33" s="28" t="s">
        <v>518</v>
      </c>
      <c r="J33" s="28" t="s">
        <v>141</v>
      </c>
      <c r="K33" s="28" t="s">
        <v>23</v>
      </c>
      <c r="L33" s="28" t="s">
        <v>23</v>
      </c>
      <c r="M33" s="28">
        <v>8001</v>
      </c>
      <c r="N33" s="29" t="s">
        <v>362</v>
      </c>
      <c r="O33" s="24">
        <f>VLOOKUP(A33,Hoja1!A:C,3,0)</f>
        <v>16</v>
      </c>
      <c r="P33" s="30" t="str">
        <f>VLOOKUP(M33,[1]TIPOLOGIAS!$A:$F,4,0)</f>
        <v>BARRANQUILLA</v>
      </c>
      <c r="Q33" s="30" t="str">
        <f>VLOOKUP(P33,'BASE TARIFA 2025'!C:D,2,0)</f>
        <v>WOMPI COSTA</v>
      </c>
      <c r="R33" s="31">
        <f>VLOOKUP(P33,'BASE TARIFA 2025'!C:F,4,0)</f>
        <v>15709.5</v>
      </c>
    </row>
    <row r="34" spans="1:18" s="28" customFormat="1" ht="14.4" x14ac:dyDescent="0.3">
      <c r="A34" s="28">
        <v>69804</v>
      </c>
      <c r="B34" s="28" t="s">
        <v>519</v>
      </c>
      <c r="C34" s="28">
        <v>800010116</v>
      </c>
      <c r="D34" s="28" t="s">
        <v>520</v>
      </c>
      <c r="E34" s="28" t="s">
        <v>69</v>
      </c>
      <c r="F34" s="28" t="s">
        <v>521</v>
      </c>
      <c r="G34" s="28" t="s">
        <v>522</v>
      </c>
      <c r="H34" s="28" t="s">
        <v>523</v>
      </c>
      <c r="I34" s="28" t="s">
        <v>524</v>
      </c>
      <c r="J34" s="28" t="s">
        <v>141</v>
      </c>
      <c r="K34" s="28" t="s">
        <v>23</v>
      </c>
      <c r="L34" s="28" t="s">
        <v>23</v>
      </c>
      <c r="M34" s="28">
        <v>8001</v>
      </c>
      <c r="N34" s="29" t="s">
        <v>495</v>
      </c>
      <c r="O34" s="24">
        <f>VLOOKUP(A34,Hoja1!A:C,3,0)</f>
        <v>8</v>
      </c>
      <c r="P34" s="30" t="str">
        <f>VLOOKUP(M34,[1]TIPOLOGIAS!$A:$F,4,0)</f>
        <v>BARRANQUILLA</v>
      </c>
      <c r="Q34" s="30" t="str">
        <f>VLOOKUP(P34,'BASE TARIFA 2025'!C:D,2,0)</f>
        <v>WOMPI COSTA</v>
      </c>
      <c r="R34" s="31">
        <f>VLOOKUP(P34,'BASE TARIFA 2025'!C:F,4,0)</f>
        <v>15709.5</v>
      </c>
    </row>
    <row r="35" spans="1:18" s="28" customFormat="1" ht="14.4" x14ac:dyDescent="0.3">
      <c r="A35" s="28">
        <v>69230</v>
      </c>
      <c r="B35" s="28" t="s">
        <v>525</v>
      </c>
      <c r="C35" s="28">
        <v>1045674976</v>
      </c>
      <c r="D35" s="28" t="s">
        <v>526</v>
      </c>
      <c r="E35" s="28" t="s">
        <v>69</v>
      </c>
      <c r="F35" s="28" t="s">
        <v>526</v>
      </c>
      <c r="G35" s="28" t="s">
        <v>527</v>
      </c>
      <c r="H35" s="28" t="s">
        <v>528</v>
      </c>
      <c r="I35" s="28" t="s">
        <v>529</v>
      </c>
      <c r="J35" s="28" t="s">
        <v>67</v>
      </c>
      <c r="K35" s="28" t="s">
        <v>121</v>
      </c>
      <c r="L35" s="28" t="s">
        <v>121</v>
      </c>
      <c r="M35" s="28">
        <v>5400</v>
      </c>
      <c r="N35" s="29" t="s">
        <v>530</v>
      </c>
      <c r="O35" s="24">
        <f>VLOOKUP(A35,Hoja1!A:C,3,0)</f>
        <v>8</v>
      </c>
      <c r="P35" s="30" t="str">
        <f>VLOOKUP(M35,[1]TIPOLOGIAS!$A:$F,4,0)</f>
        <v>MEDELLIN</v>
      </c>
      <c r="Q35" s="30" t="str">
        <f>VLOOKUP(P35,'BASE TARIFA 2025'!C:D,2,0)</f>
        <v>WOMPI NOROCCIDENTE</v>
      </c>
      <c r="R35" s="31">
        <f>VLOOKUP(P35,'BASE TARIFA 2025'!C:F,4,0)</f>
        <v>15709.5</v>
      </c>
    </row>
    <row r="36" spans="1:18" s="28" customFormat="1" ht="14.4" x14ac:dyDescent="0.3">
      <c r="A36" s="28">
        <v>66702</v>
      </c>
      <c r="B36" s="28" t="s">
        <v>531</v>
      </c>
      <c r="C36" s="28">
        <v>1042440613</v>
      </c>
      <c r="D36" s="28" t="s">
        <v>532</v>
      </c>
      <c r="E36" s="28" t="s">
        <v>532</v>
      </c>
      <c r="G36" s="28" t="s">
        <v>533</v>
      </c>
      <c r="H36" s="28" t="s">
        <v>534</v>
      </c>
      <c r="I36" s="28" t="s">
        <v>535</v>
      </c>
      <c r="J36" s="28" t="s">
        <v>73</v>
      </c>
      <c r="K36" s="28" t="s">
        <v>168</v>
      </c>
      <c r="L36" s="28" t="s">
        <v>168</v>
      </c>
      <c r="M36" s="28">
        <v>15051</v>
      </c>
      <c r="N36" s="29" t="s">
        <v>536</v>
      </c>
      <c r="O36" s="24">
        <f>VLOOKUP(A36,Hoja1!A:C,3,0)</f>
        <v>16</v>
      </c>
      <c r="P36" s="30" t="str">
        <f>VLOOKUP(M36,[1]TIPOLOGIAS!$A:$F,4,0)</f>
        <v>TUNJA</v>
      </c>
      <c r="Q36" s="30" t="str">
        <f>VLOOKUP(P36,'BASE TARIFA 2025'!C:D,2,0)</f>
        <v>WOMPI SANTANDERES</v>
      </c>
      <c r="R36" s="31">
        <f>VLOOKUP(P36,'BASE TARIFA 2025'!C:F,4,0)</f>
        <v>28277.100000000002</v>
      </c>
    </row>
    <row r="37" spans="1:18" s="28" customFormat="1" ht="14.4" x14ac:dyDescent="0.3">
      <c r="A37" s="28">
        <v>64402</v>
      </c>
      <c r="B37" s="28" t="s">
        <v>537</v>
      </c>
      <c r="C37" s="28">
        <v>901192464</v>
      </c>
      <c r="D37" s="28" t="s">
        <v>538</v>
      </c>
      <c r="E37" s="28" t="s">
        <v>538</v>
      </c>
      <c r="F37" s="28" t="s">
        <v>538</v>
      </c>
      <c r="G37" s="28" t="s">
        <v>539</v>
      </c>
      <c r="H37" s="28" t="s">
        <v>540</v>
      </c>
      <c r="I37" s="28" t="s">
        <v>541</v>
      </c>
      <c r="J37" s="28" t="s">
        <v>73</v>
      </c>
      <c r="K37" s="28" t="s">
        <v>73</v>
      </c>
      <c r="L37" s="28" t="s">
        <v>73</v>
      </c>
      <c r="M37" s="28">
        <v>15104</v>
      </c>
      <c r="N37" s="29" t="s">
        <v>542</v>
      </c>
      <c r="O37" s="24">
        <f>VLOOKUP(A37,Hoja1!A:C,3,0)</f>
        <v>16</v>
      </c>
      <c r="P37" s="30" t="str">
        <f>VLOOKUP(M37,[1]TIPOLOGIAS!$A:$F,4,0)</f>
        <v>TUNJA</v>
      </c>
      <c r="Q37" s="30" t="str">
        <f>VLOOKUP(P37,'BASE TARIFA 2025'!C:D,2,0)</f>
        <v>WOMPI SANTANDERES</v>
      </c>
      <c r="R37" s="31">
        <f>VLOOKUP(P37,'BASE TARIFA 2025'!C:F,4,0)</f>
        <v>28277.100000000002</v>
      </c>
    </row>
    <row r="38" spans="1:18" s="28" customFormat="1" ht="14.4" x14ac:dyDescent="0.3">
      <c r="A38" s="28">
        <v>63348</v>
      </c>
      <c r="B38" s="28" t="s">
        <v>543</v>
      </c>
      <c r="C38" s="28">
        <v>33172327</v>
      </c>
      <c r="D38" s="28" t="s">
        <v>544</v>
      </c>
      <c r="E38" s="28" t="s">
        <v>544</v>
      </c>
      <c r="F38" s="28" t="s">
        <v>544</v>
      </c>
      <c r="G38" s="28" t="s">
        <v>545</v>
      </c>
      <c r="H38" s="28" t="s">
        <v>546</v>
      </c>
      <c r="I38" s="28" t="s">
        <v>547</v>
      </c>
      <c r="J38" s="28" t="s">
        <v>73</v>
      </c>
      <c r="K38" s="28" t="s">
        <v>73</v>
      </c>
      <c r="L38" s="28" t="s">
        <v>73</v>
      </c>
      <c r="M38" s="28">
        <v>15104</v>
      </c>
      <c r="N38" s="29" t="s">
        <v>542</v>
      </c>
      <c r="O38" s="24">
        <f>VLOOKUP(A38,Hoja1!A:C,3,0)</f>
        <v>8</v>
      </c>
      <c r="P38" s="30" t="str">
        <f>VLOOKUP(M38,[1]TIPOLOGIAS!$A:$F,4,0)</f>
        <v>TUNJA</v>
      </c>
      <c r="Q38" s="30" t="str">
        <f>VLOOKUP(P38,'BASE TARIFA 2025'!C:D,2,0)</f>
        <v>WOMPI SANTANDERES</v>
      </c>
      <c r="R38" s="31">
        <f>VLOOKUP(P38,'BASE TARIFA 2025'!C:F,4,0)</f>
        <v>28277.100000000002</v>
      </c>
    </row>
    <row r="39" spans="1:18" s="28" customFormat="1" ht="14.4" x14ac:dyDescent="0.3">
      <c r="A39" s="28">
        <v>59489</v>
      </c>
      <c r="B39" s="28" t="s">
        <v>548</v>
      </c>
      <c r="C39" s="28">
        <v>8708961</v>
      </c>
      <c r="D39" s="28" t="s">
        <v>549</v>
      </c>
      <c r="E39" s="28" t="s">
        <v>549</v>
      </c>
      <c r="F39" s="28" t="s">
        <v>549</v>
      </c>
      <c r="G39" s="28" t="s">
        <v>550</v>
      </c>
      <c r="H39" s="28" t="s">
        <v>551</v>
      </c>
      <c r="I39" s="28" t="s">
        <v>552</v>
      </c>
      <c r="J39" s="28" t="s">
        <v>73</v>
      </c>
      <c r="K39" s="28" t="s">
        <v>142</v>
      </c>
      <c r="L39" s="28" t="s">
        <v>142</v>
      </c>
      <c r="M39" s="28">
        <v>15176</v>
      </c>
      <c r="N39" s="29" t="s">
        <v>553</v>
      </c>
      <c r="O39" s="24">
        <f>VLOOKUP(A39,Hoja1!A:C,3,0)</f>
        <v>8</v>
      </c>
      <c r="P39" s="30" t="str">
        <f>VLOOKUP(M39,[1]TIPOLOGIAS!$A:$F,4,0)</f>
        <v>TUNJA</v>
      </c>
      <c r="Q39" s="30" t="str">
        <f>VLOOKUP(P39,'BASE TARIFA 2025'!C:D,2,0)</f>
        <v>WOMPI SANTANDERES</v>
      </c>
      <c r="R39" s="31">
        <f>VLOOKUP(P39,'BASE TARIFA 2025'!C:F,4,0)</f>
        <v>28277.100000000002</v>
      </c>
    </row>
    <row r="40" spans="1:18" s="28" customFormat="1" ht="14.4" x14ac:dyDescent="0.3">
      <c r="A40" s="28">
        <v>54423</v>
      </c>
      <c r="B40" s="28" t="s">
        <v>554</v>
      </c>
      <c r="C40" s="28">
        <v>1042440613</v>
      </c>
      <c r="D40" s="28" t="s">
        <v>69</v>
      </c>
      <c r="E40" s="28" t="s">
        <v>555</v>
      </c>
      <c r="F40" s="28" t="s">
        <v>555</v>
      </c>
      <c r="G40" s="28" t="s">
        <v>556</v>
      </c>
      <c r="H40" s="28" t="s">
        <v>557</v>
      </c>
      <c r="I40" s="28" t="s">
        <v>558</v>
      </c>
      <c r="J40" s="28" t="s">
        <v>67</v>
      </c>
      <c r="K40" s="28" t="s">
        <v>559</v>
      </c>
      <c r="L40" s="28" t="s">
        <v>559</v>
      </c>
      <c r="M40" s="28">
        <v>5579</v>
      </c>
      <c r="N40" s="29" t="s">
        <v>560</v>
      </c>
      <c r="O40" s="24">
        <f>VLOOKUP(A40,Hoja1!A:C,3,0)</f>
        <v>8</v>
      </c>
      <c r="P40" s="30" t="str">
        <f>VLOOKUP(M40,[1]TIPOLOGIAS!$A:$F,4,0)</f>
        <v>MEDELLIN</v>
      </c>
      <c r="Q40" s="30" t="str">
        <f>VLOOKUP(P40,'BASE TARIFA 2025'!C:D,2,0)</f>
        <v>WOMPI NOROCCIDENTE</v>
      </c>
      <c r="R40" s="31">
        <f>VLOOKUP(P40,'BASE TARIFA 2025'!C:F,4,0)</f>
        <v>15709.5</v>
      </c>
    </row>
    <row r="41" spans="1:18" s="28" customFormat="1" ht="14.4" x14ac:dyDescent="0.3">
      <c r="A41" s="28">
        <v>80520</v>
      </c>
      <c r="B41" s="28" t="s">
        <v>561</v>
      </c>
      <c r="C41" s="28">
        <v>901820974</v>
      </c>
      <c r="D41" s="28" t="s">
        <v>562</v>
      </c>
      <c r="E41" s="28" t="s">
        <v>563</v>
      </c>
      <c r="F41" s="28" t="s">
        <v>563</v>
      </c>
      <c r="G41" s="28" t="s">
        <v>564</v>
      </c>
      <c r="H41" s="28" t="s">
        <v>565</v>
      </c>
      <c r="I41" s="28" t="s">
        <v>566</v>
      </c>
      <c r="J41" s="28" t="s">
        <v>67</v>
      </c>
      <c r="K41" s="28" t="s">
        <v>559</v>
      </c>
      <c r="L41" s="28" t="s">
        <v>559</v>
      </c>
      <c r="M41" s="28">
        <v>5579</v>
      </c>
      <c r="N41" s="29" t="s">
        <v>560</v>
      </c>
      <c r="O41" s="24">
        <f>VLOOKUP(A41,Hoja1!A:C,3,0)</f>
        <v>8</v>
      </c>
      <c r="P41" s="30" t="str">
        <f>VLOOKUP(M41,[1]TIPOLOGIAS!$A:$F,4,0)</f>
        <v>MEDELLIN</v>
      </c>
      <c r="Q41" s="30" t="str">
        <f>VLOOKUP(P41,'BASE TARIFA 2025'!C:D,2,0)</f>
        <v>WOMPI NOROCCIDENTE</v>
      </c>
      <c r="R41" s="31">
        <f>VLOOKUP(P41,'BASE TARIFA 2025'!C:F,4,0)</f>
        <v>15709.5</v>
      </c>
    </row>
    <row r="42" spans="1:18" s="28" customFormat="1" ht="14.4" x14ac:dyDescent="0.3">
      <c r="A42" s="28">
        <v>78900</v>
      </c>
      <c r="B42" s="28" t="s">
        <v>567</v>
      </c>
      <c r="C42" s="28">
        <v>1007207649</v>
      </c>
      <c r="D42" s="28" t="s">
        <v>69</v>
      </c>
      <c r="E42" s="28" t="s">
        <v>568</v>
      </c>
      <c r="F42" s="28" t="s">
        <v>568</v>
      </c>
      <c r="G42" s="28" t="s">
        <v>569</v>
      </c>
      <c r="H42" s="28" t="s">
        <v>570</v>
      </c>
      <c r="I42" s="28" t="s">
        <v>571</v>
      </c>
      <c r="J42" s="28" t="s">
        <v>67</v>
      </c>
      <c r="K42" s="28" t="s">
        <v>559</v>
      </c>
      <c r="L42" s="28" t="s">
        <v>559</v>
      </c>
      <c r="M42" s="28">
        <v>5579</v>
      </c>
      <c r="N42" s="29" t="s">
        <v>530</v>
      </c>
      <c r="O42" s="24">
        <f>VLOOKUP(A42,Hoja1!A:C,3,0)</f>
        <v>8</v>
      </c>
      <c r="P42" s="30" t="str">
        <f>VLOOKUP(M42,[1]TIPOLOGIAS!$A:$F,4,0)</f>
        <v>MEDELLIN</v>
      </c>
      <c r="Q42" s="30" t="str">
        <f>VLOOKUP(P42,'BASE TARIFA 2025'!C:D,2,0)</f>
        <v>WOMPI NOROCCIDENTE</v>
      </c>
      <c r="R42" s="31">
        <f>VLOOKUP(P42,'BASE TARIFA 2025'!C:F,4,0)</f>
        <v>15709.5</v>
      </c>
    </row>
    <row r="43" spans="1:18" s="28" customFormat="1" ht="14.4" x14ac:dyDescent="0.3">
      <c r="A43" s="28">
        <v>10182</v>
      </c>
      <c r="B43" s="28" t="s">
        <v>572</v>
      </c>
      <c r="C43" s="28">
        <v>7218435</v>
      </c>
      <c r="D43" s="28" t="s">
        <v>573</v>
      </c>
      <c r="E43" s="28" t="s">
        <v>573</v>
      </c>
      <c r="F43" s="28" t="s">
        <v>573</v>
      </c>
      <c r="G43" s="28" t="s">
        <v>574</v>
      </c>
      <c r="H43" s="28" t="s">
        <v>575</v>
      </c>
      <c r="I43" s="28" t="s">
        <v>576</v>
      </c>
      <c r="J43" s="28" t="s">
        <v>67</v>
      </c>
      <c r="K43" s="28" t="s">
        <v>559</v>
      </c>
      <c r="L43" s="28" t="s">
        <v>559</v>
      </c>
      <c r="M43" s="28">
        <v>5579</v>
      </c>
      <c r="N43" s="29" t="s">
        <v>530</v>
      </c>
      <c r="O43" s="24" t="e">
        <f>VLOOKUP(A43,Hoja1!A:C,3,0)</f>
        <v>#N/A</v>
      </c>
      <c r="P43" s="30" t="str">
        <f>VLOOKUP(M43,[1]TIPOLOGIAS!$A:$F,4,0)</f>
        <v>MEDELLIN</v>
      </c>
      <c r="Q43" s="30" t="str">
        <f>VLOOKUP(P43,'BASE TARIFA 2025'!C:D,2,0)</f>
        <v>WOMPI NOROCCIDENTE</v>
      </c>
      <c r="R43" s="31">
        <f>VLOOKUP(P43,'BASE TARIFA 2025'!C:F,4,0)</f>
        <v>15709.5</v>
      </c>
    </row>
    <row r="44" spans="1:18" s="28" customFormat="1" ht="14.4" x14ac:dyDescent="0.3">
      <c r="A44" s="28">
        <v>39438</v>
      </c>
      <c r="B44" s="28" t="s">
        <v>577</v>
      </c>
      <c r="C44" s="28">
        <v>7218435</v>
      </c>
      <c r="D44" s="28" t="s">
        <v>69</v>
      </c>
      <c r="E44" s="28" t="s">
        <v>578</v>
      </c>
      <c r="F44" s="28" t="s">
        <v>578</v>
      </c>
      <c r="G44" s="28" t="s">
        <v>579</v>
      </c>
      <c r="H44" s="28" t="s">
        <v>580</v>
      </c>
      <c r="I44" s="28" t="s">
        <v>581</v>
      </c>
      <c r="J44" s="28" t="s">
        <v>67</v>
      </c>
      <c r="K44" s="28" t="s">
        <v>559</v>
      </c>
      <c r="L44" s="28" t="s">
        <v>559</v>
      </c>
      <c r="M44" s="28">
        <v>5579</v>
      </c>
      <c r="N44" s="29" t="s">
        <v>582</v>
      </c>
      <c r="O44" s="24" t="e">
        <f>VLOOKUP(A44,Hoja1!A:C,3,0)</f>
        <v>#N/A</v>
      </c>
      <c r="P44" s="30" t="str">
        <f>VLOOKUP(M44,[1]TIPOLOGIAS!$A:$F,4,0)</f>
        <v>MEDELLIN</v>
      </c>
      <c r="Q44" s="30" t="str">
        <f>VLOOKUP(P44,'BASE TARIFA 2025'!C:D,2,0)</f>
        <v>WOMPI NOROCCIDENTE</v>
      </c>
      <c r="R44" s="31">
        <f>VLOOKUP(P44,'BASE TARIFA 2025'!C:F,4,0)</f>
        <v>15709.5</v>
      </c>
    </row>
    <row r="45" spans="1:18" s="28" customFormat="1" ht="14.4" x14ac:dyDescent="0.3">
      <c r="A45" s="28">
        <v>71811</v>
      </c>
      <c r="B45" s="28" t="s">
        <v>583</v>
      </c>
      <c r="C45" s="28">
        <v>46383377</v>
      </c>
      <c r="D45" s="28" t="s">
        <v>584</v>
      </c>
      <c r="E45" s="28" t="s">
        <v>585</v>
      </c>
      <c r="F45" s="28" t="s">
        <v>585</v>
      </c>
      <c r="G45" s="28" t="s">
        <v>586</v>
      </c>
      <c r="H45" s="28" t="s">
        <v>587</v>
      </c>
      <c r="I45" s="28" t="s">
        <v>588</v>
      </c>
      <c r="J45" s="28" t="s">
        <v>73</v>
      </c>
      <c r="K45" s="28" t="s">
        <v>33</v>
      </c>
      <c r="L45" s="28" t="s">
        <v>33</v>
      </c>
      <c r="M45" s="28">
        <v>15001</v>
      </c>
      <c r="N45" s="29" t="s">
        <v>589</v>
      </c>
      <c r="O45" s="24" t="e">
        <f>VLOOKUP(A45,Hoja1!A:C,3,0)</f>
        <v>#N/A</v>
      </c>
      <c r="P45" s="30" t="str">
        <f>VLOOKUP(M45,[1]TIPOLOGIAS!$A:$F,4,0)</f>
        <v>TUNJA</v>
      </c>
      <c r="Q45" s="30" t="str">
        <f>VLOOKUP(P45,'BASE TARIFA 2025'!C:D,2,0)</f>
        <v>WOMPI SANTANDERES</v>
      </c>
      <c r="R45" s="31">
        <f>VLOOKUP(P45,'BASE TARIFA 2025'!C:F,4,0)</f>
        <v>28277.100000000002</v>
      </c>
    </row>
    <row r="46" spans="1:18" s="28" customFormat="1" ht="14.4" x14ac:dyDescent="0.3">
      <c r="A46" s="28">
        <v>51286</v>
      </c>
      <c r="B46" s="28" t="s">
        <v>590</v>
      </c>
      <c r="C46" s="28">
        <v>1143135432</v>
      </c>
      <c r="D46" s="28" t="s">
        <v>591</v>
      </c>
      <c r="E46" s="28" t="s">
        <v>592</v>
      </c>
      <c r="F46" s="28" t="s">
        <v>592</v>
      </c>
      <c r="G46" s="28" t="s">
        <v>593</v>
      </c>
      <c r="H46" s="28" t="s">
        <v>594</v>
      </c>
      <c r="I46" s="28" t="s">
        <v>595</v>
      </c>
      <c r="J46" s="28" t="s">
        <v>73</v>
      </c>
      <c r="K46" s="28" t="s">
        <v>33</v>
      </c>
      <c r="L46" s="28" t="s">
        <v>33</v>
      </c>
      <c r="M46" s="28">
        <v>15001</v>
      </c>
      <c r="N46" s="29" t="s">
        <v>536</v>
      </c>
      <c r="O46" s="24">
        <f>VLOOKUP(A46,Hoja1!A:C,3,0)</f>
        <v>8</v>
      </c>
      <c r="P46" s="30" t="str">
        <f>VLOOKUP(M46,[1]TIPOLOGIAS!$A:$F,4,0)</f>
        <v>TUNJA</v>
      </c>
      <c r="Q46" s="30" t="str">
        <f>VLOOKUP(P46,'BASE TARIFA 2025'!C:D,2,0)</f>
        <v>WOMPI SANTANDERES</v>
      </c>
      <c r="R46" s="31">
        <f>VLOOKUP(P46,'BASE TARIFA 2025'!C:F,4,0)</f>
        <v>28277.100000000002</v>
      </c>
    </row>
    <row r="47" spans="1:18" s="28" customFormat="1" ht="14.4" x14ac:dyDescent="0.3">
      <c r="A47" s="28">
        <v>50827</v>
      </c>
      <c r="B47" s="28" t="s">
        <v>596</v>
      </c>
      <c r="C47" s="28">
        <v>32836762</v>
      </c>
      <c r="D47" s="28" t="s">
        <v>597</v>
      </c>
      <c r="E47" s="28" t="s">
        <v>597</v>
      </c>
      <c r="F47" s="28" t="s">
        <v>597</v>
      </c>
      <c r="G47" s="28" t="s">
        <v>598</v>
      </c>
      <c r="H47" s="28" t="s">
        <v>599</v>
      </c>
      <c r="I47" s="28" t="s">
        <v>600</v>
      </c>
      <c r="J47" s="28" t="s">
        <v>73</v>
      </c>
      <c r="K47" s="28" t="s">
        <v>33</v>
      </c>
      <c r="L47" s="28" t="s">
        <v>33</v>
      </c>
      <c r="M47" s="28">
        <v>15001</v>
      </c>
      <c r="N47" s="29" t="s">
        <v>589</v>
      </c>
      <c r="O47" s="24">
        <f>VLOOKUP(A47,Hoja1!A:C,3,0)</f>
        <v>16</v>
      </c>
      <c r="P47" s="30" t="str">
        <f>VLOOKUP(M47,[1]TIPOLOGIAS!$A:$F,4,0)</f>
        <v>TUNJA</v>
      </c>
      <c r="Q47" s="30" t="str">
        <f>VLOOKUP(P47,'BASE TARIFA 2025'!C:D,2,0)</f>
        <v>WOMPI SANTANDERES</v>
      </c>
      <c r="R47" s="31">
        <f>VLOOKUP(P47,'BASE TARIFA 2025'!C:F,4,0)</f>
        <v>28277.100000000002</v>
      </c>
    </row>
    <row r="48" spans="1:18" s="28" customFormat="1" ht="14.4" x14ac:dyDescent="0.3">
      <c r="A48" s="28">
        <v>51688</v>
      </c>
      <c r="B48" s="28" t="s">
        <v>601</v>
      </c>
      <c r="C48" s="28">
        <v>32869593</v>
      </c>
      <c r="D48" s="28" t="s">
        <v>602</v>
      </c>
      <c r="E48" s="28" t="s">
        <v>603</v>
      </c>
      <c r="F48" s="28" t="s">
        <v>603</v>
      </c>
      <c r="G48" s="28" t="s">
        <v>604</v>
      </c>
      <c r="H48" s="28" t="s">
        <v>605</v>
      </c>
      <c r="I48" s="28" t="s">
        <v>606</v>
      </c>
      <c r="J48" s="28" t="s">
        <v>73</v>
      </c>
      <c r="K48" s="28" t="s">
        <v>33</v>
      </c>
      <c r="L48" s="28" t="s">
        <v>33</v>
      </c>
      <c r="M48" s="28">
        <v>15001</v>
      </c>
      <c r="N48" s="29" t="s">
        <v>589</v>
      </c>
      <c r="O48" s="24">
        <f>VLOOKUP(A48,Hoja1!A:C,3,0)</f>
        <v>8</v>
      </c>
      <c r="P48" s="30" t="str">
        <f>VLOOKUP(M48,[1]TIPOLOGIAS!$A:$F,4,0)</f>
        <v>TUNJA</v>
      </c>
      <c r="Q48" s="30" t="str">
        <f>VLOOKUP(P48,'BASE TARIFA 2025'!C:D,2,0)</f>
        <v>WOMPI SANTANDERES</v>
      </c>
      <c r="R48" s="31">
        <f>VLOOKUP(P48,'BASE TARIFA 2025'!C:F,4,0)</f>
        <v>28277.100000000002</v>
      </c>
    </row>
    <row r="49" spans="1:18" s="28" customFormat="1" ht="14.4" x14ac:dyDescent="0.3">
      <c r="A49" s="28">
        <v>50447</v>
      </c>
      <c r="B49" s="28" t="s">
        <v>607</v>
      </c>
      <c r="C49" s="28">
        <v>900537068</v>
      </c>
      <c r="D49" s="28" t="s">
        <v>608</v>
      </c>
      <c r="E49" s="28" t="s">
        <v>609</v>
      </c>
      <c r="F49" s="28" t="s">
        <v>609</v>
      </c>
      <c r="G49" s="28" t="s">
        <v>610</v>
      </c>
      <c r="H49" s="28" t="s">
        <v>611</v>
      </c>
      <c r="I49" s="28" t="s">
        <v>612</v>
      </c>
      <c r="J49" s="28" t="s">
        <v>67</v>
      </c>
      <c r="K49" s="28" t="s">
        <v>206</v>
      </c>
      <c r="L49" s="28" t="s">
        <v>206</v>
      </c>
      <c r="M49" s="28">
        <v>5360</v>
      </c>
      <c r="N49" s="29" t="s">
        <v>589</v>
      </c>
      <c r="O49" s="24">
        <f>VLOOKUP(A49,Hoja1!A:C,3,0)</f>
        <v>8</v>
      </c>
      <c r="P49" s="30" t="str">
        <f>VLOOKUP(M49,[1]TIPOLOGIAS!$A:$F,4,0)</f>
        <v>MEDELLIN</v>
      </c>
      <c r="Q49" s="30" t="str">
        <f>VLOOKUP(P49,'BASE TARIFA 2025'!C:D,2,0)</f>
        <v>WOMPI NOROCCIDENTE</v>
      </c>
      <c r="R49" s="31">
        <f>VLOOKUP(P49,'BASE TARIFA 2025'!C:F,4,0)</f>
        <v>15709.5</v>
      </c>
    </row>
    <row r="50" spans="1:18" s="28" customFormat="1" ht="14.4" x14ac:dyDescent="0.3">
      <c r="A50" s="28">
        <v>46935</v>
      </c>
      <c r="B50" s="28" t="s">
        <v>613</v>
      </c>
      <c r="C50" s="28">
        <v>72238454</v>
      </c>
      <c r="D50" s="28" t="s">
        <v>614</v>
      </c>
      <c r="E50" s="28" t="s">
        <v>615</v>
      </c>
      <c r="F50" s="28" t="s">
        <v>615</v>
      </c>
      <c r="G50" s="28" t="s">
        <v>616</v>
      </c>
      <c r="H50" s="28" t="s">
        <v>617</v>
      </c>
      <c r="I50" s="28" t="s">
        <v>618</v>
      </c>
      <c r="J50" s="28" t="s">
        <v>67</v>
      </c>
      <c r="K50" s="28" t="s">
        <v>206</v>
      </c>
      <c r="L50" s="28" t="s">
        <v>206</v>
      </c>
      <c r="M50" s="28">
        <v>5360</v>
      </c>
      <c r="N50" s="29" t="s">
        <v>536</v>
      </c>
      <c r="O50" s="24">
        <f>VLOOKUP(A50,Hoja1!A:C,3,0)</f>
        <v>8</v>
      </c>
      <c r="P50" s="30" t="str">
        <f>VLOOKUP(M50,[1]TIPOLOGIAS!$A:$F,4,0)</f>
        <v>MEDELLIN</v>
      </c>
      <c r="Q50" s="30" t="str">
        <f>VLOOKUP(P50,'BASE TARIFA 2025'!C:D,2,0)</f>
        <v>WOMPI NOROCCIDENTE</v>
      </c>
      <c r="R50" s="31">
        <f>VLOOKUP(P50,'BASE TARIFA 2025'!C:F,4,0)</f>
        <v>15709.5</v>
      </c>
    </row>
    <row r="51" spans="1:18" s="28" customFormat="1" ht="14.4" x14ac:dyDescent="0.3">
      <c r="A51" s="28">
        <v>43972</v>
      </c>
      <c r="B51" s="28" t="s">
        <v>619</v>
      </c>
      <c r="C51" s="28">
        <v>900723573</v>
      </c>
      <c r="D51" s="28" t="s">
        <v>620</v>
      </c>
      <c r="E51" s="28" t="s">
        <v>621</v>
      </c>
      <c r="F51" s="28" t="s">
        <v>621</v>
      </c>
      <c r="G51" s="28" t="s">
        <v>622</v>
      </c>
      <c r="H51" s="28" t="s">
        <v>623</v>
      </c>
      <c r="I51" s="28" t="s">
        <v>624</v>
      </c>
      <c r="J51" s="28" t="s">
        <v>67</v>
      </c>
      <c r="K51" s="28" t="s">
        <v>206</v>
      </c>
      <c r="L51" s="28" t="s">
        <v>206</v>
      </c>
      <c r="M51" s="28">
        <v>5360</v>
      </c>
      <c r="N51" s="29" t="s">
        <v>589</v>
      </c>
      <c r="O51" s="24">
        <f>VLOOKUP(A51,Hoja1!A:C,3,0)</f>
        <v>8</v>
      </c>
      <c r="P51" s="30" t="str">
        <f>VLOOKUP(M51,[1]TIPOLOGIAS!$A:$F,4,0)</f>
        <v>MEDELLIN</v>
      </c>
      <c r="Q51" s="30" t="str">
        <f>VLOOKUP(P51,'BASE TARIFA 2025'!C:D,2,0)</f>
        <v>WOMPI NOROCCIDENTE</v>
      </c>
      <c r="R51" s="31">
        <f>VLOOKUP(P51,'BASE TARIFA 2025'!C:F,4,0)</f>
        <v>15709.5</v>
      </c>
    </row>
    <row r="52" spans="1:18" s="28" customFormat="1" ht="14.4" x14ac:dyDescent="0.3">
      <c r="A52" s="28">
        <v>37719</v>
      </c>
      <c r="B52" s="28" t="s">
        <v>625</v>
      </c>
      <c r="C52" s="28">
        <v>72200736</v>
      </c>
      <c r="D52" s="28" t="s">
        <v>626</v>
      </c>
      <c r="E52" s="28" t="s">
        <v>627</v>
      </c>
      <c r="F52" s="28" t="s">
        <v>628</v>
      </c>
      <c r="G52" s="28" t="s">
        <v>629</v>
      </c>
      <c r="H52" s="28" t="s">
        <v>630</v>
      </c>
      <c r="I52" s="28" t="s">
        <v>631</v>
      </c>
      <c r="J52" s="28" t="s">
        <v>67</v>
      </c>
      <c r="K52" s="28" t="s">
        <v>206</v>
      </c>
      <c r="L52" s="28" t="s">
        <v>206</v>
      </c>
      <c r="M52" s="28">
        <v>5360</v>
      </c>
      <c r="N52" s="29" t="s">
        <v>589</v>
      </c>
      <c r="O52" s="24">
        <f>VLOOKUP(A52,Hoja1!A:C,3,0)</f>
        <v>8</v>
      </c>
      <c r="P52" s="30" t="str">
        <f>VLOOKUP(M52,[1]TIPOLOGIAS!$A:$F,4,0)</f>
        <v>MEDELLIN</v>
      </c>
      <c r="Q52" s="30" t="str">
        <f>VLOOKUP(P52,'BASE TARIFA 2025'!C:D,2,0)</f>
        <v>WOMPI NOROCCIDENTE</v>
      </c>
      <c r="R52" s="31">
        <f>VLOOKUP(P52,'BASE TARIFA 2025'!C:F,4,0)</f>
        <v>15709.5</v>
      </c>
    </row>
    <row r="53" spans="1:18" s="28" customFormat="1" ht="14.4" x14ac:dyDescent="0.3">
      <c r="A53" s="28">
        <v>76444</v>
      </c>
      <c r="B53" s="28" t="s">
        <v>632</v>
      </c>
      <c r="C53" s="28">
        <v>23133427</v>
      </c>
      <c r="E53" s="28" t="s">
        <v>633</v>
      </c>
      <c r="F53" s="28" t="s">
        <v>633</v>
      </c>
      <c r="G53" s="28" t="s">
        <v>634</v>
      </c>
      <c r="H53" s="28" t="s">
        <v>635</v>
      </c>
      <c r="I53" s="28" t="s">
        <v>636</v>
      </c>
      <c r="J53" s="28" t="s">
        <v>144</v>
      </c>
      <c r="K53" s="28" t="s">
        <v>637</v>
      </c>
      <c r="L53" s="28" t="s">
        <v>637</v>
      </c>
      <c r="M53" s="28">
        <v>18460</v>
      </c>
      <c r="N53" s="29" t="s">
        <v>638</v>
      </c>
      <c r="O53" s="24">
        <f>VLOOKUP(A53,Hoja1!A:C,3,0)</f>
        <v>8</v>
      </c>
      <c r="P53" s="30" t="str">
        <f>VLOOKUP(M53,[1]TIPOLOGIAS!$A:$F,4,0)</f>
        <v>NEIVA</v>
      </c>
      <c r="Q53" s="30" t="str">
        <f>VLOOKUP(P53,'BASE TARIFA 2025'!C:D,2,0)</f>
        <v>WOMPI ORIENTE</v>
      </c>
      <c r="R53" s="31">
        <f>VLOOKUP(P53,'BASE TARIFA 2025'!C:F,4,0)</f>
        <v>28277.100000000002</v>
      </c>
    </row>
    <row r="54" spans="1:18" s="28" customFormat="1" ht="14.4" x14ac:dyDescent="0.3">
      <c r="A54" s="28">
        <v>74906</v>
      </c>
      <c r="B54" s="28" t="s">
        <v>639</v>
      </c>
      <c r="C54" s="28">
        <v>1045420782</v>
      </c>
      <c r="E54" s="28" t="s">
        <v>640</v>
      </c>
      <c r="F54" s="28" t="s">
        <v>640</v>
      </c>
      <c r="G54" s="28" t="s">
        <v>641</v>
      </c>
      <c r="H54" s="28" t="s">
        <v>642</v>
      </c>
      <c r="I54" s="28" t="s">
        <v>643</v>
      </c>
      <c r="J54" s="28" t="s">
        <v>144</v>
      </c>
      <c r="K54" s="28" t="s">
        <v>637</v>
      </c>
      <c r="L54" s="28" t="s">
        <v>637</v>
      </c>
      <c r="M54" s="28">
        <v>18460</v>
      </c>
      <c r="N54" s="29" t="s">
        <v>638</v>
      </c>
      <c r="O54" s="24">
        <f>VLOOKUP(A54,Hoja1!A:C,3,0)</f>
        <v>8</v>
      </c>
      <c r="P54" s="30" t="str">
        <f>VLOOKUP(M54,[1]TIPOLOGIAS!$A:$F,4,0)</f>
        <v>NEIVA</v>
      </c>
      <c r="Q54" s="30" t="str">
        <f>VLOOKUP(P54,'BASE TARIFA 2025'!C:D,2,0)</f>
        <v>WOMPI ORIENTE</v>
      </c>
      <c r="R54" s="31">
        <f>VLOOKUP(P54,'BASE TARIFA 2025'!C:F,4,0)</f>
        <v>28277.100000000002</v>
      </c>
    </row>
    <row r="55" spans="1:18" s="28" customFormat="1" ht="14.4" x14ac:dyDescent="0.3">
      <c r="A55" s="28">
        <v>73154</v>
      </c>
      <c r="B55" s="28" t="s">
        <v>644</v>
      </c>
      <c r="C55" s="28">
        <v>25878577</v>
      </c>
      <c r="D55" s="28" t="s">
        <v>645</v>
      </c>
      <c r="E55" s="28" t="s">
        <v>645</v>
      </c>
      <c r="F55" s="28" t="s">
        <v>645</v>
      </c>
      <c r="G55" s="28" t="s">
        <v>646</v>
      </c>
      <c r="H55" s="28" t="s">
        <v>647</v>
      </c>
      <c r="I55" s="28" t="s">
        <v>648</v>
      </c>
      <c r="J55" s="28" t="s">
        <v>144</v>
      </c>
      <c r="K55" s="28" t="s">
        <v>637</v>
      </c>
      <c r="L55" s="28" t="s">
        <v>637</v>
      </c>
      <c r="M55" s="28">
        <v>18460</v>
      </c>
      <c r="N55" s="29" t="s">
        <v>638</v>
      </c>
      <c r="O55" s="24">
        <f>VLOOKUP(A55,Hoja1!A:C,3,0)</f>
        <v>8</v>
      </c>
      <c r="P55" s="30" t="str">
        <f>VLOOKUP(M55,[1]TIPOLOGIAS!$A:$F,4,0)</f>
        <v>NEIVA</v>
      </c>
      <c r="Q55" s="30" t="str">
        <f>VLOOKUP(P55,'BASE TARIFA 2025'!C:D,2,0)</f>
        <v>WOMPI ORIENTE</v>
      </c>
      <c r="R55" s="31">
        <f>VLOOKUP(P55,'BASE TARIFA 2025'!C:F,4,0)</f>
        <v>28277.100000000002</v>
      </c>
    </row>
    <row r="56" spans="1:18" s="28" customFormat="1" ht="14.4" x14ac:dyDescent="0.3">
      <c r="A56" s="28">
        <v>74080</v>
      </c>
      <c r="B56" s="28" t="s">
        <v>649</v>
      </c>
      <c r="C56" s="28">
        <v>1235038058</v>
      </c>
      <c r="D56" s="28" t="s">
        <v>650</v>
      </c>
      <c r="E56" s="28" t="s">
        <v>651</v>
      </c>
      <c r="F56" s="28" t="s">
        <v>651</v>
      </c>
      <c r="G56" s="28" t="s">
        <v>652</v>
      </c>
      <c r="H56" s="28" t="s">
        <v>653</v>
      </c>
      <c r="I56" s="28" t="s">
        <v>654</v>
      </c>
      <c r="J56" s="28" t="s">
        <v>85</v>
      </c>
      <c r="K56" s="28" t="s">
        <v>96</v>
      </c>
      <c r="L56" s="28" t="s">
        <v>96</v>
      </c>
      <c r="M56" s="28">
        <v>23574</v>
      </c>
      <c r="N56" s="29" t="s">
        <v>655</v>
      </c>
      <c r="O56" s="24">
        <f>VLOOKUP(A56,Hoja1!A:C,3,0)</f>
        <v>8</v>
      </c>
      <c r="P56" s="30" t="str">
        <f>VLOOKUP(M56,[1]TIPOLOGIAS!$A:$F,4,0)</f>
        <v>MONTERIA</v>
      </c>
      <c r="Q56" s="30" t="str">
        <f>VLOOKUP(P56,'BASE TARIFA 2025'!C:D,2,0)</f>
        <v>WOMPI COSTA</v>
      </c>
      <c r="R56" s="31">
        <f>VLOOKUP(P56,'BASE TARIFA 2025'!C:F,4,0)</f>
        <v>15709.5</v>
      </c>
    </row>
    <row r="57" spans="1:18" s="28" customFormat="1" ht="14.4" x14ac:dyDescent="0.3">
      <c r="A57" s="28">
        <v>34790</v>
      </c>
      <c r="B57" s="28" t="s">
        <v>656</v>
      </c>
      <c r="C57" s="28">
        <v>55240390</v>
      </c>
      <c r="D57" s="28" t="s">
        <v>657</v>
      </c>
      <c r="E57" s="28" t="s">
        <v>658</v>
      </c>
      <c r="F57" s="28" t="s">
        <v>658</v>
      </c>
      <c r="G57" s="28" t="s">
        <v>659</v>
      </c>
      <c r="H57" s="28" t="s">
        <v>660</v>
      </c>
      <c r="I57" s="28" t="s">
        <v>661</v>
      </c>
      <c r="J57" s="28" t="s">
        <v>85</v>
      </c>
      <c r="K57" s="28" t="s">
        <v>662</v>
      </c>
      <c r="L57" s="28" t="s">
        <v>662</v>
      </c>
      <c r="M57" s="28">
        <v>23815</v>
      </c>
      <c r="N57" s="29" t="s">
        <v>582</v>
      </c>
      <c r="O57" s="24">
        <f>VLOOKUP(A57,Hoja1!A:C,3,0)</f>
        <v>8</v>
      </c>
      <c r="P57" s="30" t="str">
        <f>VLOOKUP(M57,[1]TIPOLOGIAS!$A:$F,4,0)</f>
        <v>MONTERIA</v>
      </c>
      <c r="Q57" s="30" t="str">
        <f>VLOOKUP(P57,'BASE TARIFA 2025'!C:D,2,0)</f>
        <v>WOMPI COSTA</v>
      </c>
      <c r="R57" s="31">
        <f>VLOOKUP(P57,'BASE TARIFA 2025'!C:F,4,0)</f>
        <v>15709.5</v>
      </c>
    </row>
    <row r="58" spans="1:18" s="28" customFormat="1" ht="14.4" x14ac:dyDescent="0.3">
      <c r="A58" s="28">
        <v>28367</v>
      </c>
      <c r="B58" s="28" t="s">
        <v>663</v>
      </c>
      <c r="C58" s="28">
        <v>4253436</v>
      </c>
      <c r="D58" s="28" t="s">
        <v>664</v>
      </c>
      <c r="E58" s="28" t="s">
        <v>665</v>
      </c>
      <c r="F58" s="28" t="s">
        <v>665</v>
      </c>
      <c r="G58" s="28" t="s">
        <v>666</v>
      </c>
      <c r="H58" s="28" t="s">
        <v>667</v>
      </c>
      <c r="I58" s="28" t="s">
        <v>668</v>
      </c>
      <c r="J58" s="28" t="s">
        <v>85</v>
      </c>
      <c r="K58" s="28" t="s">
        <v>662</v>
      </c>
      <c r="L58" s="28" t="s">
        <v>662</v>
      </c>
      <c r="M58" s="28">
        <v>23815</v>
      </c>
      <c r="N58" s="29" t="s">
        <v>582</v>
      </c>
      <c r="O58" s="24">
        <f>VLOOKUP(A58,Hoja1!A:C,3,0)</f>
        <v>8</v>
      </c>
      <c r="P58" s="30" t="str">
        <f>VLOOKUP(M58,[1]TIPOLOGIAS!$A:$F,4,0)</f>
        <v>MONTERIA</v>
      </c>
      <c r="Q58" s="30" t="str">
        <f>VLOOKUP(P58,'BASE TARIFA 2025'!C:D,2,0)</f>
        <v>WOMPI COSTA</v>
      </c>
      <c r="R58" s="31">
        <f>VLOOKUP(P58,'BASE TARIFA 2025'!C:F,4,0)</f>
        <v>15709.5</v>
      </c>
    </row>
    <row r="59" spans="1:18" s="28" customFormat="1" ht="14.4" x14ac:dyDescent="0.3">
      <c r="A59" s="28">
        <v>29786</v>
      </c>
      <c r="B59" s="28" t="s">
        <v>669</v>
      </c>
      <c r="C59" s="28">
        <v>900691120</v>
      </c>
      <c r="D59" s="28" t="s">
        <v>670</v>
      </c>
      <c r="E59" s="28" t="s">
        <v>671</v>
      </c>
      <c r="F59" s="28" t="s">
        <v>671</v>
      </c>
      <c r="G59" s="28" t="s">
        <v>672</v>
      </c>
      <c r="H59" s="28" t="s">
        <v>673</v>
      </c>
      <c r="I59" s="28" t="s">
        <v>674</v>
      </c>
      <c r="J59" s="28" t="s">
        <v>85</v>
      </c>
      <c r="K59" s="28" t="s">
        <v>662</v>
      </c>
      <c r="L59" s="28" t="s">
        <v>662</v>
      </c>
      <c r="M59" s="28">
        <v>23815</v>
      </c>
      <c r="N59" s="29" t="s">
        <v>582</v>
      </c>
      <c r="O59" s="24">
        <f>VLOOKUP(A59,Hoja1!A:C,3,0)</f>
        <v>8</v>
      </c>
      <c r="P59" s="30" t="str">
        <f>VLOOKUP(M59,[1]TIPOLOGIAS!$A:$F,4,0)</f>
        <v>MONTERIA</v>
      </c>
      <c r="Q59" s="30" t="str">
        <f>VLOOKUP(P59,'BASE TARIFA 2025'!C:D,2,0)</f>
        <v>WOMPI COSTA</v>
      </c>
      <c r="R59" s="31">
        <f>VLOOKUP(P59,'BASE TARIFA 2025'!C:F,4,0)</f>
        <v>15709.5</v>
      </c>
    </row>
    <row r="60" spans="1:18" s="28" customFormat="1" ht="14.4" x14ac:dyDescent="0.3">
      <c r="A60" s="28">
        <v>27937</v>
      </c>
      <c r="B60" s="28" t="s">
        <v>675</v>
      </c>
      <c r="C60" s="28">
        <v>22517110</v>
      </c>
      <c r="D60" s="28" t="s">
        <v>676</v>
      </c>
      <c r="E60" s="28" t="s">
        <v>676</v>
      </c>
      <c r="F60" s="28" t="s">
        <v>676</v>
      </c>
      <c r="G60" s="28" t="s">
        <v>677</v>
      </c>
      <c r="H60" s="28" t="s">
        <v>678</v>
      </c>
      <c r="I60" s="28" t="s">
        <v>679</v>
      </c>
      <c r="J60" s="28" t="s">
        <v>85</v>
      </c>
      <c r="K60" s="28" t="s">
        <v>662</v>
      </c>
      <c r="L60" s="28" t="s">
        <v>662</v>
      </c>
      <c r="M60" s="28">
        <v>23815</v>
      </c>
      <c r="N60" s="29" t="s">
        <v>582</v>
      </c>
      <c r="O60" s="24">
        <f>VLOOKUP(A60,Hoja1!A:C,3,0)</f>
        <v>16</v>
      </c>
      <c r="P60" s="30" t="str">
        <f>VLOOKUP(M60,[1]TIPOLOGIAS!$A:$F,4,0)</f>
        <v>MONTERIA</v>
      </c>
      <c r="Q60" s="30" t="str">
        <f>VLOOKUP(P60,'BASE TARIFA 2025'!C:D,2,0)</f>
        <v>WOMPI COSTA</v>
      </c>
      <c r="R60" s="31">
        <f>VLOOKUP(P60,'BASE TARIFA 2025'!C:F,4,0)</f>
        <v>15709.5</v>
      </c>
    </row>
    <row r="61" spans="1:18" s="28" customFormat="1" ht="14.4" x14ac:dyDescent="0.3">
      <c r="A61" s="28">
        <v>26911</v>
      </c>
      <c r="B61" s="28" t="s">
        <v>680</v>
      </c>
      <c r="C61" s="28">
        <v>60310580</v>
      </c>
      <c r="D61" s="28" t="s">
        <v>681</v>
      </c>
      <c r="E61" s="28" t="s">
        <v>681</v>
      </c>
      <c r="F61" s="28" t="s">
        <v>681</v>
      </c>
      <c r="G61" s="28" t="s">
        <v>682</v>
      </c>
      <c r="H61" s="28" t="s">
        <v>683</v>
      </c>
      <c r="I61" s="28" t="s">
        <v>684</v>
      </c>
      <c r="J61" s="28" t="s">
        <v>85</v>
      </c>
      <c r="K61" s="28" t="s">
        <v>662</v>
      </c>
      <c r="L61" s="28" t="s">
        <v>662</v>
      </c>
      <c r="M61" s="28">
        <v>23815</v>
      </c>
      <c r="N61" s="29" t="s">
        <v>542</v>
      </c>
      <c r="O61" s="24">
        <f>VLOOKUP(A61,Hoja1!A:C,3,0)</f>
        <v>8</v>
      </c>
      <c r="P61" s="30" t="str">
        <f>VLOOKUP(M61,[1]TIPOLOGIAS!$A:$F,4,0)</f>
        <v>MONTERIA</v>
      </c>
      <c r="Q61" s="30" t="str">
        <f>VLOOKUP(P61,'BASE TARIFA 2025'!C:D,2,0)</f>
        <v>WOMPI COSTA</v>
      </c>
      <c r="R61" s="31">
        <f>VLOOKUP(P61,'BASE TARIFA 2025'!C:F,4,0)</f>
        <v>15709.5</v>
      </c>
    </row>
    <row r="62" spans="1:18" s="28" customFormat="1" ht="14.4" x14ac:dyDescent="0.3">
      <c r="A62" s="28">
        <v>24836</v>
      </c>
      <c r="B62" s="28" t="s">
        <v>685</v>
      </c>
      <c r="C62" s="28">
        <v>900576569</v>
      </c>
      <c r="D62" s="28" t="s">
        <v>686</v>
      </c>
      <c r="E62" s="28" t="s">
        <v>686</v>
      </c>
      <c r="F62" s="28" t="s">
        <v>686</v>
      </c>
      <c r="G62" s="28" t="s">
        <v>687</v>
      </c>
      <c r="H62" s="28" t="s">
        <v>688</v>
      </c>
      <c r="I62" s="28" t="s">
        <v>689</v>
      </c>
      <c r="J62" s="28" t="s">
        <v>85</v>
      </c>
      <c r="K62" s="28" t="s">
        <v>662</v>
      </c>
      <c r="L62" s="28" t="s">
        <v>662</v>
      </c>
      <c r="M62" s="28">
        <v>23815</v>
      </c>
      <c r="N62" s="29" t="s">
        <v>542</v>
      </c>
      <c r="O62" s="24">
        <f>VLOOKUP(A62,Hoja1!A:C,3,0)</f>
        <v>8</v>
      </c>
      <c r="P62" s="30" t="str">
        <f>VLOOKUP(M62,[1]TIPOLOGIAS!$A:$F,4,0)</f>
        <v>MONTERIA</v>
      </c>
      <c r="Q62" s="30" t="str">
        <f>VLOOKUP(P62,'BASE TARIFA 2025'!C:D,2,0)</f>
        <v>WOMPI COSTA</v>
      </c>
      <c r="R62" s="31">
        <f>VLOOKUP(P62,'BASE TARIFA 2025'!C:F,4,0)</f>
        <v>15709.5</v>
      </c>
    </row>
    <row r="63" spans="1:18" s="28" customFormat="1" ht="14.4" x14ac:dyDescent="0.3">
      <c r="A63" s="28">
        <v>78876</v>
      </c>
      <c r="B63" s="28" t="s">
        <v>690</v>
      </c>
      <c r="C63" s="28">
        <v>1005027949</v>
      </c>
      <c r="E63" s="28" t="s">
        <v>691</v>
      </c>
      <c r="F63" s="28" t="s">
        <v>691</v>
      </c>
      <c r="G63" s="28" t="s">
        <v>692</v>
      </c>
      <c r="H63" s="28" t="s">
        <v>693</v>
      </c>
      <c r="I63" s="28" t="s">
        <v>694</v>
      </c>
      <c r="J63" s="28" t="s">
        <v>70</v>
      </c>
      <c r="K63" s="28" t="s">
        <v>104</v>
      </c>
      <c r="L63" s="28" t="s">
        <v>104</v>
      </c>
      <c r="M63" s="28">
        <v>25099</v>
      </c>
      <c r="N63" s="29" t="s">
        <v>582</v>
      </c>
      <c r="O63" s="24">
        <f>VLOOKUP(A63,Hoja1!A:C,3,0)</f>
        <v>16</v>
      </c>
      <c r="P63" s="30" t="str">
        <f>VLOOKUP(M63,[1]TIPOLOGIAS!$A:$F,4,0)</f>
        <v>BOGOTA</v>
      </c>
      <c r="Q63" s="30" t="str">
        <f>VLOOKUP(P63,'BASE TARIFA 2025'!C:D,2,0)</f>
        <v>WOMPI CENTRO</v>
      </c>
      <c r="R63" s="31">
        <f>VLOOKUP(P63,'BASE TARIFA 2025'!C:F,4,0)</f>
        <v>15709.5</v>
      </c>
    </row>
    <row r="64" spans="1:18" s="28" customFormat="1" ht="14.4" x14ac:dyDescent="0.3">
      <c r="A64" s="28">
        <v>64062</v>
      </c>
      <c r="B64" s="28" t="s">
        <v>695</v>
      </c>
      <c r="C64" s="28">
        <v>900975195</v>
      </c>
      <c r="D64" s="28" t="s">
        <v>696</v>
      </c>
      <c r="E64" s="28" t="s">
        <v>696</v>
      </c>
      <c r="G64" s="28" t="s">
        <v>697</v>
      </c>
      <c r="H64" s="28" t="s">
        <v>698</v>
      </c>
      <c r="I64" s="28" t="s">
        <v>699</v>
      </c>
      <c r="J64" s="28" t="s">
        <v>70</v>
      </c>
      <c r="K64" s="28" t="s">
        <v>104</v>
      </c>
      <c r="L64" s="28" t="s">
        <v>104</v>
      </c>
      <c r="M64" s="28">
        <v>25099</v>
      </c>
      <c r="N64" s="29" t="s">
        <v>553</v>
      </c>
      <c r="O64" s="24">
        <f>VLOOKUP(A64,Hoja1!A:C,3,0)</f>
        <v>8</v>
      </c>
      <c r="P64" s="30" t="str">
        <f>VLOOKUP(M64,[1]TIPOLOGIAS!$A:$F,4,0)</f>
        <v>BOGOTA</v>
      </c>
      <c r="Q64" s="30" t="str">
        <f>VLOOKUP(P64,'BASE TARIFA 2025'!C:D,2,0)</f>
        <v>WOMPI CENTRO</v>
      </c>
      <c r="R64" s="31">
        <f>VLOOKUP(P64,'BASE TARIFA 2025'!C:F,4,0)</f>
        <v>15709.5</v>
      </c>
    </row>
    <row r="65" spans="1:18" s="28" customFormat="1" ht="14.4" x14ac:dyDescent="0.3">
      <c r="A65" s="28">
        <v>61410</v>
      </c>
      <c r="B65" s="28" t="s">
        <v>700</v>
      </c>
      <c r="C65" s="28">
        <v>1020417826</v>
      </c>
      <c r="D65" s="28" t="s">
        <v>69</v>
      </c>
      <c r="E65" s="28" t="s">
        <v>701</v>
      </c>
      <c r="F65" s="28" t="s">
        <v>701</v>
      </c>
      <c r="G65" s="28" t="s">
        <v>702</v>
      </c>
      <c r="H65" s="28" t="s">
        <v>703</v>
      </c>
      <c r="I65" s="28" t="s">
        <v>704</v>
      </c>
      <c r="J65" s="28" t="s">
        <v>70</v>
      </c>
      <c r="K65" s="28" t="s">
        <v>104</v>
      </c>
      <c r="L65" s="28" t="s">
        <v>104</v>
      </c>
      <c r="M65" s="28">
        <v>25099</v>
      </c>
      <c r="N65" s="29" t="s">
        <v>542</v>
      </c>
      <c r="O65" s="24">
        <f>VLOOKUP(A65,Hoja1!A:C,3,0)</f>
        <v>8</v>
      </c>
      <c r="P65" s="30" t="str">
        <f>VLOOKUP(M65,[1]TIPOLOGIAS!$A:$F,4,0)</f>
        <v>BOGOTA</v>
      </c>
      <c r="Q65" s="30" t="str">
        <f>VLOOKUP(P65,'BASE TARIFA 2025'!C:D,2,0)</f>
        <v>WOMPI CENTRO</v>
      </c>
      <c r="R65" s="31">
        <f>VLOOKUP(P65,'BASE TARIFA 2025'!C:F,4,0)</f>
        <v>15709.5</v>
      </c>
    </row>
    <row r="66" spans="1:18" s="28" customFormat="1" ht="14.4" x14ac:dyDescent="0.3">
      <c r="A66" s="28">
        <v>61411</v>
      </c>
      <c r="B66" s="28" t="s">
        <v>705</v>
      </c>
      <c r="C66" s="28">
        <v>1020417826</v>
      </c>
      <c r="D66" s="28" t="s">
        <v>69</v>
      </c>
      <c r="E66" s="28" t="s">
        <v>706</v>
      </c>
      <c r="F66" s="28" t="s">
        <v>706</v>
      </c>
      <c r="G66" s="28" t="s">
        <v>707</v>
      </c>
      <c r="H66" s="28" t="s">
        <v>708</v>
      </c>
      <c r="I66" s="28" t="s">
        <v>709</v>
      </c>
      <c r="J66" s="28" t="s">
        <v>70</v>
      </c>
      <c r="K66" s="28" t="s">
        <v>104</v>
      </c>
      <c r="L66" s="28" t="s">
        <v>104</v>
      </c>
      <c r="M66" s="28">
        <v>25099</v>
      </c>
      <c r="N66" s="29" t="s">
        <v>582</v>
      </c>
      <c r="O66" s="24">
        <f>VLOOKUP(A66,Hoja1!A:C,3,0)</f>
        <v>8</v>
      </c>
      <c r="P66" s="30" t="str">
        <f>VLOOKUP(M66,[1]TIPOLOGIAS!$A:$F,4,0)</f>
        <v>BOGOTA</v>
      </c>
      <c r="Q66" s="30" t="str">
        <f>VLOOKUP(P66,'BASE TARIFA 2025'!C:D,2,0)</f>
        <v>WOMPI CENTRO</v>
      </c>
      <c r="R66" s="31">
        <f>VLOOKUP(P66,'BASE TARIFA 2025'!C:F,4,0)</f>
        <v>15709.5</v>
      </c>
    </row>
    <row r="67" spans="1:18" s="28" customFormat="1" ht="14.4" x14ac:dyDescent="0.3">
      <c r="A67" s="28">
        <v>77602</v>
      </c>
      <c r="B67" s="28" t="s">
        <v>710</v>
      </c>
      <c r="C67" s="28">
        <v>1047239870</v>
      </c>
      <c r="D67" s="28" t="s">
        <v>711</v>
      </c>
      <c r="E67" s="28" t="s">
        <v>712</v>
      </c>
      <c r="F67" s="28" t="s">
        <v>712</v>
      </c>
      <c r="G67" s="28" t="s">
        <v>713</v>
      </c>
      <c r="H67" s="28" t="s">
        <v>714</v>
      </c>
      <c r="I67" s="28" t="s">
        <v>715</v>
      </c>
      <c r="J67" s="28" t="s">
        <v>70</v>
      </c>
      <c r="K67" s="28" t="s">
        <v>105</v>
      </c>
      <c r="L67" s="28" t="s">
        <v>105</v>
      </c>
      <c r="M67" s="28">
        <v>25175</v>
      </c>
      <c r="N67" s="29" t="s">
        <v>716</v>
      </c>
      <c r="O67" s="24" t="e">
        <f>VLOOKUP(A67,Hoja1!A:C,3,0)</f>
        <v>#N/A</v>
      </c>
      <c r="P67" s="30" t="str">
        <f>VLOOKUP(M67,[1]TIPOLOGIAS!$A:$F,4,0)</f>
        <v>BOGOTA</v>
      </c>
      <c r="Q67" s="30" t="str">
        <f>VLOOKUP(P67,'BASE TARIFA 2025'!C:D,2,0)</f>
        <v>WOMPI CENTRO</v>
      </c>
      <c r="R67" s="31">
        <f>VLOOKUP(P67,'BASE TARIFA 2025'!C:F,4,0)</f>
        <v>15709.5</v>
      </c>
    </row>
    <row r="68" spans="1:18" s="28" customFormat="1" ht="14.4" x14ac:dyDescent="0.3">
      <c r="A68" s="28">
        <v>47377</v>
      </c>
      <c r="B68" s="28" t="s">
        <v>717</v>
      </c>
      <c r="C68" s="28">
        <v>901162599</v>
      </c>
      <c r="D68" s="28" t="s">
        <v>718</v>
      </c>
      <c r="E68" s="28" t="s">
        <v>718</v>
      </c>
      <c r="F68" s="28" t="s">
        <v>718</v>
      </c>
      <c r="G68" s="28" t="s">
        <v>719</v>
      </c>
      <c r="H68" s="28" t="s">
        <v>720</v>
      </c>
      <c r="I68" s="28" t="s">
        <v>721</v>
      </c>
      <c r="J68" s="28" t="s">
        <v>70</v>
      </c>
      <c r="K68" s="28" t="s">
        <v>105</v>
      </c>
      <c r="L68" s="28" t="s">
        <v>105</v>
      </c>
      <c r="M68" s="28">
        <v>25175</v>
      </c>
      <c r="N68" s="29" t="s">
        <v>722</v>
      </c>
      <c r="O68" s="24">
        <f>VLOOKUP(A68,Hoja1!A:C,3,0)</f>
        <v>8</v>
      </c>
      <c r="P68" s="30" t="str">
        <f>VLOOKUP(M68,[1]TIPOLOGIAS!$A:$F,4,0)</f>
        <v>BOGOTA</v>
      </c>
      <c r="Q68" s="30" t="str">
        <f>VLOOKUP(P68,'BASE TARIFA 2025'!C:D,2,0)</f>
        <v>WOMPI CENTRO</v>
      </c>
      <c r="R68" s="31">
        <f>VLOOKUP(P68,'BASE TARIFA 2025'!C:F,4,0)</f>
        <v>15709.5</v>
      </c>
    </row>
    <row r="69" spans="1:18" s="28" customFormat="1" ht="14.4" x14ac:dyDescent="0.3">
      <c r="A69" s="28">
        <v>77546</v>
      </c>
      <c r="B69" s="28" t="s">
        <v>723</v>
      </c>
      <c r="C69" s="28">
        <v>60360897</v>
      </c>
      <c r="D69" s="28" t="s">
        <v>724</v>
      </c>
      <c r="E69" s="28" t="s">
        <v>724</v>
      </c>
      <c r="G69" s="28" t="s">
        <v>725</v>
      </c>
      <c r="H69" s="28" t="s">
        <v>726</v>
      </c>
      <c r="I69" s="28" t="s">
        <v>727</v>
      </c>
      <c r="J69" s="28" t="s">
        <v>70</v>
      </c>
      <c r="K69" s="28" t="s">
        <v>105</v>
      </c>
      <c r="L69" s="28" t="s">
        <v>105</v>
      </c>
      <c r="M69" s="28">
        <v>25175</v>
      </c>
      <c r="N69" s="29" t="s">
        <v>722</v>
      </c>
      <c r="O69" s="24">
        <f>VLOOKUP(A69,Hoja1!A:C,3,0)</f>
        <v>8</v>
      </c>
      <c r="P69" s="30" t="str">
        <f>VLOOKUP(M69,[1]TIPOLOGIAS!$A:$F,4,0)</f>
        <v>BOGOTA</v>
      </c>
      <c r="Q69" s="30" t="str">
        <f>VLOOKUP(P69,'BASE TARIFA 2025'!C:D,2,0)</f>
        <v>WOMPI CENTRO</v>
      </c>
      <c r="R69" s="31">
        <f>VLOOKUP(P69,'BASE TARIFA 2025'!C:F,4,0)</f>
        <v>15709.5</v>
      </c>
    </row>
    <row r="70" spans="1:18" s="28" customFormat="1" ht="14.4" x14ac:dyDescent="0.3">
      <c r="A70" s="28">
        <v>72493</v>
      </c>
      <c r="B70" s="28" t="s">
        <v>728</v>
      </c>
      <c r="C70" s="28">
        <v>13496724</v>
      </c>
      <c r="D70" s="28" t="s">
        <v>729</v>
      </c>
      <c r="E70" s="28" t="s">
        <v>729</v>
      </c>
      <c r="F70" s="28" t="s">
        <v>729</v>
      </c>
      <c r="G70" s="28" t="s">
        <v>730</v>
      </c>
      <c r="H70" s="28" t="s">
        <v>731</v>
      </c>
      <c r="I70" s="28" t="s">
        <v>732</v>
      </c>
      <c r="J70" s="28" t="s">
        <v>70</v>
      </c>
      <c r="K70" s="28" t="s">
        <v>105</v>
      </c>
      <c r="L70" s="28" t="s">
        <v>105</v>
      </c>
      <c r="M70" s="28">
        <v>25175</v>
      </c>
      <c r="N70" s="29" t="s">
        <v>722</v>
      </c>
      <c r="O70" s="24">
        <f>VLOOKUP(A70,Hoja1!A:C,3,0)</f>
        <v>8</v>
      </c>
      <c r="P70" s="30" t="str">
        <f>VLOOKUP(M70,[1]TIPOLOGIAS!$A:$F,4,0)</f>
        <v>BOGOTA</v>
      </c>
      <c r="Q70" s="30" t="str">
        <f>VLOOKUP(P70,'BASE TARIFA 2025'!C:D,2,0)</f>
        <v>WOMPI CENTRO</v>
      </c>
      <c r="R70" s="31">
        <f>VLOOKUP(P70,'BASE TARIFA 2025'!C:F,4,0)</f>
        <v>15709.5</v>
      </c>
    </row>
    <row r="71" spans="1:18" s="28" customFormat="1" ht="14.4" x14ac:dyDescent="0.3">
      <c r="A71" s="28">
        <v>74339</v>
      </c>
      <c r="B71" s="28" t="s">
        <v>733</v>
      </c>
      <c r="C71" s="28">
        <v>1093292148</v>
      </c>
      <c r="D71" s="28" t="s">
        <v>734</v>
      </c>
      <c r="E71" s="28" t="s">
        <v>734</v>
      </c>
      <c r="F71" s="28" t="s">
        <v>734</v>
      </c>
      <c r="G71" s="28" t="s">
        <v>735</v>
      </c>
      <c r="H71" s="28" t="s">
        <v>736</v>
      </c>
      <c r="I71" s="28" t="s">
        <v>737</v>
      </c>
      <c r="J71" s="28" t="s">
        <v>70</v>
      </c>
      <c r="K71" s="28" t="s">
        <v>105</v>
      </c>
      <c r="L71" s="28" t="s">
        <v>105</v>
      </c>
      <c r="M71" s="28">
        <v>25175</v>
      </c>
      <c r="N71" s="29" t="s">
        <v>542</v>
      </c>
      <c r="O71" s="24">
        <f>VLOOKUP(A71,Hoja1!A:C,3,0)</f>
        <v>8</v>
      </c>
      <c r="P71" s="30" t="str">
        <f>VLOOKUP(M71,[1]TIPOLOGIAS!$A:$F,4,0)</f>
        <v>BOGOTA</v>
      </c>
      <c r="Q71" s="30" t="str">
        <f>VLOOKUP(P71,'BASE TARIFA 2025'!C:D,2,0)</f>
        <v>WOMPI CENTRO</v>
      </c>
      <c r="R71" s="31">
        <f>VLOOKUP(P71,'BASE TARIFA 2025'!C:F,4,0)</f>
        <v>15709.5</v>
      </c>
    </row>
    <row r="72" spans="1:18" s="28" customFormat="1" ht="14.4" x14ac:dyDescent="0.3">
      <c r="A72" s="28">
        <v>50115</v>
      </c>
      <c r="B72" s="28" t="s">
        <v>738</v>
      </c>
      <c r="C72" s="28">
        <v>23135708</v>
      </c>
      <c r="D72" s="28" t="s">
        <v>739</v>
      </c>
      <c r="E72" s="28" t="s">
        <v>740</v>
      </c>
      <c r="F72" s="28" t="s">
        <v>740</v>
      </c>
      <c r="G72" s="28" t="s">
        <v>741</v>
      </c>
      <c r="H72" s="28" t="s">
        <v>742</v>
      </c>
      <c r="I72" s="28" t="s">
        <v>743</v>
      </c>
      <c r="J72" s="28" t="s">
        <v>144</v>
      </c>
      <c r="K72" s="28" t="s">
        <v>145</v>
      </c>
      <c r="L72" s="28" t="s">
        <v>145</v>
      </c>
      <c r="M72" s="28">
        <v>18753</v>
      </c>
      <c r="N72" s="29" t="s">
        <v>744</v>
      </c>
      <c r="O72" s="24">
        <f>VLOOKUP(A72,Hoja1!A:C,3,0)</f>
        <v>16</v>
      </c>
      <c r="P72" s="30" t="str">
        <f>VLOOKUP(M72,[1]TIPOLOGIAS!$A:$F,4,0)</f>
        <v>NEIVA</v>
      </c>
      <c r="Q72" s="30" t="str">
        <f>VLOOKUP(P72,'BASE TARIFA 2025'!C:D,2,0)</f>
        <v>WOMPI ORIENTE</v>
      </c>
      <c r="R72" s="31">
        <f>VLOOKUP(P72,'BASE TARIFA 2025'!C:F,4,0)</f>
        <v>28277.100000000002</v>
      </c>
    </row>
    <row r="73" spans="1:18" s="28" customFormat="1" ht="14.4" x14ac:dyDescent="0.3">
      <c r="A73" s="28">
        <v>49655</v>
      </c>
      <c r="B73" s="28" t="s">
        <v>745</v>
      </c>
      <c r="C73" s="28">
        <v>1007800738</v>
      </c>
      <c r="D73" s="28" t="s">
        <v>746</v>
      </c>
      <c r="E73" s="28" t="s">
        <v>747</v>
      </c>
      <c r="F73" s="28" t="s">
        <v>747</v>
      </c>
      <c r="G73" s="28" t="s">
        <v>748</v>
      </c>
      <c r="H73" s="28" t="s">
        <v>749</v>
      </c>
      <c r="I73" s="28" t="s">
        <v>750</v>
      </c>
      <c r="J73" s="28" t="s">
        <v>144</v>
      </c>
      <c r="K73" s="28" t="s">
        <v>145</v>
      </c>
      <c r="L73" s="28" t="s">
        <v>145</v>
      </c>
      <c r="M73" s="28">
        <v>18753</v>
      </c>
      <c r="N73" s="29" t="s">
        <v>560</v>
      </c>
      <c r="O73" s="24">
        <f>VLOOKUP(A73,Hoja1!A:C,3,0)</f>
        <v>8</v>
      </c>
      <c r="P73" s="30" t="str">
        <f>VLOOKUP(M73,[1]TIPOLOGIAS!$A:$F,4,0)</f>
        <v>NEIVA</v>
      </c>
      <c r="Q73" s="30" t="str">
        <f>VLOOKUP(P73,'BASE TARIFA 2025'!C:D,2,0)</f>
        <v>WOMPI ORIENTE</v>
      </c>
      <c r="R73" s="31">
        <f>VLOOKUP(P73,'BASE TARIFA 2025'!C:F,4,0)</f>
        <v>28277.100000000002</v>
      </c>
    </row>
    <row r="74" spans="1:18" s="28" customFormat="1" ht="14.4" x14ac:dyDescent="0.3">
      <c r="A74" s="28">
        <v>48268</v>
      </c>
      <c r="B74" s="28" t="s">
        <v>751</v>
      </c>
      <c r="C74" s="28">
        <v>33310555</v>
      </c>
      <c r="E74" s="28" t="s">
        <v>752</v>
      </c>
      <c r="F74" s="28" t="s">
        <v>752</v>
      </c>
      <c r="G74" s="28" t="s">
        <v>753</v>
      </c>
      <c r="H74" s="28" t="s">
        <v>754</v>
      </c>
      <c r="I74" s="28" t="s">
        <v>755</v>
      </c>
      <c r="J74" s="28" t="s">
        <v>144</v>
      </c>
      <c r="K74" s="28" t="s">
        <v>145</v>
      </c>
      <c r="L74" s="28" t="s">
        <v>145</v>
      </c>
      <c r="M74" s="28">
        <v>18753</v>
      </c>
      <c r="N74" s="29" t="s">
        <v>756</v>
      </c>
      <c r="O74" s="24">
        <f>VLOOKUP(A74,Hoja1!A:C,3,0)</f>
        <v>16</v>
      </c>
      <c r="P74" s="30" t="str">
        <f>VLOOKUP(M74,[1]TIPOLOGIAS!$A:$F,4,0)</f>
        <v>NEIVA</v>
      </c>
      <c r="Q74" s="30" t="str">
        <f>VLOOKUP(P74,'BASE TARIFA 2025'!C:D,2,0)</f>
        <v>WOMPI ORIENTE</v>
      </c>
      <c r="R74" s="31">
        <f>VLOOKUP(P74,'BASE TARIFA 2025'!C:F,4,0)</f>
        <v>28277.100000000002</v>
      </c>
    </row>
    <row r="75" spans="1:18" s="28" customFormat="1" ht="14.4" x14ac:dyDescent="0.3">
      <c r="A75" s="28">
        <v>38270</v>
      </c>
      <c r="B75" s="28" t="s">
        <v>757</v>
      </c>
      <c r="C75" s="28">
        <v>9098817</v>
      </c>
      <c r="D75" s="28" t="s">
        <v>758</v>
      </c>
      <c r="E75" s="28" t="s">
        <v>758</v>
      </c>
      <c r="F75" s="28" t="s">
        <v>759</v>
      </c>
      <c r="G75" s="28" t="s">
        <v>760</v>
      </c>
      <c r="H75" s="28" t="s">
        <v>761</v>
      </c>
      <c r="I75" s="28" t="s">
        <v>762</v>
      </c>
      <c r="J75" s="28" t="s">
        <v>144</v>
      </c>
      <c r="K75" s="28" t="s">
        <v>145</v>
      </c>
      <c r="L75" s="28" t="s">
        <v>145</v>
      </c>
      <c r="M75" s="28">
        <v>18753</v>
      </c>
      <c r="N75" s="29" t="s">
        <v>560</v>
      </c>
      <c r="O75" s="24">
        <f>VLOOKUP(A75,Hoja1!A:C,3,0)</f>
        <v>8</v>
      </c>
      <c r="P75" s="30" t="str">
        <f>VLOOKUP(M75,[1]TIPOLOGIAS!$A:$F,4,0)</f>
        <v>NEIVA</v>
      </c>
      <c r="Q75" s="30" t="str">
        <f>VLOOKUP(P75,'BASE TARIFA 2025'!C:D,2,0)</f>
        <v>WOMPI ORIENTE</v>
      </c>
      <c r="R75" s="31">
        <f>VLOOKUP(P75,'BASE TARIFA 2025'!C:F,4,0)</f>
        <v>28277.100000000002</v>
      </c>
    </row>
    <row r="76" spans="1:18" s="28" customFormat="1" ht="14.4" x14ac:dyDescent="0.3">
      <c r="A76" s="28">
        <v>65758</v>
      </c>
      <c r="B76" s="28" t="s">
        <v>763</v>
      </c>
      <c r="C76" s="28">
        <v>1005037042</v>
      </c>
      <c r="D76" s="28" t="s">
        <v>764</v>
      </c>
      <c r="E76" s="28" t="s">
        <v>765</v>
      </c>
      <c r="F76" s="28" t="s">
        <v>765</v>
      </c>
      <c r="G76" s="28" t="s">
        <v>766</v>
      </c>
      <c r="H76" s="28" t="s">
        <v>767</v>
      </c>
      <c r="I76" s="28" t="s">
        <v>768</v>
      </c>
      <c r="J76" s="28" t="s">
        <v>144</v>
      </c>
      <c r="K76" s="28" t="s">
        <v>145</v>
      </c>
      <c r="L76" s="28" t="s">
        <v>145</v>
      </c>
      <c r="M76" s="28">
        <v>18753</v>
      </c>
      <c r="N76" s="29" t="s">
        <v>542</v>
      </c>
      <c r="O76" s="24">
        <f>VLOOKUP(A76,Hoja1!A:C,3,0)</f>
        <v>16</v>
      </c>
      <c r="P76" s="30" t="str">
        <f>VLOOKUP(M76,[1]TIPOLOGIAS!$A:$F,4,0)</f>
        <v>NEIVA</v>
      </c>
      <c r="Q76" s="30" t="str">
        <f>VLOOKUP(P76,'BASE TARIFA 2025'!C:D,2,0)</f>
        <v>WOMPI ORIENTE</v>
      </c>
      <c r="R76" s="31">
        <f>VLOOKUP(P76,'BASE TARIFA 2025'!C:F,4,0)</f>
        <v>28277.100000000002</v>
      </c>
    </row>
    <row r="77" spans="1:18" s="28" customFormat="1" ht="14.4" x14ac:dyDescent="0.3">
      <c r="A77" s="28">
        <v>67138</v>
      </c>
      <c r="B77" s="28" t="s">
        <v>769</v>
      </c>
      <c r="C77" s="28">
        <v>88250291</v>
      </c>
      <c r="D77" s="28" t="s">
        <v>770</v>
      </c>
      <c r="E77" s="28" t="s">
        <v>770</v>
      </c>
      <c r="G77" s="28" t="s">
        <v>771</v>
      </c>
      <c r="H77" s="28" t="s">
        <v>772</v>
      </c>
      <c r="I77" s="28" t="s">
        <v>773</v>
      </c>
      <c r="J77" s="28" t="s">
        <v>144</v>
      </c>
      <c r="K77" s="28" t="s">
        <v>145</v>
      </c>
      <c r="L77" s="28" t="s">
        <v>145</v>
      </c>
      <c r="M77" s="28">
        <v>18753</v>
      </c>
      <c r="N77" s="29" t="s">
        <v>560</v>
      </c>
      <c r="O77" s="24">
        <f>VLOOKUP(A77,Hoja1!A:C,3,0)</f>
        <v>8</v>
      </c>
      <c r="P77" s="30" t="str">
        <f>VLOOKUP(M77,[1]TIPOLOGIAS!$A:$F,4,0)</f>
        <v>NEIVA</v>
      </c>
      <c r="Q77" s="30" t="str">
        <f>VLOOKUP(P77,'BASE TARIFA 2025'!C:D,2,0)</f>
        <v>WOMPI ORIENTE</v>
      </c>
      <c r="R77" s="31">
        <f>VLOOKUP(P77,'BASE TARIFA 2025'!C:F,4,0)</f>
        <v>28277.100000000002</v>
      </c>
    </row>
    <row r="78" spans="1:18" s="28" customFormat="1" ht="14.4" x14ac:dyDescent="0.3">
      <c r="A78" s="28">
        <v>51436</v>
      </c>
      <c r="B78" s="28" t="s">
        <v>774</v>
      </c>
      <c r="C78" s="28">
        <v>901220535</v>
      </c>
      <c r="D78" s="28" t="s">
        <v>775</v>
      </c>
      <c r="E78" s="28" t="s">
        <v>775</v>
      </c>
      <c r="G78" s="28" t="s">
        <v>776</v>
      </c>
      <c r="H78" s="28" t="s">
        <v>777</v>
      </c>
      <c r="I78" s="28" t="s">
        <v>778</v>
      </c>
      <c r="J78" s="28" t="s">
        <v>144</v>
      </c>
      <c r="K78" s="28" t="s">
        <v>145</v>
      </c>
      <c r="L78" s="28" t="s">
        <v>145</v>
      </c>
      <c r="M78" s="28">
        <v>18753</v>
      </c>
      <c r="N78" s="29" t="s">
        <v>542</v>
      </c>
      <c r="O78" s="24">
        <f>VLOOKUP(A78,Hoja1!A:C,3,0)</f>
        <v>8</v>
      </c>
      <c r="P78" s="30" t="str">
        <f>VLOOKUP(M78,[1]TIPOLOGIAS!$A:$F,4,0)</f>
        <v>NEIVA</v>
      </c>
      <c r="Q78" s="30" t="str">
        <f>VLOOKUP(P78,'BASE TARIFA 2025'!C:D,2,0)</f>
        <v>WOMPI ORIENTE</v>
      </c>
      <c r="R78" s="31">
        <f>VLOOKUP(P78,'BASE TARIFA 2025'!C:F,4,0)</f>
        <v>28277.100000000002</v>
      </c>
    </row>
    <row r="79" spans="1:18" s="28" customFormat="1" ht="14.4" x14ac:dyDescent="0.3">
      <c r="A79" s="28">
        <v>45904</v>
      </c>
      <c r="B79" s="28" t="s">
        <v>779</v>
      </c>
      <c r="C79" s="28">
        <v>1986321</v>
      </c>
      <c r="D79" s="28" t="s">
        <v>780</v>
      </c>
      <c r="E79" s="28" t="s">
        <v>781</v>
      </c>
      <c r="F79" s="28" t="s">
        <v>781</v>
      </c>
      <c r="G79" s="28" t="s">
        <v>782</v>
      </c>
      <c r="H79" s="28" t="s">
        <v>783</v>
      </c>
      <c r="I79" s="28" t="s">
        <v>784</v>
      </c>
      <c r="J79" s="28" t="s">
        <v>144</v>
      </c>
      <c r="K79" s="28" t="s">
        <v>145</v>
      </c>
      <c r="L79" s="28" t="s">
        <v>145</v>
      </c>
      <c r="M79" s="28">
        <v>18753</v>
      </c>
      <c r="N79" s="29" t="s">
        <v>560</v>
      </c>
      <c r="O79" s="24">
        <f>VLOOKUP(A79,Hoja1!A:C,3,0)</f>
        <v>8</v>
      </c>
      <c r="P79" s="30" t="str">
        <f>VLOOKUP(M79,[1]TIPOLOGIAS!$A:$F,4,0)</f>
        <v>NEIVA</v>
      </c>
      <c r="Q79" s="30" t="str">
        <f>VLOOKUP(P79,'BASE TARIFA 2025'!C:D,2,0)</f>
        <v>WOMPI ORIENTE</v>
      </c>
      <c r="R79" s="31">
        <f>VLOOKUP(P79,'BASE TARIFA 2025'!C:F,4,0)</f>
        <v>28277.100000000002</v>
      </c>
    </row>
    <row r="80" spans="1:18" s="28" customFormat="1" ht="14.4" x14ac:dyDescent="0.3">
      <c r="A80" s="28">
        <v>46025</v>
      </c>
      <c r="B80" s="28" t="s">
        <v>785</v>
      </c>
      <c r="C80" s="28">
        <v>1093739795</v>
      </c>
      <c r="D80" s="28" t="s">
        <v>786</v>
      </c>
      <c r="E80" s="28" t="s">
        <v>786</v>
      </c>
      <c r="F80" s="28" t="s">
        <v>786</v>
      </c>
      <c r="G80" s="28" t="s">
        <v>787</v>
      </c>
      <c r="H80" s="28" t="s">
        <v>788</v>
      </c>
      <c r="I80" s="28" t="s">
        <v>789</v>
      </c>
      <c r="J80" s="28" t="s">
        <v>144</v>
      </c>
      <c r="K80" s="28" t="s">
        <v>145</v>
      </c>
      <c r="L80" s="28" t="s">
        <v>145</v>
      </c>
      <c r="M80" s="28">
        <v>18753</v>
      </c>
      <c r="N80" s="29" t="s">
        <v>790</v>
      </c>
      <c r="O80" s="24">
        <f>VLOOKUP(A80,Hoja1!A:C,3,0)</f>
        <v>8</v>
      </c>
      <c r="P80" s="30" t="str">
        <f>VLOOKUP(M80,[1]TIPOLOGIAS!$A:$F,4,0)</f>
        <v>NEIVA</v>
      </c>
      <c r="Q80" s="30" t="str">
        <f>VLOOKUP(P80,'BASE TARIFA 2025'!C:D,2,0)</f>
        <v>WOMPI ORIENTE</v>
      </c>
      <c r="R80" s="31">
        <f>VLOOKUP(P80,'BASE TARIFA 2025'!C:F,4,0)</f>
        <v>28277.100000000002</v>
      </c>
    </row>
    <row r="81" spans="1:18" s="28" customFormat="1" ht="14.4" x14ac:dyDescent="0.3">
      <c r="A81" s="28">
        <v>34796</v>
      </c>
      <c r="B81" s="28" t="s">
        <v>791</v>
      </c>
      <c r="C81" s="28">
        <v>33140885</v>
      </c>
      <c r="D81" s="28" t="s">
        <v>792</v>
      </c>
      <c r="E81" s="28" t="s">
        <v>792</v>
      </c>
      <c r="F81" s="28" t="s">
        <v>792</v>
      </c>
      <c r="G81" s="28" t="s">
        <v>793</v>
      </c>
      <c r="H81" s="28" t="s">
        <v>794</v>
      </c>
      <c r="I81" s="28" t="s">
        <v>795</v>
      </c>
      <c r="J81" s="28" t="s">
        <v>144</v>
      </c>
      <c r="K81" s="28" t="s">
        <v>145</v>
      </c>
      <c r="L81" s="28" t="s">
        <v>145</v>
      </c>
      <c r="M81" s="28">
        <v>18753</v>
      </c>
      <c r="N81" s="29" t="s">
        <v>790</v>
      </c>
      <c r="O81" s="24">
        <f>VLOOKUP(A81,Hoja1!A:C,3,0)</f>
        <v>16</v>
      </c>
      <c r="P81" s="30" t="str">
        <f>VLOOKUP(M81,[1]TIPOLOGIAS!$A:$F,4,0)</f>
        <v>NEIVA</v>
      </c>
      <c r="Q81" s="30" t="str">
        <f>VLOOKUP(P81,'BASE TARIFA 2025'!C:D,2,0)</f>
        <v>WOMPI ORIENTE</v>
      </c>
      <c r="R81" s="31">
        <f>VLOOKUP(P81,'BASE TARIFA 2025'!C:F,4,0)</f>
        <v>28277.100000000002</v>
      </c>
    </row>
    <row r="82" spans="1:18" s="28" customFormat="1" ht="14.4" x14ac:dyDescent="0.3">
      <c r="A82" s="28">
        <v>36067</v>
      </c>
      <c r="B82" s="28" t="s">
        <v>796</v>
      </c>
      <c r="C82" s="28">
        <v>1047395572</v>
      </c>
      <c r="D82" s="28" t="s">
        <v>797</v>
      </c>
      <c r="E82" s="28" t="s">
        <v>797</v>
      </c>
      <c r="F82" s="28" t="s">
        <v>797</v>
      </c>
      <c r="G82" s="28" t="s">
        <v>798</v>
      </c>
      <c r="H82" s="28" t="s">
        <v>799</v>
      </c>
      <c r="I82" s="28" t="s">
        <v>800</v>
      </c>
      <c r="J82" s="28" t="s">
        <v>144</v>
      </c>
      <c r="K82" s="28" t="s">
        <v>145</v>
      </c>
      <c r="L82" s="28" t="s">
        <v>145</v>
      </c>
      <c r="M82" s="28">
        <v>18753</v>
      </c>
      <c r="N82" s="29" t="s">
        <v>542</v>
      </c>
      <c r="O82" s="24">
        <f>VLOOKUP(A82,Hoja1!A:C,3,0)</f>
        <v>8</v>
      </c>
      <c r="P82" s="30" t="str">
        <f>VLOOKUP(M82,[1]TIPOLOGIAS!$A:$F,4,0)</f>
        <v>NEIVA</v>
      </c>
      <c r="Q82" s="30" t="str">
        <f>VLOOKUP(P82,'BASE TARIFA 2025'!C:D,2,0)</f>
        <v>WOMPI ORIENTE</v>
      </c>
      <c r="R82" s="31">
        <f>VLOOKUP(P82,'BASE TARIFA 2025'!C:F,4,0)</f>
        <v>28277.100000000002</v>
      </c>
    </row>
    <row r="83" spans="1:18" s="28" customFormat="1" ht="14.4" x14ac:dyDescent="0.3">
      <c r="A83" s="28">
        <v>28974</v>
      </c>
      <c r="B83" s="28" t="s">
        <v>801</v>
      </c>
      <c r="C83" s="28">
        <v>900975195</v>
      </c>
      <c r="D83" s="28" t="s">
        <v>802</v>
      </c>
      <c r="E83" s="28" t="s">
        <v>802</v>
      </c>
      <c r="G83" s="28" t="s">
        <v>803</v>
      </c>
      <c r="H83" s="28" t="s">
        <v>804</v>
      </c>
      <c r="I83" s="28" t="s">
        <v>805</v>
      </c>
      <c r="J83" s="28" t="s">
        <v>144</v>
      </c>
      <c r="K83" s="28" t="s">
        <v>145</v>
      </c>
      <c r="L83" s="28" t="s">
        <v>145</v>
      </c>
      <c r="M83" s="28">
        <v>18753</v>
      </c>
      <c r="N83" s="29" t="s">
        <v>560</v>
      </c>
      <c r="O83" s="24">
        <f>VLOOKUP(A83,Hoja1!A:C,3,0)</f>
        <v>16</v>
      </c>
      <c r="P83" s="30" t="str">
        <f>VLOOKUP(M83,[1]TIPOLOGIAS!$A:$F,4,0)</f>
        <v>NEIVA</v>
      </c>
      <c r="Q83" s="30" t="str">
        <f>VLOOKUP(P83,'BASE TARIFA 2025'!C:D,2,0)</f>
        <v>WOMPI ORIENTE</v>
      </c>
      <c r="R83" s="31">
        <f>VLOOKUP(P83,'BASE TARIFA 2025'!C:F,4,0)</f>
        <v>28277.100000000002</v>
      </c>
    </row>
    <row r="84" spans="1:18" s="28" customFormat="1" ht="14.4" x14ac:dyDescent="0.3">
      <c r="A84" s="28">
        <v>31029</v>
      </c>
      <c r="B84" s="28" t="s">
        <v>806</v>
      </c>
      <c r="C84" s="28">
        <v>45543065</v>
      </c>
      <c r="D84" s="28" t="s">
        <v>807</v>
      </c>
      <c r="E84" s="28" t="s">
        <v>807</v>
      </c>
      <c r="F84" s="28" t="s">
        <v>807</v>
      </c>
      <c r="G84" s="28" t="s">
        <v>808</v>
      </c>
      <c r="H84" s="28" t="s">
        <v>809</v>
      </c>
      <c r="I84" s="28" t="s">
        <v>810</v>
      </c>
      <c r="J84" s="28" t="s">
        <v>144</v>
      </c>
      <c r="K84" s="28" t="s">
        <v>145</v>
      </c>
      <c r="L84" s="28" t="s">
        <v>145</v>
      </c>
      <c r="M84" s="28">
        <v>18753</v>
      </c>
      <c r="N84" s="29" t="s">
        <v>530</v>
      </c>
      <c r="O84" s="24">
        <f>VLOOKUP(A84,Hoja1!A:C,3,0)</f>
        <v>8</v>
      </c>
      <c r="P84" s="30" t="str">
        <f>VLOOKUP(M84,[1]TIPOLOGIAS!$A:$F,4,0)</f>
        <v>NEIVA</v>
      </c>
      <c r="Q84" s="30" t="str">
        <f>VLOOKUP(P84,'BASE TARIFA 2025'!C:D,2,0)</f>
        <v>WOMPI ORIENTE</v>
      </c>
      <c r="R84" s="31">
        <f>VLOOKUP(P84,'BASE TARIFA 2025'!C:F,4,0)</f>
        <v>28277.100000000002</v>
      </c>
    </row>
    <row r="85" spans="1:18" s="28" customFormat="1" ht="14.4" x14ac:dyDescent="0.3">
      <c r="A85" s="28">
        <v>30332</v>
      </c>
      <c r="B85" s="28" t="s">
        <v>811</v>
      </c>
      <c r="C85" s="28">
        <v>900733016</v>
      </c>
      <c r="D85" s="28" t="s">
        <v>69</v>
      </c>
      <c r="E85" s="28" t="s">
        <v>812</v>
      </c>
      <c r="F85" s="28" t="s">
        <v>812</v>
      </c>
      <c r="G85" s="28" t="s">
        <v>813</v>
      </c>
      <c r="H85" s="28" t="s">
        <v>814</v>
      </c>
      <c r="I85" s="28" t="s">
        <v>815</v>
      </c>
      <c r="J85" s="28" t="s">
        <v>144</v>
      </c>
      <c r="K85" s="28" t="s">
        <v>145</v>
      </c>
      <c r="L85" s="28" t="s">
        <v>145</v>
      </c>
      <c r="M85" s="28">
        <v>18753</v>
      </c>
      <c r="N85" s="29" t="s">
        <v>536</v>
      </c>
      <c r="O85" s="24">
        <f>VLOOKUP(A85,Hoja1!A:C,3,0)</f>
        <v>8</v>
      </c>
      <c r="P85" s="30" t="str">
        <f>VLOOKUP(M85,[1]TIPOLOGIAS!$A:$F,4,0)</f>
        <v>NEIVA</v>
      </c>
      <c r="Q85" s="30" t="str">
        <f>VLOOKUP(P85,'BASE TARIFA 2025'!C:D,2,0)</f>
        <v>WOMPI ORIENTE</v>
      </c>
      <c r="R85" s="31">
        <f>VLOOKUP(P85,'BASE TARIFA 2025'!C:F,4,0)</f>
        <v>28277.100000000002</v>
      </c>
    </row>
    <row r="86" spans="1:18" s="28" customFormat="1" ht="14.4" x14ac:dyDescent="0.3">
      <c r="A86" s="28">
        <v>21456</v>
      </c>
      <c r="B86" s="28" t="s">
        <v>816</v>
      </c>
      <c r="C86" s="28">
        <v>64894059</v>
      </c>
      <c r="D86" s="28" t="s">
        <v>817</v>
      </c>
      <c r="E86" s="28" t="s">
        <v>817</v>
      </c>
      <c r="F86" s="28" t="s">
        <v>817</v>
      </c>
      <c r="G86" s="28" t="s">
        <v>818</v>
      </c>
      <c r="H86" s="28" t="s">
        <v>819</v>
      </c>
      <c r="I86" s="28" t="s">
        <v>820</v>
      </c>
      <c r="J86" s="28" t="s">
        <v>144</v>
      </c>
      <c r="K86" s="28" t="s">
        <v>145</v>
      </c>
      <c r="L86" s="28" t="s">
        <v>145</v>
      </c>
      <c r="M86" s="28">
        <v>18753</v>
      </c>
      <c r="N86" s="29" t="s">
        <v>530</v>
      </c>
      <c r="O86" s="24">
        <f>VLOOKUP(A86,Hoja1!A:C,3,0)</f>
        <v>16</v>
      </c>
      <c r="P86" s="30" t="str">
        <f>VLOOKUP(M86,[1]TIPOLOGIAS!$A:$F,4,0)</f>
        <v>NEIVA</v>
      </c>
      <c r="Q86" s="30" t="str">
        <f>VLOOKUP(P86,'BASE TARIFA 2025'!C:D,2,0)</f>
        <v>WOMPI ORIENTE</v>
      </c>
      <c r="R86" s="31">
        <f>VLOOKUP(P86,'BASE TARIFA 2025'!C:F,4,0)</f>
        <v>28277.100000000002</v>
      </c>
    </row>
    <row r="87" spans="1:18" s="28" customFormat="1" ht="14.4" x14ac:dyDescent="0.3">
      <c r="A87" s="28">
        <v>63361</v>
      </c>
      <c r="B87" s="28" t="s">
        <v>821</v>
      </c>
      <c r="C87" s="28">
        <v>63531706</v>
      </c>
      <c r="D87" s="28" t="s">
        <v>69</v>
      </c>
      <c r="E87" s="28" t="s">
        <v>822</v>
      </c>
      <c r="F87" s="28" t="s">
        <v>822</v>
      </c>
      <c r="G87" s="28" t="s">
        <v>823</v>
      </c>
      <c r="H87" s="28" t="s">
        <v>824</v>
      </c>
      <c r="I87" s="28" t="s">
        <v>825</v>
      </c>
      <c r="J87" s="28" t="s">
        <v>144</v>
      </c>
      <c r="K87" s="28" t="s">
        <v>145</v>
      </c>
      <c r="L87" s="28" t="s">
        <v>145</v>
      </c>
      <c r="M87" s="28">
        <v>18753</v>
      </c>
      <c r="N87" s="29" t="s">
        <v>655</v>
      </c>
      <c r="O87" s="24" t="e">
        <f>VLOOKUP(A87,Hoja1!A:C,3,0)</f>
        <v>#N/A</v>
      </c>
      <c r="P87" s="30" t="str">
        <f>VLOOKUP(M87,[1]TIPOLOGIAS!$A:$F,4,0)</f>
        <v>NEIVA</v>
      </c>
      <c r="Q87" s="30" t="str">
        <f>VLOOKUP(P87,'BASE TARIFA 2025'!C:D,2,0)</f>
        <v>WOMPI ORIENTE</v>
      </c>
      <c r="R87" s="31">
        <f>VLOOKUP(P87,'BASE TARIFA 2025'!C:F,4,0)</f>
        <v>28277.100000000002</v>
      </c>
    </row>
    <row r="88" spans="1:18" s="28" customFormat="1" ht="14.4" x14ac:dyDescent="0.3">
      <c r="A88" s="28">
        <v>64145</v>
      </c>
      <c r="B88" s="28" t="s">
        <v>826</v>
      </c>
      <c r="C88" s="28">
        <v>79760633</v>
      </c>
      <c r="D88" s="28" t="s">
        <v>69</v>
      </c>
      <c r="E88" s="28" t="s">
        <v>827</v>
      </c>
      <c r="F88" s="28" t="s">
        <v>828</v>
      </c>
      <c r="G88" s="28" t="s">
        <v>829</v>
      </c>
      <c r="H88" s="28" t="s">
        <v>830</v>
      </c>
      <c r="I88" s="28" t="s">
        <v>831</v>
      </c>
      <c r="J88" s="28" t="s">
        <v>144</v>
      </c>
      <c r="K88" s="28" t="s">
        <v>145</v>
      </c>
      <c r="L88" s="28" t="s">
        <v>145</v>
      </c>
      <c r="M88" s="28">
        <v>18753</v>
      </c>
      <c r="N88" s="29" t="s">
        <v>756</v>
      </c>
      <c r="O88" s="24" t="e">
        <f>VLOOKUP(A88,Hoja1!A:C,3,0)</f>
        <v>#N/A</v>
      </c>
      <c r="P88" s="30" t="str">
        <f>VLOOKUP(M88,[1]TIPOLOGIAS!$A:$F,4,0)</f>
        <v>NEIVA</v>
      </c>
      <c r="Q88" s="30" t="str">
        <f>VLOOKUP(P88,'BASE TARIFA 2025'!C:D,2,0)</f>
        <v>WOMPI ORIENTE</v>
      </c>
      <c r="R88" s="31">
        <f>VLOOKUP(P88,'BASE TARIFA 2025'!C:F,4,0)</f>
        <v>28277.100000000002</v>
      </c>
    </row>
    <row r="89" spans="1:18" s="28" customFormat="1" ht="14.4" x14ac:dyDescent="0.3">
      <c r="A89" s="28">
        <v>69316</v>
      </c>
      <c r="B89" s="28" t="s">
        <v>832</v>
      </c>
      <c r="C89" s="28">
        <v>901225815</v>
      </c>
      <c r="D89" s="28" t="s">
        <v>833</v>
      </c>
      <c r="E89" s="28" t="s">
        <v>834</v>
      </c>
      <c r="F89" s="28" t="s">
        <v>833</v>
      </c>
      <c r="G89" s="28" t="s">
        <v>835</v>
      </c>
      <c r="H89" s="28" t="s">
        <v>836</v>
      </c>
      <c r="I89" s="28" t="s">
        <v>837</v>
      </c>
      <c r="J89" s="28" t="s">
        <v>144</v>
      </c>
      <c r="K89" s="28" t="s">
        <v>145</v>
      </c>
      <c r="L89" s="28" t="s">
        <v>145</v>
      </c>
      <c r="M89" s="28">
        <v>18753</v>
      </c>
      <c r="N89" s="29" t="s">
        <v>744</v>
      </c>
      <c r="O89" s="24" t="e">
        <f>VLOOKUP(A89,Hoja1!A:C,3,0)</f>
        <v>#N/A</v>
      </c>
      <c r="P89" s="30" t="str">
        <f>VLOOKUP(M89,[1]TIPOLOGIAS!$A:$F,4,0)</f>
        <v>NEIVA</v>
      </c>
      <c r="Q89" s="30" t="str">
        <f>VLOOKUP(P89,'BASE TARIFA 2025'!C:D,2,0)</f>
        <v>WOMPI ORIENTE</v>
      </c>
      <c r="R89" s="31">
        <f>VLOOKUP(P89,'BASE TARIFA 2025'!C:F,4,0)</f>
        <v>28277.100000000002</v>
      </c>
    </row>
    <row r="90" spans="1:18" s="28" customFormat="1" ht="14.4" x14ac:dyDescent="0.3">
      <c r="A90" s="28">
        <v>60480</v>
      </c>
      <c r="B90" s="28" t="s">
        <v>838</v>
      </c>
      <c r="C90" s="28">
        <v>1075677684</v>
      </c>
      <c r="D90" s="28" t="s">
        <v>839</v>
      </c>
      <c r="E90" s="28" t="s">
        <v>839</v>
      </c>
      <c r="F90" s="28" t="s">
        <v>839</v>
      </c>
      <c r="G90" s="28" t="s">
        <v>840</v>
      </c>
      <c r="H90" s="28" t="s">
        <v>841</v>
      </c>
      <c r="I90" s="28" t="s">
        <v>842</v>
      </c>
      <c r="J90" s="28" t="s">
        <v>73</v>
      </c>
      <c r="K90" s="28" t="s">
        <v>33</v>
      </c>
      <c r="L90" s="28" t="s">
        <v>33</v>
      </c>
      <c r="M90" s="28">
        <v>15001</v>
      </c>
      <c r="N90" s="29" t="s">
        <v>589</v>
      </c>
      <c r="O90" s="24">
        <f>VLOOKUP(A90,Hoja1!A:C,3,0)</f>
        <v>8</v>
      </c>
      <c r="P90" s="30" t="str">
        <f>VLOOKUP(M90,[1]TIPOLOGIAS!$A:$F,4,0)</f>
        <v>TUNJA</v>
      </c>
      <c r="Q90" s="30" t="str">
        <f>VLOOKUP(P90,'BASE TARIFA 2025'!C:D,2,0)</f>
        <v>WOMPI SANTANDERES</v>
      </c>
      <c r="R90" s="31">
        <f>VLOOKUP(P90,'BASE TARIFA 2025'!C:F,4,0)</f>
        <v>28277.100000000002</v>
      </c>
    </row>
    <row r="91" spans="1:18" s="28" customFormat="1" ht="14.4" x14ac:dyDescent="0.3">
      <c r="A91" s="28">
        <v>50484</v>
      </c>
      <c r="B91" s="28" t="s">
        <v>843</v>
      </c>
      <c r="C91" s="28">
        <v>830073087</v>
      </c>
      <c r="D91" s="28" t="s">
        <v>844</v>
      </c>
      <c r="E91" s="28" t="s">
        <v>845</v>
      </c>
      <c r="F91" s="28" t="s">
        <v>845</v>
      </c>
      <c r="G91" s="28" t="s">
        <v>846</v>
      </c>
      <c r="H91" s="28" t="s">
        <v>159</v>
      </c>
      <c r="I91" s="28" t="s">
        <v>847</v>
      </c>
      <c r="J91" s="28" t="s">
        <v>73</v>
      </c>
      <c r="K91" s="28" t="s">
        <v>33</v>
      </c>
      <c r="L91" s="28" t="s">
        <v>33</v>
      </c>
      <c r="M91" s="28">
        <v>15001</v>
      </c>
      <c r="N91" s="29" t="s">
        <v>744</v>
      </c>
      <c r="O91" s="24" t="e">
        <f>VLOOKUP(A91,Hoja1!A:C,3,0)</f>
        <v>#N/A</v>
      </c>
      <c r="P91" s="30" t="str">
        <f>VLOOKUP(M91,[1]TIPOLOGIAS!$A:$F,4,0)</f>
        <v>TUNJA</v>
      </c>
      <c r="Q91" s="30" t="str">
        <f>VLOOKUP(P91,'BASE TARIFA 2025'!C:D,2,0)</f>
        <v>WOMPI SANTANDERES</v>
      </c>
      <c r="R91" s="31">
        <f>VLOOKUP(P91,'BASE TARIFA 2025'!C:F,4,0)</f>
        <v>28277.100000000002</v>
      </c>
    </row>
    <row r="92" spans="1:18" s="28" customFormat="1" ht="14.4" x14ac:dyDescent="0.3">
      <c r="A92" s="28">
        <v>41529</v>
      </c>
      <c r="B92" s="28" t="s">
        <v>848</v>
      </c>
      <c r="C92" s="28">
        <v>74374334</v>
      </c>
      <c r="D92" s="28" t="s">
        <v>849</v>
      </c>
      <c r="E92" s="28" t="s">
        <v>849</v>
      </c>
      <c r="F92" s="28" t="s">
        <v>849</v>
      </c>
      <c r="G92" s="28" t="s">
        <v>850</v>
      </c>
      <c r="H92" s="28" t="s">
        <v>851</v>
      </c>
      <c r="I92" s="28" t="s">
        <v>852</v>
      </c>
      <c r="J92" s="28" t="s">
        <v>73</v>
      </c>
      <c r="K92" s="28" t="s">
        <v>33</v>
      </c>
      <c r="L92" s="28" t="s">
        <v>33</v>
      </c>
      <c r="M92" s="28">
        <v>15001</v>
      </c>
      <c r="N92" s="29" t="s">
        <v>744</v>
      </c>
      <c r="O92" s="24">
        <f>VLOOKUP(A92,Hoja1!A:C,3,0)</f>
        <v>8</v>
      </c>
      <c r="P92" s="30" t="str">
        <f>VLOOKUP(M92,[1]TIPOLOGIAS!$A:$F,4,0)</f>
        <v>TUNJA</v>
      </c>
      <c r="Q92" s="30" t="str">
        <f>VLOOKUP(P92,'BASE TARIFA 2025'!C:D,2,0)</f>
        <v>WOMPI SANTANDERES</v>
      </c>
      <c r="R92" s="31">
        <f>VLOOKUP(P92,'BASE TARIFA 2025'!C:F,4,0)</f>
        <v>28277.100000000002</v>
      </c>
    </row>
    <row r="93" spans="1:18" s="28" customFormat="1" ht="14.4" x14ac:dyDescent="0.3">
      <c r="A93" s="28">
        <v>33503</v>
      </c>
      <c r="B93" s="28" t="s">
        <v>853</v>
      </c>
      <c r="C93" s="28">
        <v>43501384</v>
      </c>
      <c r="D93" s="28" t="s">
        <v>844</v>
      </c>
      <c r="E93" s="28" t="s">
        <v>844</v>
      </c>
      <c r="F93" s="28" t="s">
        <v>844</v>
      </c>
      <c r="G93" s="28" t="s">
        <v>854</v>
      </c>
      <c r="H93" s="28" t="s">
        <v>855</v>
      </c>
      <c r="I93" s="28" t="s">
        <v>158</v>
      </c>
      <c r="J93" s="28" t="s">
        <v>73</v>
      </c>
      <c r="K93" s="28" t="s">
        <v>33</v>
      </c>
      <c r="L93" s="28" t="s">
        <v>33</v>
      </c>
      <c r="M93" s="28">
        <v>15001</v>
      </c>
      <c r="N93" s="29" t="s">
        <v>744</v>
      </c>
      <c r="O93" s="24">
        <f>VLOOKUP(A93,Hoja1!A:C,3,0)</f>
        <v>8</v>
      </c>
      <c r="P93" s="30" t="str">
        <f>VLOOKUP(M93,[1]TIPOLOGIAS!$A:$F,4,0)</f>
        <v>TUNJA</v>
      </c>
      <c r="Q93" s="30" t="str">
        <f>VLOOKUP(P93,'BASE TARIFA 2025'!C:D,2,0)</f>
        <v>WOMPI SANTANDERES</v>
      </c>
      <c r="R93" s="31">
        <f>VLOOKUP(P93,'BASE TARIFA 2025'!C:F,4,0)</f>
        <v>28277.100000000002</v>
      </c>
    </row>
    <row r="94" spans="1:18" s="28" customFormat="1" ht="14.4" x14ac:dyDescent="0.3">
      <c r="A94" s="28">
        <v>32414</v>
      </c>
      <c r="B94" s="28" t="s">
        <v>856</v>
      </c>
      <c r="C94" s="28">
        <v>1126595090</v>
      </c>
      <c r="D94" s="28" t="s">
        <v>857</v>
      </c>
      <c r="E94" s="28" t="s">
        <v>585</v>
      </c>
      <c r="F94" s="28" t="s">
        <v>585</v>
      </c>
      <c r="G94" s="28" t="s">
        <v>858</v>
      </c>
      <c r="H94" s="28" t="s">
        <v>859</v>
      </c>
      <c r="I94" s="28" t="s">
        <v>541</v>
      </c>
      <c r="J94" s="28" t="s">
        <v>73</v>
      </c>
      <c r="K94" s="28" t="s">
        <v>33</v>
      </c>
      <c r="L94" s="28" t="s">
        <v>33</v>
      </c>
      <c r="M94" s="28">
        <v>15001</v>
      </c>
      <c r="N94" s="29" t="s">
        <v>744</v>
      </c>
      <c r="O94" s="24">
        <f>VLOOKUP(A94,Hoja1!A:C,3,0)</f>
        <v>16</v>
      </c>
      <c r="P94" s="30" t="str">
        <f>VLOOKUP(M94,[1]TIPOLOGIAS!$A:$F,4,0)</f>
        <v>TUNJA</v>
      </c>
      <c r="Q94" s="30" t="str">
        <f>VLOOKUP(P94,'BASE TARIFA 2025'!C:D,2,0)</f>
        <v>WOMPI SANTANDERES</v>
      </c>
      <c r="R94" s="31">
        <f>VLOOKUP(P94,'BASE TARIFA 2025'!C:F,4,0)</f>
        <v>28277.100000000002</v>
      </c>
    </row>
    <row r="95" spans="1:18" s="28" customFormat="1" ht="14.4" x14ac:dyDescent="0.3">
      <c r="A95" s="28">
        <v>35868</v>
      </c>
      <c r="B95" s="28" t="s">
        <v>860</v>
      </c>
      <c r="C95" s="28">
        <v>42152843</v>
      </c>
      <c r="D95" s="28" t="s">
        <v>861</v>
      </c>
      <c r="E95" s="28" t="s">
        <v>862</v>
      </c>
      <c r="F95" s="28" t="s">
        <v>862</v>
      </c>
      <c r="G95" s="28" t="s">
        <v>863</v>
      </c>
      <c r="H95" s="28" t="s">
        <v>864</v>
      </c>
      <c r="I95" s="28" t="s">
        <v>865</v>
      </c>
      <c r="J95" s="28" t="s">
        <v>73</v>
      </c>
      <c r="K95" s="28" t="s">
        <v>33</v>
      </c>
      <c r="L95" s="28" t="s">
        <v>33</v>
      </c>
      <c r="M95" s="28">
        <v>15001</v>
      </c>
      <c r="N95" s="29" t="s">
        <v>589</v>
      </c>
      <c r="O95" s="24">
        <f>VLOOKUP(A95,Hoja1!A:C,3,0)</f>
        <v>16</v>
      </c>
      <c r="P95" s="30" t="str">
        <f>VLOOKUP(M95,[1]TIPOLOGIAS!$A:$F,4,0)</f>
        <v>TUNJA</v>
      </c>
      <c r="Q95" s="30" t="str">
        <f>VLOOKUP(P95,'BASE TARIFA 2025'!C:D,2,0)</f>
        <v>WOMPI SANTANDERES</v>
      </c>
      <c r="R95" s="31">
        <f>VLOOKUP(P95,'BASE TARIFA 2025'!C:F,4,0)</f>
        <v>28277.100000000002</v>
      </c>
    </row>
    <row r="96" spans="1:18" s="28" customFormat="1" ht="14.4" x14ac:dyDescent="0.3">
      <c r="A96" s="28">
        <v>78186</v>
      </c>
      <c r="B96" s="28" t="s">
        <v>866</v>
      </c>
      <c r="C96" s="28">
        <v>901624933</v>
      </c>
      <c r="D96" s="28" t="s">
        <v>867</v>
      </c>
      <c r="E96" s="28" t="s">
        <v>868</v>
      </c>
      <c r="F96" s="28" t="s">
        <v>868</v>
      </c>
      <c r="G96" s="28" t="s">
        <v>869</v>
      </c>
      <c r="H96" s="28" t="s">
        <v>870</v>
      </c>
      <c r="I96" s="28" t="s">
        <v>871</v>
      </c>
      <c r="J96" s="28" t="s">
        <v>73</v>
      </c>
      <c r="K96" s="28" t="s">
        <v>33</v>
      </c>
      <c r="L96" s="28" t="s">
        <v>33</v>
      </c>
      <c r="M96" s="28">
        <v>15001</v>
      </c>
      <c r="N96" s="29" t="s">
        <v>744</v>
      </c>
      <c r="O96" s="24" t="e">
        <f>VLOOKUP(A96,Hoja1!A:C,3,0)</f>
        <v>#N/A</v>
      </c>
      <c r="P96" s="30" t="str">
        <f>VLOOKUP(M96,[1]TIPOLOGIAS!$A:$F,4,0)</f>
        <v>TUNJA</v>
      </c>
      <c r="Q96" s="30" t="str">
        <f>VLOOKUP(P96,'BASE TARIFA 2025'!C:D,2,0)</f>
        <v>WOMPI SANTANDERES</v>
      </c>
      <c r="R96" s="31">
        <f>VLOOKUP(P96,'BASE TARIFA 2025'!C:F,4,0)</f>
        <v>28277.100000000002</v>
      </c>
    </row>
    <row r="97" spans="1:18" s="28" customFormat="1" ht="14.4" x14ac:dyDescent="0.3">
      <c r="A97" s="28">
        <v>79298</v>
      </c>
      <c r="B97" s="28" t="s">
        <v>872</v>
      </c>
      <c r="C97" s="28">
        <v>1127912920</v>
      </c>
      <c r="D97" s="28" t="s">
        <v>620</v>
      </c>
      <c r="E97" s="28" t="s">
        <v>873</v>
      </c>
      <c r="F97" s="28" t="s">
        <v>873</v>
      </c>
      <c r="G97" s="28" t="s">
        <v>874</v>
      </c>
      <c r="H97" s="28" t="s">
        <v>875</v>
      </c>
      <c r="I97" s="28" t="s">
        <v>876</v>
      </c>
      <c r="J97" s="28" t="s">
        <v>73</v>
      </c>
      <c r="K97" s="28" t="s">
        <v>877</v>
      </c>
      <c r="L97" s="28" t="s">
        <v>877</v>
      </c>
      <c r="M97" s="28">
        <v>15097</v>
      </c>
      <c r="N97" s="29" t="s">
        <v>530</v>
      </c>
      <c r="O97" s="24" t="e">
        <f>VLOOKUP(A97,Hoja1!A:C,3,0)</f>
        <v>#N/A</v>
      </c>
      <c r="P97" s="30" t="str">
        <f>VLOOKUP(M97,[1]TIPOLOGIAS!$A:$F,4,0)</f>
        <v>TUNJA</v>
      </c>
      <c r="Q97" s="30" t="str">
        <f>VLOOKUP(P97,'BASE TARIFA 2025'!C:D,2,0)</f>
        <v>WOMPI SANTANDERES</v>
      </c>
      <c r="R97" s="31">
        <f>VLOOKUP(P97,'BASE TARIFA 2025'!C:F,4,0)</f>
        <v>28277.100000000002</v>
      </c>
    </row>
    <row r="98" spans="1:18" s="28" customFormat="1" ht="14.4" x14ac:dyDescent="0.3">
      <c r="A98" s="28">
        <v>78248</v>
      </c>
      <c r="B98" s="28" t="s">
        <v>878</v>
      </c>
      <c r="C98" s="28">
        <v>15922797</v>
      </c>
      <c r="E98" s="28" t="s">
        <v>879</v>
      </c>
      <c r="F98" s="28" t="s">
        <v>879</v>
      </c>
      <c r="G98" s="28" t="s">
        <v>880</v>
      </c>
      <c r="H98" s="28" t="s">
        <v>881</v>
      </c>
      <c r="I98" s="28" t="s">
        <v>882</v>
      </c>
      <c r="J98" s="28" t="s">
        <v>73</v>
      </c>
      <c r="K98" s="28" t="s">
        <v>877</v>
      </c>
      <c r="L98" s="28" t="s">
        <v>877</v>
      </c>
      <c r="M98" s="28">
        <v>15097</v>
      </c>
      <c r="N98" s="29" t="s">
        <v>530</v>
      </c>
      <c r="O98" s="24">
        <f>VLOOKUP(A98,Hoja1!A:C,3,0)</f>
        <v>16</v>
      </c>
      <c r="P98" s="30" t="str">
        <f>VLOOKUP(M98,[1]TIPOLOGIAS!$A:$F,4,0)</f>
        <v>TUNJA</v>
      </c>
      <c r="Q98" s="30" t="str">
        <f>VLOOKUP(P98,'BASE TARIFA 2025'!C:D,2,0)</f>
        <v>WOMPI SANTANDERES</v>
      </c>
      <c r="R98" s="31">
        <f>VLOOKUP(P98,'BASE TARIFA 2025'!C:F,4,0)</f>
        <v>28277.100000000002</v>
      </c>
    </row>
    <row r="99" spans="1:18" s="28" customFormat="1" ht="14.4" x14ac:dyDescent="0.3">
      <c r="A99" s="28">
        <v>77735</v>
      </c>
      <c r="B99" s="28" t="s">
        <v>883</v>
      </c>
      <c r="C99" s="28">
        <v>91109231</v>
      </c>
      <c r="D99" s="28" t="s">
        <v>884</v>
      </c>
      <c r="E99" s="28" t="s">
        <v>885</v>
      </c>
      <c r="F99" s="28" t="s">
        <v>885</v>
      </c>
      <c r="G99" s="28" t="s">
        <v>886</v>
      </c>
      <c r="H99" s="28" t="s">
        <v>887</v>
      </c>
      <c r="I99" s="28" t="s">
        <v>888</v>
      </c>
      <c r="J99" s="28" t="s">
        <v>73</v>
      </c>
      <c r="K99" s="28" t="s">
        <v>877</v>
      </c>
      <c r="L99" s="28" t="s">
        <v>877</v>
      </c>
      <c r="M99" s="28">
        <v>15097</v>
      </c>
      <c r="N99" s="29" t="s">
        <v>530</v>
      </c>
      <c r="O99" s="24" t="e">
        <f>VLOOKUP(A99,Hoja1!A:C,3,0)</f>
        <v>#N/A</v>
      </c>
      <c r="P99" s="30" t="str">
        <f>VLOOKUP(M99,[1]TIPOLOGIAS!$A:$F,4,0)</f>
        <v>TUNJA</v>
      </c>
      <c r="Q99" s="30" t="str">
        <f>VLOOKUP(P99,'BASE TARIFA 2025'!C:D,2,0)</f>
        <v>WOMPI SANTANDERES</v>
      </c>
      <c r="R99" s="31">
        <f>VLOOKUP(P99,'BASE TARIFA 2025'!C:F,4,0)</f>
        <v>28277.100000000002</v>
      </c>
    </row>
    <row r="100" spans="1:18" s="28" customFormat="1" ht="14.4" x14ac:dyDescent="0.3">
      <c r="A100" s="28">
        <v>26481</v>
      </c>
      <c r="B100" s="28" t="s">
        <v>889</v>
      </c>
      <c r="C100" s="28">
        <v>64541423</v>
      </c>
      <c r="D100" s="28" t="s">
        <v>890</v>
      </c>
      <c r="E100" s="28" t="s">
        <v>890</v>
      </c>
      <c r="F100" s="28" t="s">
        <v>890</v>
      </c>
      <c r="G100" s="28" t="s">
        <v>891</v>
      </c>
      <c r="H100" s="28" t="s">
        <v>892</v>
      </c>
      <c r="I100" s="28" t="s">
        <v>893</v>
      </c>
      <c r="J100" s="28" t="s">
        <v>73</v>
      </c>
      <c r="K100" s="28" t="s">
        <v>877</v>
      </c>
      <c r="L100" s="28" t="s">
        <v>877</v>
      </c>
      <c r="M100" s="28">
        <v>15097</v>
      </c>
      <c r="N100" s="29" t="s">
        <v>530</v>
      </c>
      <c r="O100" s="24" t="e">
        <f>VLOOKUP(A100,Hoja1!A:C,3,0)</f>
        <v>#N/A</v>
      </c>
      <c r="P100" s="30" t="str">
        <f>VLOOKUP(M100,[1]TIPOLOGIAS!$A:$F,4,0)</f>
        <v>TUNJA</v>
      </c>
      <c r="Q100" s="30" t="str">
        <f>VLOOKUP(P100,'BASE TARIFA 2025'!C:D,2,0)</f>
        <v>WOMPI SANTANDERES</v>
      </c>
      <c r="R100" s="31">
        <f>VLOOKUP(P100,'BASE TARIFA 2025'!C:F,4,0)</f>
        <v>28277.100000000002</v>
      </c>
    </row>
    <row r="101" spans="1:18" s="28" customFormat="1" ht="14.4" x14ac:dyDescent="0.3">
      <c r="A101" s="28">
        <v>65900</v>
      </c>
      <c r="B101" s="28" t="s">
        <v>894</v>
      </c>
      <c r="C101" s="28">
        <v>9867943</v>
      </c>
      <c r="D101" s="28" t="s">
        <v>895</v>
      </c>
      <c r="E101" s="28" t="s">
        <v>895</v>
      </c>
      <c r="F101" s="28" t="s">
        <v>896</v>
      </c>
      <c r="G101" s="28" t="s">
        <v>897</v>
      </c>
      <c r="H101" s="28" t="s">
        <v>898</v>
      </c>
      <c r="I101" s="28" t="s">
        <v>899</v>
      </c>
      <c r="J101" s="28" t="s">
        <v>73</v>
      </c>
      <c r="K101" s="28" t="s">
        <v>877</v>
      </c>
      <c r="L101" s="28" t="s">
        <v>877</v>
      </c>
      <c r="M101" s="28">
        <v>15097</v>
      </c>
      <c r="N101" s="29" t="s">
        <v>530</v>
      </c>
      <c r="O101" s="24">
        <f>VLOOKUP(A101,Hoja1!A:C,3,0)</f>
        <v>16</v>
      </c>
      <c r="P101" s="30" t="str">
        <f>VLOOKUP(M101,[1]TIPOLOGIAS!$A:$F,4,0)</f>
        <v>TUNJA</v>
      </c>
      <c r="Q101" s="30" t="str">
        <f>VLOOKUP(P101,'BASE TARIFA 2025'!C:D,2,0)</f>
        <v>WOMPI SANTANDERES</v>
      </c>
      <c r="R101" s="31">
        <f>VLOOKUP(P101,'BASE TARIFA 2025'!C:F,4,0)</f>
        <v>28277.100000000002</v>
      </c>
    </row>
    <row r="102" spans="1:18" s="28" customFormat="1" ht="14.4" x14ac:dyDescent="0.3">
      <c r="A102" s="28">
        <v>66152</v>
      </c>
      <c r="B102" s="28" t="s">
        <v>900</v>
      </c>
      <c r="C102" s="28">
        <v>80410202</v>
      </c>
      <c r="D102" s="28" t="s">
        <v>901</v>
      </c>
      <c r="E102" s="28" t="s">
        <v>901</v>
      </c>
      <c r="F102" s="28" t="s">
        <v>901</v>
      </c>
      <c r="G102" s="28" t="s">
        <v>902</v>
      </c>
      <c r="H102" s="28" t="s">
        <v>903</v>
      </c>
      <c r="I102" s="28" t="s">
        <v>904</v>
      </c>
      <c r="J102" s="28" t="s">
        <v>82</v>
      </c>
      <c r="K102" s="28" t="s">
        <v>905</v>
      </c>
      <c r="L102" s="28" t="s">
        <v>905</v>
      </c>
      <c r="M102" s="28">
        <v>13244</v>
      </c>
      <c r="N102" s="29" t="s">
        <v>536</v>
      </c>
      <c r="O102" s="24" t="e">
        <f>VLOOKUP(A102,Hoja1!A:C,3,0)</f>
        <v>#N/A</v>
      </c>
      <c r="P102" s="30" t="str">
        <f>VLOOKUP(M102,[1]TIPOLOGIAS!$A:$F,4,0)</f>
        <v>CARTAGENA</v>
      </c>
      <c r="Q102" s="30" t="str">
        <f>VLOOKUP(P102,'BASE TARIFA 2025'!C:D,2,0)</f>
        <v>WOMPI COSTA</v>
      </c>
      <c r="R102" s="31">
        <f>VLOOKUP(P102,'BASE TARIFA 2025'!C:F,4,0)</f>
        <v>28277.100000000002</v>
      </c>
    </row>
    <row r="103" spans="1:18" s="28" customFormat="1" ht="14.4" x14ac:dyDescent="0.3">
      <c r="A103" s="28">
        <v>51187</v>
      </c>
      <c r="B103" s="28" t="s">
        <v>906</v>
      </c>
      <c r="C103" s="28">
        <v>1037632868</v>
      </c>
      <c r="D103" s="28" t="s">
        <v>907</v>
      </c>
      <c r="E103" s="28" t="s">
        <v>908</v>
      </c>
      <c r="F103" s="28" t="s">
        <v>908</v>
      </c>
      <c r="G103" s="28" t="s">
        <v>909</v>
      </c>
      <c r="H103" s="28" t="s">
        <v>910</v>
      </c>
      <c r="I103" s="28" t="s">
        <v>911</v>
      </c>
      <c r="J103" s="28" t="s">
        <v>82</v>
      </c>
      <c r="K103" s="28" t="s">
        <v>912</v>
      </c>
      <c r="L103" s="28" t="s">
        <v>912</v>
      </c>
      <c r="M103" s="28">
        <v>13780</v>
      </c>
      <c r="N103" s="29" t="s">
        <v>560</v>
      </c>
      <c r="O103" s="24" t="e">
        <f>VLOOKUP(A103,Hoja1!A:C,3,0)</f>
        <v>#N/A</v>
      </c>
      <c r="P103" s="30" t="str">
        <f>VLOOKUP(M103,[1]TIPOLOGIAS!$A:$F,4,0)</f>
        <v>CARTAGENA</v>
      </c>
      <c r="Q103" s="30" t="str">
        <f>VLOOKUP(P103,'BASE TARIFA 2025'!C:D,2,0)</f>
        <v>WOMPI COSTA</v>
      </c>
      <c r="R103" s="31">
        <f>VLOOKUP(P103,'BASE TARIFA 2025'!C:F,4,0)</f>
        <v>28277.100000000002</v>
      </c>
    </row>
    <row r="104" spans="1:18" s="28" customFormat="1" ht="14.4" x14ac:dyDescent="0.3">
      <c r="A104" s="28">
        <v>17219</v>
      </c>
      <c r="B104" s="28" t="s">
        <v>913</v>
      </c>
      <c r="C104" s="28">
        <v>17588285</v>
      </c>
      <c r="D104" s="28" t="s">
        <v>914</v>
      </c>
      <c r="E104" s="28" t="s">
        <v>915</v>
      </c>
      <c r="F104" s="28" t="s">
        <v>914</v>
      </c>
      <c r="G104" s="28" t="s">
        <v>916</v>
      </c>
      <c r="H104" s="28" t="s">
        <v>917</v>
      </c>
      <c r="I104" s="28" t="s">
        <v>918</v>
      </c>
      <c r="J104" s="28" t="s">
        <v>82</v>
      </c>
      <c r="K104" s="28" t="s">
        <v>912</v>
      </c>
      <c r="L104" s="28" t="s">
        <v>912</v>
      </c>
      <c r="M104" s="28">
        <v>13780</v>
      </c>
      <c r="N104" s="29" t="s">
        <v>560</v>
      </c>
      <c r="O104" s="24">
        <f>VLOOKUP(A104,Hoja1!A:C,3,0)</f>
        <v>16</v>
      </c>
      <c r="P104" s="30" t="str">
        <f>VLOOKUP(M104,[1]TIPOLOGIAS!$A:$F,4,0)</f>
        <v>CARTAGENA</v>
      </c>
      <c r="Q104" s="30" t="str">
        <f>VLOOKUP(P104,'BASE TARIFA 2025'!C:D,2,0)</f>
        <v>WOMPI COSTA</v>
      </c>
      <c r="R104" s="31">
        <f>VLOOKUP(P104,'BASE TARIFA 2025'!C:F,4,0)</f>
        <v>28277.100000000002</v>
      </c>
    </row>
    <row r="105" spans="1:18" s="28" customFormat="1" ht="14.4" x14ac:dyDescent="0.3">
      <c r="A105" s="28">
        <v>75050</v>
      </c>
      <c r="B105" s="28" t="s">
        <v>919</v>
      </c>
      <c r="C105" s="28">
        <v>23755196</v>
      </c>
      <c r="D105" s="28" t="s">
        <v>920</v>
      </c>
      <c r="E105" s="28" t="s">
        <v>920</v>
      </c>
      <c r="F105" s="28" t="s">
        <v>920</v>
      </c>
      <c r="G105" s="28" t="s">
        <v>921</v>
      </c>
      <c r="H105" s="28" t="s">
        <v>922</v>
      </c>
      <c r="I105" s="28" t="s">
        <v>923</v>
      </c>
      <c r="J105" s="28" t="s">
        <v>82</v>
      </c>
      <c r="K105" s="28" t="s">
        <v>912</v>
      </c>
      <c r="L105" s="28" t="s">
        <v>912</v>
      </c>
      <c r="M105" s="28">
        <v>13780</v>
      </c>
      <c r="N105" s="29" t="s">
        <v>560</v>
      </c>
      <c r="O105" s="24" t="e">
        <f>VLOOKUP(A105,Hoja1!A:C,3,0)</f>
        <v>#N/A</v>
      </c>
      <c r="P105" s="30" t="str">
        <f>VLOOKUP(M105,[1]TIPOLOGIAS!$A:$F,4,0)</f>
        <v>CARTAGENA</v>
      </c>
      <c r="Q105" s="30" t="str">
        <f>VLOOKUP(P105,'BASE TARIFA 2025'!C:D,2,0)</f>
        <v>WOMPI COSTA</v>
      </c>
      <c r="R105" s="31">
        <f>VLOOKUP(P105,'BASE TARIFA 2025'!C:F,4,0)</f>
        <v>28277.100000000002</v>
      </c>
    </row>
    <row r="106" spans="1:18" s="28" customFormat="1" ht="14.4" x14ac:dyDescent="0.3">
      <c r="A106" s="28">
        <v>58209</v>
      </c>
      <c r="B106" s="28" t="s">
        <v>924</v>
      </c>
      <c r="C106" s="28">
        <v>1049625722</v>
      </c>
      <c r="D106" s="28" t="s">
        <v>925</v>
      </c>
      <c r="E106" s="28" t="s">
        <v>925</v>
      </c>
      <c r="F106" s="28" t="s">
        <v>925</v>
      </c>
      <c r="G106" s="28" t="s">
        <v>926</v>
      </c>
      <c r="H106" s="28" t="s">
        <v>927</v>
      </c>
      <c r="I106" s="28" t="s">
        <v>928</v>
      </c>
      <c r="J106" s="28" t="s">
        <v>82</v>
      </c>
      <c r="K106" s="28" t="s">
        <v>912</v>
      </c>
      <c r="L106" s="28" t="s">
        <v>912</v>
      </c>
      <c r="M106" s="28">
        <v>13780</v>
      </c>
      <c r="N106" s="29" t="s">
        <v>560</v>
      </c>
      <c r="O106" s="24">
        <f>VLOOKUP(A106,Hoja1!A:C,3,0)</f>
        <v>8</v>
      </c>
      <c r="P106" s="30" t="str">
        <f>VLOOKUP(M106,[1]TIPOLOGIAS!$A:$F,4,0)</f>
        <v>CARTAGENA</v>
      </c>
      <c r="Q106" s="30" t="str">
        <f>VLOOKUP(P106,'BASE TARIFA 2025'!C:D,2,0)</f>
        <v>WOMPI COSTA</v>
      </c>
      <c r="R106" s="31">
        <f>VLOOKUP(P106,'BASE TARIFA 2025'!C:F,4,0)</f>
        <v>28277.100000000002</v>
      </c>
    </row>
    <row r="107" spans="1:18" s="28" customFormat="1" ht="14.4" x14ac:dyDescent="0.3">
      <c r="A107" s="28">
        <v>39909</v>
      </c>
      <c r="B107" s="28" t="s">
        <v>929</v>
      </c>
      <c r="C107" s="28">
        <v>15319855</v>
      </c>
      <c r="D107" s="28" t="s">
        <v>930</v>
      </c>
      <c r="E107" s="28" t="s">
        <v>931</v>
      </c>
      <c r="F107" s="28" t="s">
        <v>931</v>
      </c>
      <c r="G107" s="28" t="s">
        <v>932</v>
      </c>
      <c r="H107" s="28" t="s">
        <v>933</v>
      </c>
      <c r="I107" s="28" t="s">
        <v>934</v>
      </c>
      <c r="J107" s="28" t="s">
        <v>73</v>
      </c>
      <c r="K107" s="28" t="s">
        <v>935</v>
      </c>
      <c r="L107" s="28" t="s">
        <v>935</v>
      </c>
      <c r="M107" s="28">
        <v>15047</v>
      </c>
      <c r="N107" s="29" t="s">
        <v>530</v>
      </c>
      <c r="O107" s="24">
        <f>VLOOKUP(A107,Hoja1!A:C,3,0)</f>
        <v>8</v>
      </c>
      <c r="P107" s="30" t="str">
        <f>VLOOKUP(M107,[1]TIPOLOGIAS!$A:$F,4,0)</f>
        <v>TUNJA</v>
      </c>
      <c r="Q107" s="30" t="str">
        <f>VLOOKUP(P107,'BASE TARIFA 2025'!C:D,2,0)</f>
        <v>WOMPI SANTANDERES</v>
      </c>
      <c r="R107" s="31">
        <f>VLOOKUP(P107,'BASE TARIFA 2025'!C:F,4,0)</f>
        <v>28277.100000000002</v>
      </c>
    </row>
    <row r="108" spans="1:18" s="28" customFormat="1" ht="14.4" x14ac:dyDescent="0.3">
      <c r="A108" s="28">
        <v>77918</v>
      </c>
      <c r="B108" s="28" t="s">
        <v>936</v>
      </c>
      <c r="C108" s="28">
        <v>50846877</v>
      </c>
      <c r="D108" s="28" t="s">
        <v>937</v>
      </c>
      <c r="E108" s="28" t="s">
        <v>938</v>
      </c>
      <c r="F108" s="28" t="s">
        <v>938</v>
      </c>
      <c r="G108" s="28" t="s">
        <v>939</v>
      </c>
      <c r="H108" s="28" t="s">
        <v>180</v>
      </c>
      <c r="I108" s="28" t="s">
        <v>940</v>
      </c>
      <c r="J108" s="28" t="s">
        <v>73</v>
      </c>
      <c r="K108" s="28" t="s">
        <v>935</v>
      </c>
      <c r="L108" s="28" t="s">
        <v>935</v>
      </c>
      <c r="M108" s="28">
        <v>15047</v>
      </c>
      <c r="N108" s="29" t="s">
        <v>530</v>
      </c>
      <c r="O108" s="24">
        <f>VLOOKUP(A108,Hoja1!A:C,3,0)</f>
        <v>16</v>
      </c>
      <c r="P108" s="30" t="str">
        <f>VLOOKUP(M108,[1]TIPOLOGIAS!$A:$F,4,0)</f>
        <v>TUNJA</v>
      </c>
      <c r="Q108" s="30" t="str">
        <f>VLOOKUP(P108,'BASE TARIFA 2025'!C:D,2,0)</f>
        <v>WOMPI SANTANDERES</v>
      </c>
      <c r="R108" s="31">
        <f>VLOOKUP(P108,'BASE TARIFA 2025'!C:F,4,0)</f>
        <v>28277.100000000002</v>
      </c>
    </row>
    <row r="109" spans="1:18" s="28" customFormat="1" ht="14.4" x14ac:dyDescent="0.3">
      <c r="A109" s="28">
        <v>58877</v>
      </c>
      <c r="B109" s="28" t="s">
        <v>941</v>
      </c>
      <c r="C109" s="28">
        <v>1064979627</v>
      </c>
      <c r="D109" s="28" t="s">
        <v>942</v>
      </c>
      <c r="E109" s="28" t="s">
        <v>942</v>
      </c>
      <c r="F109" s="28" t="s">
        <v>943</v>
      </c>
      <c r="G109" s="28" t="s">
        <v>944</v>
      </c>
      <c r="H109" s="28" t="s">
        <v>945</v>
      </c>
      <c r="I109" s="28" t="s">
        <v>946</v>
      </c>
      <c r="J109" s="28" t="s">
        <v>73</v>
      </c>
      <c r="K109" s="28" t="s">
        <v>935</v>
      </c>
      <c r="L109" s="28" t="s">
        <v>935</v>
      </c>
      <c r="M109" s="28">
        <v>15047</v>
      </c>
      <c r="N109" s="29" t="s">
        <v>530</v>
      </c>
      <c r="O109" s="24" t="e">
        <f>VLOOKUP(A109,Hoja1!A:C,3,0)</f>
        <v>#N/A</v>
      </c>
      <c r="P109" s="30" t="str">
        <f>VLOOKUP(M109,[1]TIPOLOGIAS!$A:$F,4,0)</f>
        <v>TUNJA</v>
      </c>
      <c r="Q109" s="30" t="str">
        <f>VLOOKUP(P109,'BASE TARIFA 2025'!C:D,2,0)</f>
        <v>WOMPI SANTANDERES</v>
      </c>
      <c r="R109" s="31">
        <f>VLOOKUP(P109,'BASE TARIFA 2025'!C:F,4,0)</f>
        <v>28277.100000000002</v>
      </c>
    </row>
    <row r="110" spans="1:18" s="28" customFormat="1" ht="14.4" x14ac:dyDescent="0.3">
      <c r="A110" s="28">
        <v>75688</v>
      </c>
      <c r="B110" s="28" t="s">
        <v>947</v>
      </c>
      <c r="C110" s="28">
        <v>52268713</v>
      </c>
      <c r="E110" s="28" t="s">
        <v>948</v>
      </c>
      <c r="F110" s="28" t="s">
        <v>948</v>
      </c>
      <c r="G110" s="28" t="s">
        <v>949</v>
      </c>
      <c r="H110" s="28" t="s">
        <v>950</v>
      </c>
      <c r="I110" s="28" t="s">
        <v>951</v>
      </c>
      <c r="J110" s="28" t="s">
        <v>73</v>
      </c>
      <c r="K110" s="28" t="s">
        <v>952</v>
      </c>
      <c r="L110" s="28" t="s">
        <v>952</v>
      </c>
      <c r="M110" s="28">
        <v>15162</v>
      </c>
      <c r="N110" s="29" t="s">
        <v>716</v>
      </c>
      <c r="O110" s="24" t="e">
        <f>VLOOKUP(A110,Hoja1!A:C,3,0)</f>
        <v>#N/A</v>
      </c>
      <c r="P110" s="30" t="str">
        <f>VLOOKUP(M110,[1]TIPOLOGIAS!$A:$F,4,0)</f>
        <v>TUNJA</v>
      </c>
      <c r="Q110" s="30" t="str">
        <f>VLOOKUP(P110,'BASE TARIFA 2025'!C:D,2,0)</f>
        <v>WOMPI SANTANDERES</v>
      </c>
      <c r="R110" s="31">
        <f>VLOOKUP(P110,'BASE TARIFA 2025'!C:F,4,0)</f>
        <v>28277.100000000002</v>
      </c>
    </row>
    <row r="111" spans="1:18" s="28" customFormat="1" ht="14.4" x14ac:dyDescent="0.3">
      <c r="A111" s="28">
        <v>80012</v>
      </c>
      <c r="B111" s="28" t="s">
        <v>953</v>
      </c>
      <c r="C111" s="28">
        <v>88250875</v>
      </c>
      <c r="D111" s="28" t="s">
        <v>954</v>
      </c>
      <c r="E111" s="28" t="s">
        <v>954</v>
      </c>
      <c r="F111" s="28" t="s">
        <v>955</v>
      </c>
      <c r="G111" s="28" t="s">
        <v>956</v>
      </c>
      <c r="H111" s="28" t="s">
        <v>957</v>
      </c>
      <c r="I111" s="28" t="s">
        <v>958</v>
      </c>
      <c r="J111" s="28" t="s">
        <v>73</v>
      </c>
      <c r="K111" s="28" t="s">
        <v>952</v>
      </c>
      <c r="L111" s="28" t="s">
        <v>952</v>
      </c>
      <c r="M111" s="28">
        <v>15162</v>
      </c>
      <c r="N111" s="29" t="s">
        <v>716</v>
      </c>
      <c r="O111" s="24">
        <f>VLOOKUP(A111,Hoja1!A:C,3,0)</f>
        <v>8</v>
      </c>
      <c r="P111" s="30" t="str">
        <f>VLOOKUP(M111,[1]TIPOLOGIAS!$A:$F,4,0)</f>
        <v>TUNJA</v>
      </c>
      <c r="Q111" s="30" t="str">
        <f>VLOOKUP(P111,'BASE TARIFA 2025'!C:D,2,0)</f>
        <v>WOMPI SANTANDERES</v>
      </c>
      <c r="R111" s="31">
        <f>VLOOKUP(P111,'BASE TARIFA 2025'!C:F,4,0)</f>
        <v>28277.100000000002</v>
      </c>
    </row>
    <row r="112" spans="1:18" s="28" customFormat="1" ht="14.4" x14ac:dyDescent="0.3">
      <c r="A112" s="28">
        <v>76882</v>
      </c>
      <c r="B112" s="28" t="s">
        <v>959</v>
      </c>
      <c r="C112" s="28">
        <v>1095934512</v>
      </c>
      <c r="D112" s="28" t="s">
        <v>960</v>
      </c>
      <c r="E112" s="28" t="s">
        <v>961</v>
      </c>
      <c r="F112" s="28" t="s">
        <v>961</v>
      </c>
      <c r="G112" s="28" t="s">
        <v>962</v>
      </c>
      <c r="H112" s="28" t="s">
        <v>963</v>
      </c>
      <c r="I112" s="28" t="s">
        <v>964</v>
      </c>
      <c r="J112" s="28" t="s">
        <v>73</v>
      </c>
      <c r="K112" s="28" t="s">
        <v>965</v>
      </c>
      <c r="L112" s="28" t="s">
        <v>965</v>
      </c>
      <c r="M112" s="28">
        <v>15172</v>
      </c>
      <c r="N112" s="29" t="s">
        <v>722</v>
      </c>
      <c r="O112" s="24">
        <f>VLOOKUP(A112,Hoja1!A:C,3,0)</f>
        <v>8</v>
      </c>
      <c r="P112" s="30" t="str">
        <f>VLOOKUP(M112,[1]TIPOLOGIAS!$A:$F,4,0)</f>
        <v>TUNJA</v>
      </c>
      <c r="Q112" s="30" t="str">
        <f>VLOOKUP(P112,'BASE TARIFA 2025'!C:D,2,0)</f>
        <v>WOMPI SANTANDERES</v>
      </c>
      <c r="R112" s="31">
        <f>VLOOKUP(P112,'BASE TARIFA 2025'!C:F,4,0)</f>
        <v>28277.100000000002</v>
      </c>
    </row>
    <row r="113" spans="1:18" s="28" customFormat="1" ht="14.4" x14ac:dyDescent="0.3">
      <c r="A113" s="28">
        <v>74479</v>
      </c>
      <c r="B113" s="28" t="s">
        <v>966</v>
      </c>
      <c r="C113" s="28">
        <v>901749566</v>
      </c>
      <c r="D113" s="28" t="s">
        <v>967</v>
      </c>
      <c r="E113" s="28" t="s">
        <v>967</v>
      </c>
      <c r="F113" s="28" t="s">
        <v>967</v>
      </c>
      <c r="G113" s="28" t="s">
        <v>968</v>
      </c>
      <c r="H113" s="28" t="s">
        <v>969</v>
      </c>
      <c r="I113" s="28" t="s">
        <v>970</v>
      </c>
      <c r="J113" s="28" t="s">
        <v>73</v>
      </c>
      <c r="K113" s="28" t="s">
        <v>965</v>
      </c>
      <c r="L113" s="28" t="s">
        <v>965</v>
      </c>
      <c r="M113" s="28">
        <v>15172</v>
      </c>
      <c r="N113" s="29" t="s">
        <v>722</v>
      </c>
      <c r="O113" s="24">
        <f>VLOOKUP(A113,Hoja1!A:C,3,0)</f>
        <v>8</v>
      </c>
      <c r="P113" s="30" t="str">
        <f>VLOOKUP(M113,[1]TIPOLOGIAS!$A:$F,4,0)</f>
        <v>TUNJA</v>
      </c>
      <c r="Q113" s="30" t="str">
        <f>VLOOKUP(P113,'BASE TARIFA 2025'!C:D,2,0)</f>
        <v>WOMPI SANTANDERES</v>
      </c>
      <c r="R113" s="31">
        <f>VLOOKUP(P113,'BASE TARIFA 2025'!C:F,4,0)</f>
        <v>28277.100000000002</v>
      </c>
    </row>
    <row r="114" spans="1:18" s="28" customFormat="1" ht="14.4" x14ac:dyDescent="0.3">
      <c r="A114" s="28">
        <v>17025</v>
      </c>
      <c r="B114" s="28" t="s">
        <v>971</v>
      </c>
      <c r="C114" s="28">
        <v>60329070</v>
      </c>
      <c r="D114" s="28" t="s">
        <v>972</v>
      </c>
      <c r="E114" s="28" t="s">
        <v>972</v>
      </c>
      <c r="F114" s="28" t="s">
        <v>972</v>
      </c>
      <c r="G114" s="28" t="s">
        <v>973</v>
      </c>
      <c r="H114" s="28" t="s">
        <v>974</v>
      </c>
      <c r="I114" s="28" t="s">
        <v>160</v>
      </c>
      <c r="J114" s="28" t="s">
        <v>73</v>
      </c>
      <c r="K114" s="28" t="s">
        <v>965</v>
      </c>
      <c r="L114" s="28" t="s">
        <v>965</v>
      </c>
      <c r="M114" s="28">
        <v>15172</v>
      </c>
      <c r="N114" s="29" t="s">
        <v>722</v>
      </c>
      <c r="O114" s="24">
        <f>VLOOKUP(A114,Hoja1!A:C,3,0)</f>
        <v>8</v>
      </c>
      <c r="P114" s="30" t="str">
        <f>VLOOKUP(M114,[1]TIPOLOGIAS!$A:$F,4,0)</f>
        <v>TUNJA</v>
      </c>
      <c r="Q114" s="30" t="str">
        <f>VLOOKUP(P114,'BASE TARIFA 2025'!C:D,2,0)</f>
        <v>WOMPI SANTANDERES</v>
      </c>
      <c r="R114" s="31">
        <f>VLOOKUP(P114,'BASE TARIFA 2025'!C:F,4,0)</f>
        <v>28277.100000000002</v>
      </c>
    </row>
    <row r="115" spans="1:18" s="28" customFormat="1" ht="14.4" x14ac:dyDescent="0.3">
      <c r="A115" s="28">
        <v>73833</v>
      </c>
      <c r="B115" s="28" t="s">
        <v>975</v>
      </c>
      <c r="C115" s="28">
        <v>1094664367</v>
      </c>
      <c r="D115" s="28" t="s">
        <v>976</v>
      </c>
      <c r="E115" s="28" t="s">
        <v>976</v>
      </c>
      <c r="G115" s="28" t="s">
        <v>977</v>
      </c>
      <c r="H115" s="28" t="s">
        <v>978</v>
      </c>
      <c r="I115" s="28" t="s">
        <v>979</v>
      </c>
      <c r="J115" s="28" t="s">
        <v>144</v>
      </c>
      <c r="K115" s="28" t="s">
        <v>38</v>
      </c>
      <c r="L115" s="28" t="s">
        <v>38</v>
      </c>
      <c r="M115" s="28">
        <v>18001</v>
      </c>
      <c r="N115" s="29" t="s">
        <v>744</v>
      </c>
      <c r="O115" s="24">
        <f>VLOOKUP(A115,Hoja1!A:C,3,0)</f>
        <v>8</v>
      </c>
      <c r="P115" s="30" t="str">
        <f>VLOOKUP(M115,[1]TIPOLOGIAS!$A:$F,4,0)</f>
        <v>NEIVA</v>
      </c>
      <c r="Q115" s="30" t="str">
        <f>VLOOKUP(P115,'BASE TARIFA 2025'!C:D,2,0)</f>
        <v>WOMPI ORIENTE</v>
      </c>
      <c r="R115" s="31">
        <f>VLOOKUP(P115,'BASE TARIFA 2025'!C:F,4,0)</f>
        <v>28277.100000000002</v>
      </c>
    </row>
    <row r="116" spans="1:18" s="28" customFormat="1" ht="14.4" x14ac:dyDescent="0.3">
      <c r="A116" s="28">
        <v>74426</v>
      </c>
      <c r="B116" s="28" t="s">
        <v>980</v>
      </c>
      <c r="C116" s="28">
        <v>1096946084</v>
      </c>
      <c r="D116" s="28" t="s">
        <v>981</v>
      </c>
      <c r="E116" s="28" t="s">
        <v>982</v>
      </c>
      <c r="F116" s="28" t="s">
        <v>982</v>
      </c>
      <c r="G116" s="28" t="s">
        <v>983</v>
      </c>
      <c r="H116" s="28" t="s">
        <v>984</v>
      </c>
      <c r="I116" s="28" t="s">
        <v>985</v>
      </c>
      <c r="J116" s="28" t="s">
        <v>144</v>
      </c>
      <c r="K116" s="28" t="s">
        <v>38</v>
      </c>
      <c r="L116" s="28" t="s">
        <v>38</v>
      </c>
      <c r="M116" s="28">
        <v>18001</v>
      </c>
      <c r="N116" s="29" t="s">
        <v>744</v>
      </c>
      <c r="O116" s="24">
        <f>VLOOKUP(A116,Hoja1!A:C,3,0)</f>
        <v>8</v>
      </c>
      <c r="P116" s="30" t="str">
        <f>VLOOKUP(M116,[1]TIPOLOGIAS!$A:$F,4,0)</f>
        <v>NEIVA</v>
      </c>
      <c r="Q116" s="30" t="str">
        <f>VLOOKUP(P116,'BASE TARIFA 2025'!C:D,2,0)</f>
        <v>WOMPI ORIENTE</v>
      </c>
      <c r="R116" s="31">
        <f>VLOOKUP(P116,'BASE TARIFA 2025'!C:F,4,0)</f>
        <v>28277.100000000002</v>
      </c>
    </row>
    <row r="117" spans="1:18" s="28" customFormat="1" ht="14.4" x14ac:dyDescent="0.3">
      <c r="A117" s="28">
        <v>74943</v>
      </c>
      <c r="B117" s="28" t="s">
        <v>986</v>
      </c>
      <c r="C117" s="28">
        <v>1098727985</v>
      </c>
      <c r="D117" s="28" t="s">
        <v>987</v>
      </c>
      <c r="E117" s="28" t="s">
        <v>987</v>
      </c>
      <c r="F117" s="28" t="s">
        <v>987</v>
      </c>
      <c r="G117" s="28" t="s">
        <v>988</v>
      </c>
      <c r="H117" s="28" t="s">
        <v>989</v>
      </c>
      <c r="I117" s="28" t="s">
        <v>990</v>
      </c>
      <c r="J117" s="28" t="s">
        <v>144</v>
      </c>
      <c r="K117" s="28" t="s">
        <v>38</v>
      </c>
      <c r="L117" s="28" t="s">
        <v>38</v>
      </c>
      <c r="M117" s="28">
        <v>18001</v>
      </c>
      <c r="N117" s="29" t="s">
        <v>744</v>
      </c>
      <c r="O117" s="24">
        <f>VLOOKUP(A117,Hoja1!A:C,3,0)</f>
        <v>8</v>
      </c>
      <c r="P117" s="30" t="str">
        <f>VLOOKUP(M117,[1]TIPOLOGIAS!$A:$F,4,0)</f>
        <v>NEIVA</v>
      </c>
      <c r="Q117" s="30" t="str">
        <f>VLOOKUP(P117,'BASE TARIFA 2025'!C:D,2,0)</f>
        <v>WOMPI ORIENTE</v>
      </c>
      <c r="R117" s="31">
        <f>VLOOKUP(P117,'BASE TARIFA 2025'!C:F,4,0)</f>
        <v>28277.100000000002</v>
      </c>
    </row>
    <row r="118" spans="1:18" s="28" customFormat="1" ht="14.4" x14ac:dyDescent="0.3">
      <c r="A118" s="28">
        <v>72301</v>
      </c>
      <c r="B118" s="28" t="s">
        <v>991</v>
      </c>
      <c r="C118" s="28">
        <v>63271857</v>
      </c>
      <c r="D118" s="28" t="s">
        <v>992</v>
      </c>
      <c r="E118" s="28" t="s">
        <v>992</v>
      </c>
      <c r="F118" s="28" t="s">
        <v>992</v>
      </c>
      <c r="G118" s="28" t="s">
        <v>993</v>
      </c>
      <c r="H118" s="28" t="s">
        <v>994</v>
      </c>
      <c r="I118" s="28" t="s">
        <v>995</v>
      </c>
      <c r="J118" s="28" t="s">
        <v>144</v>
      </c>
      <c r="K118" s="28" t="s">
        <v>38</v>
      </c>
      <c r="L118" s="28" t="s">
        <v>38</v>
      </c>
      <c r="M118" s="28">
        <v>18001</v>
      </c>
      <c r="N118" s="29" t="s">
        <v>996</v>
      </c>
      <c r="O118" s="24">
        <f>VLOOKUP(A118,Hoja1!A:C,3,0)</f>
        <v>8</v>
      </c>
      <c r="P118" s="30" t="str">
        <f>VLOOKUP(M118,[1]TIPOLOGIAS!$A:$F,4,0)</f>
        <v>NEIVA</v>
      </c>
      <c r="Q118" s="30" t="str">
        <f>VLOOKUP(P118,'BASE TARIFA 2025'!C:D,2,0)</f>
        <v>WOMPI ORIENTE</v>
      </c>
      <c r="R118" s="31">
        <f>VLOOKUP(P118,'BASE TARIFA 2025'!C:F,4,0)</f>
        <v>28277.100000000002</v>
      </c>
    </row>
    <row r="119" spans="1:18" s="28" customFormat="1" ht="14.4" x14ac:dyDescent="0.3">
      <c r="A119" s="28">
        <v>71839</v>
      </c>
      <c r="B119" s="28" t="s">
        <v>997</v>
      </c>
      <c r="C119" s="28">
        <v>63526217</v>
      </c>
      <c r="D119" s="28" t="s">
        <v>998</v>
      </c>
      <c r="E119" s="28" t="s">
        <v>998</v>
      </c>
      <c r="F119" s="28" t="s">
        <v>998</v>
      </c>
      <c r="G119" s="28" t="s">
        <v>999</v>
      </c>
      <c r="H119" s="28" t="s">
        <v>1000</v>
      </c>
      <c r="I119" s="28" t="s">
        <v>1001</v>
      </c>
      <c r="J119" s="28" t="s">
        <v>144</v>
      </c>
      <c r="K119" s="28" t="s">
        <v>38</v>
      </c>
      <c r="L119" s="28" t="s">
        <v>38</v>
      </c>
      <c r="M119" s="28">
        <v>18001</v>
      </c>
      <c r="N119" s="29" t="s">
        <v>996</v>
      </c>
      <c r="O119" s="24">
        <f>VLOOKUP(A119,Hoja1!A:C,3,0)</f>
        <v>8</v>
      </c>
      <c r="P119" s="30" t="str">
        <f>VLOOKUP(M119,[1]TIPOLOGIAS!$A:$F,4,0)</f>
        <v>NEIVA</v>
      </c>
      <c r="Q119" s="30" t="str">
        <f>VLOOKUP(P119,'BASE TARIFA 2025'!C:D,2,0)</f>
        <v>WOMPI ORIENTE</v>
      </c>
      <c r="R119" s="31">
        <f>VLOOKUP(P119,'BASE TARIFA 2025'!C:F,4,0)</f>
        <v>28277.100000000002</v>
      </c>
    </row>
    <row r="120" spans="1:18" s="28" customFormat="1" ht="14.4" x14ac:dyDescent="0.3">
      <c r="A120" s="28">
        <v>71840</v>
      </c>
      <c r="B120" s="28" t="s">
        <v>1002</v>
      </c>
      <c r="C120" s="28">
        <v>1127600802</v>
      </c>
      <c r="D120" s="28" t="s">
        <v>1003</v>
      </c>
      <c r="E120" s="28" t="s">
        <v>1003</v>
      </c>
      <c r="G120" s="28" t="s">
        <v>1004</v>
      </c>
      <c r="H120" s="28" t="s">
        <v>1005</v>
      </c>
      <c r="I120" s="28" t="s">
        <v>1006</v>
      </c>
      <c r="J120" s="28" t="s">
        <v>144</v>
      </c>
      <c r="K120" s="28" t="s">
        <v>38</v>
      </c>
      <c r="L120" s="28" t="s">
        <v>38</v>
      </c>
      <c r="M120" s="28">
        <v>18001</v>
      </c>
      <c r="N120" s="29" t="s">
        <v>996</v>
      </c>
      <c r="O120" s="24">
        <f>VLOOKUP(A120,Hoja1!A:C,3,0)</f>
        <v>8</v>
      </c>
      <c r="P120" s="30" t="str">
        <f>VLOOKUP(M120,[1]TIPOLOGIAS!$A:$F,4,0)</f>
        <v>NEIVA</v>
      </c>
      <c r="Q120" s="30" t="str">
        <f>VLOOKUP(P120,'BASE TARIFA 2025'!C:D,2,0)</f>
        <v>WOMPI ORIENTE</v>
      </c>
      <c r="R120" s="31">
        <f>VLOOKUP(P120,'BASE TARIFA 2025'!C:F,4,0)</f>
        <v>28277.100000000002</v>
      </c>
    </row>
    <row r="121" spans="1:18" s="28" customFormat="1" ht="14.4" x14ac:dyDescent="0.3">
      <c r="A121" s="28">
        <v>30673</v>
      </c>
      <c r="B121" s="28" t="s">
        <v>1007</v>
      </c>
      <c r="C121" s="28">
        <v>60329070</v>
      </c>
      <c r="D121" s="28" t="s">
        <v>1008</v>
      </c>
      <c r="E121" s="28" t="s">
        <v>1008</v>
      </c>
      <c r="F121" s="28" t="s">
        <v>1008</v>
      </c>
      <c r="G121" s="28" t="s">
        <v>1009</v>
      </c>
      <c r="H121" s="28" t="s">
        <v>1010</v>
      </c>
      <c r="I121" s="28" t="s">
        <v>1011</v>
      </c>
      <c r="J121" s="28" t="s">
        <v>144</v>
      </c>
      <c r="K121" s="28" t="s">
        <v>38</v>
      </c>
      <c r="L121" s="28" t="s">
        <v>38</v>
      </c>
      <c r="M121" s="28">
        <v>18001</v>
      </c>
      <c r="N121" s="29" t="s">
        <v>1012</v>
      </c>
      <c r="O121" s="24">
        <f>VLOOKUP(A121,Hoja1!A:C,3,0)</f>
        <v>8</v>
      </c>
      <c r="P121" s="30" t="str">
        <f>VLOOKUP(M121,[1]TIPOLOGIAS!$A:$F,4,0)</f>
        <v>NEIVA</v>
      </c>
      <c r="Q121" s="30" t="str">
        <f>VLOOKUP(P121,'BASE TARIFA 2025'!C:D,2,0)</f>
        <v>WOMPI ORIENTE</v>
      </c>
      <c r="R121" s="31">
        <f>VLOOKUP(P121,'BASE TARIFA 2025'!C:F,4,0)</f>
        <v>28277.100000000002</v>
      </c>
    </row>
    <row r="122" spans="1:18" s="28" customFormat="1" ht="14.4" x14ac:dyDescent="0.3">
      <c r="A122" s="28">
        <v>32323</v>
      </c>
      <c r="B122" s="28" t="s">
        <v>1013</v>
      </c>
      <c r="C122" s="28">
        <v>52353530</v>
      </c>
      <c r="D122" s="28" t="s">
        <v>1014</v>
      </c>
      <c r="E122" s="28" t="s">
        <v>1014</v>
      </c>
      <c r="F122" s="28" t="s">
        <v>1014</v>
      </c>
      <c r="G122" s="28" t="s">
        <v>1015</v>
      </c>
      <c r="H122" s="28" t="s">
        <v>1016</v>
      </c>
      <c r="I122" s="28" t="s">
        <v>1017</v>
      </c>
      <c r="J122" s="28" t="s">
        <v>144</v>
      </c>
      <c r="K122" s="28" t="s">
        <v>38</v>
      </c>
      <c r="L122" s="28" t="s">
        <v>38</v>
      </c>
      <c r="M122" s="28">
        <v>18001</v>
      </c>
      <c r="N122" s="29" t="s">
        <v>1012</v>
      </c>
      <c r="O122" s="24">
        <f>VLOOKUP(A122,Hoja1!A:C,3,0)</f>
        <v>8</v>
      </c>
      <c r="P122" s="30" t="str">
        <f>VLOOKUP(M122,[1]TIPOLOGIAS!$A:$F,4,0)</f>
        <v>NEIVA</v>
      </c>
      <c r="Q122" s="30" t="str">
        <f>VLOOKUP(P122,'BASE TARIFA 2025'!C:D,2,0)</f>
        <v>WOMPI ORIENTE</v>
      </c>
      <c r="R122" s="31">
        <f>VLOOKUP(P122,'BASE TARIFA 2025'!C:F,4,0)</f>
        <v>28277.100000000002</v>
      </c>
    </row>
    <row r="123" spans="1:18" s="28" customFormat="1" ht="14.4" x14ac:dyDescent="0.3">
      <c r="A123" s="28">
        <v>80980</v>
      </c>
      <c r="B123" s="28" t="s">
        <v>1018</v>
      </c>
      <c r="C123" s="28">
        <v>1092340632</v>
      </c>
      <c r="D123" s="28" t="s">
        <v>1019</v>
      </c>
      <c r="E123" s="28" t="s">
        <v>1019</v>
      </c>
      <c r="F123" s="28" t="s">
        <v>1019</v>
      </c>
      <c r="G123" s="28" t="s">
        <v>1020</v>
      </c>
      <c r="H123" s="28" t="s">
        <v>1021</v>
      </c>
      <c r="I123" s="28" t="s">
        <v>1022</v>
      </c>
      <c r="J123" s="28" t="s">
        <v>144</v>
      </c>
      <c r="K123" s="28" t="s">
        <v>38</v>
      </c>
      <c r="L123" s="28" t="s">
        <v>38</v>
      </c>
      <c r="M123" s="28">
        <v>18001</v>
      </c>
      <c r="N123" s="29" t="s">
        <v>744</v>
      </c>
      <c r="O123" s="24">
        <f>VLOOKUP(A123,Hoja1!A:C,3,0)</f>
        <v>8</v>
      </c>
      <c r="P123" s="30" t="str">
        <f>VLOOKUP(M123,[1]TIPOLOGIAS!$A:$F,4,0)</f>
        <v>NEIVA</v>
      </c>
      <c r="Q123" s="30" t="str">
        <f>VLOOKUP(P123,'BASE TARIFA 2025'!C:D,2,0)</f>
        <v>WOMPI ORIENTE</v>
      </c>
      <c r="R123" s="31">
        <f>VLOOKUP(P123,'BASE TARIFA 2025'!C:F,4,0)</f>
        <v>28277.100000000002</v>
      </c>
    </row>
    <row r="124" spans="1:18" s="28" customFormat="1" ht="14.4" x14ac:dyDescent="0.3">
      <c r="A124" s="28">
        <v>77297</v>
      </c>
      <c r="B124" s="28" t="s">
        <v>1023</v>
      </c>
      <c r="C124" s="28">
        <v>13173718</v>
      </c>
      <c r="D124" s="28" t="s">
        <v>1024</v>
      </c>
      <c r="E124" s="28" t="s">
        <v>1024</v>
      </c>
      <c r="F124" s="28" t="s">
        <v>1024</v>
      </c>
      <c r="G124" s="28" t="s">
        <v>1025</v>
      </c>
      <c r="H124" s="28" t="s">
        <v>1026</v>
      </c>
      <c r="I124" s="28" t="s">
        <v>1027</v>
      </c>
      <c r="J124" s="28" t="s">
        <v>144</v>
      </c>
      <c r="K124" s="28" t="s">
        <v>38</v>
      </c>
      <c r="L124" s="28" t="s">
        <v>38</v>
      </c>
      <c r="M124" s="28">
        <v>18001</v>
      </c>
      <c r="N124" s="29" t="s">
        <v>744</v>
      </c>
      <c r="O124" s="24">
        <f>VLOOKUP(A124,Hoja1!A:C,3,0)</f>
        <v>8</v>
      </c>
      <c r="P124" s="30" t="str">
        <f>VLOOKUP(M124,[1]TIPOLOGIAS!$A:$F,4,0)</f>
        <v>NEIVA</v>
      </c>
      <c r="Q124" s="30" t="str">
        <f>VLOOKUP(P124,'BASE TARIFA 2025'!C:D,2,0)</f>
        <v>WOMPI ORIENTE</v>
      </c>
      <c r="R124" s="31">
        <f>VLOOKUP(P124,'BASE TARIFA 2025'!C:F,4,0)</f>
        <v>28277.100000000002</v>
      </c>
    </row>
    <row r="125" spans="1:18" s="28" customFormat="1" ht="14.4" x14ac:dyDescent="0.3">
      <c r="A125" s="28">
        <v>77332</v>
      </c>
      <c r="B125" s="28" t="s">
        <v>1028</v>
      </c>
      <c r="C125" s="28">
        <v>1092348379</v>
      </c>
      <c r="D125" s="28" t="s">
        <v>1029</v>
      </c>
      <c r="E125" s="28" t="s">
        <v>1029</v>
      </c>
      <c r="F125" s="28" t="s">
        <v>1029</v>
      </c>
      <c r="G125" s="28" t="s">
        <v>1030</v>
      </c>
      <c r="H125" s="28" t="s">
        <v>1031</v>
      </c>
      <c r="I125" s="28" t="s">
        <v>1032</v>
      </c>
      <c r="J125" s="28" t="s">
        <v>144</v>
      </c>
      <c r="K125" s="28" t="s">
        <v>38</v>
      </c>
      <c r="L125" s="28" t="s">
        <v>38</v>
      </c>
      <c r="M125" s="28">
        <v>18001</v>
      </c>
      <c r="N125" s="29" t="s">
        <v>1012</v>
      </c>
      <c r="O125" s="24">
        <f>VLOOKUP(A125,Hoja1!A:C,3,0)</f>
        <v>8</v>
      </c>
      <c r="P125" s="30" t="str">
        <f>VLOOKUP(M125,[1]TIPOLOGIAS!$A:$F,4,0)</f>
        <v>NEIVA</v>
      </c>
      <c r="Q125" s="30" t="str">
        <f>VLOOKUP(P125,'BASE TARIFA 2025'!C:D,2,0)</f>
        <v>WOMPI ORIENTE</v>
      </c>
      <c r="R125" s="31">
        <f>VLOOKUP(P125,'BASE TARIFA 2025'!C:F,4,0)</f>
        <v>28277.100000000002</v>
      </c>
    </row>
    <row r="126" spans="1:18" s="28" customFormat="1" ht="14.4" x14ac:dyDescent="0.3">
      <c r="A126" s="28">
        <v>78162</v>
      </c>
      <c r="B126" s="28" t="s">
        <v>1033</v>
      </c>
      <c r="C126" s="28">
        <v>1092345306</v>
      </c>
      <c r="D126" s="28" t="s">
        <v>1034</v>
      </c>
      <c r="E126" s="28" t="s">
        <v>1034</v>
      </c>
      <c r="F126" s="28" t="s">
        <v>1034</v>
      </c>
      <c r="G126" s="28" t="s">
        <v>1035</v>
      </c>
      <c r="H126" s="28" t="s">
        <v>1036</v>
      </c>
      <c r="I126" s="28" t="s">
        <v>1037</v>
      </c>
      <c r="J126" s="28" t="s">
        <v>144</v>
      </c>
      <c r="K126" s="28" t="s">
        <v>38</v>
      </c>
      <c r="L126" s="28" t="s">
        <v>38</v>
      </c>
      <c r="M126" s="28">
        <v>18001</v>
      </c>
      <c r="N126" s="29" t="s">
        <v>1012</v>
      </c>
      <c r="O126" s="24">
        <f>VLOOKUP(A126,Hoja1!A:C,3,0)</f>
        <v>8</v>
      </c>
      <c r="P126" s="30" t="str">
        <f>VLOOKUP(M126,[1]TIPOLOGIAS!$A:$F,4,0)</f>
        <v>NEIVA</v>
      </c>
      <c r="Q126" s="30" t="str">
        <f>VLOOKUP(P126,'BASE TARIFA 2025'!C:D,2,0)</f>
        <v>WOMPI ORIENTE</v>
      </c>
      <c r="R126" s="31">
        <f>VLOOKUP(P126,'BASE TARIFA 2025'!C:F,4,0)</f>
        <v>28277.100000000002</v>
      </c>
    </row>
    <row r="127" spans="1:18" s="28" customFormat="1" ht="14.4" x14ac:dyDescent="0.3">
      <c r="A127" s="28">
        <v>77499</v>
      </c>
      <c r="B127" s="28" t="s">
        <v>1038</v>
      </c>
      <c r="C127" s="28">
        <v>37506363</v>
      </c>
      <c r="D127" s="28" t="s">
        <v>1039</v>
      </c>
      <c r="E127" s="28" t="s">
        <v>1040</v>
      </c>
      <c r="F127" s="28" t="s">
        <v>1040</v>
      </c>
      <c r="G127" s="28" t="s">
        <v>1041</v>
      </c>
      <c r="H127" s="28" t="s">
        <v>1042</v>
      </c>
      <c r="I127" s="28" t="s">
        <v>1043</v>
      </c>
      <c r="J127" s="28" t="s">
        <v>144</v>
      </c>
      <c r="K127" s="28" t="s">
        <v>38</v>
      </c>
      <c r="L127" s="28" t="s">
        <v>38</v>
      </c>
      <c r="M127" s="28">
        <v>18001</v>
      </c>
      <c r="N127" s="29" t="s">
        <v>1012</v>
      </c>
      <c r="O127" s="24">
        <f>VLOOKUP(A127,Hoja1!A:C,3,0)</f>
        <v>8</v>
      </c>
      <c r="P127" s="30" t="str">
        <f>VLOOKUP(M127,[1]TIPOLOGIAS!$A:$F,4,0)</f>
        <v>NEIVA</v>
      </c>
      <c r="Q127" s="30" t="str">
        <f>VLOOKUP(P127,'BASE TARIFA 2025'!C:D,2,0)</f>
        <v>WOMPI ORIENTE</v>
      </c>
      <c r="R127" s="31">
        <f>VLOOKUP(P127,'BASE TARIFA 2025'!C:F,4,0)</f>
        <v>28277.100000000002</v>
      </c>
    </row>
    <row r="128" spans="1:18" s="28" customFormat="1" ht="14.4" x14ac:dyDescent="0.3">
      <c r="A128" s="28">
        <v>60471</v>
      </c>
      <c r="B128" s="28" t="s">
        <v>1044</v>
      </c>
      <c r="C128" s="28">
        <v>1072745893</v>
      </c>
      <c r="D128" s="28" t="s">
        <v>1045</v>
      </c>
      <c r="E128" s="28" t="s">
        <v>1045</v>
      </c>
      <c r="F128" s="28" t="s">
        <v>1045</v>
      </c>
      <c r="G128" s="28" t="s">
        <v>1046</v>
      </c>
      <c r="H128" s="28" t="s">
        <v>1047</v>
      </c>
      <c r="I128" s="28" t="s">
        <v>1048</v>
      </c>
      <c r="J128" s="28" t="s">
        <v>70</v>
      </c>
      <c r="K128" s="28" t="s">
        <v>105</v>
      </c>
      <c r="L128" s="28" t="s">
        <v>105</v>
      </c>
      <c r="M128" s="28">
        <v>25175</v>
      </c>
      <c r="N128" s="29" t="s">
        <v>722</v>
      </c>
      <c r="O128" s="24" t="e">
        <f>VLOOKUP(A128,Hoja1!A:C,3,0)</f>
        <v>#N/A</v>
      </c>
      <c r="P128" s="30" t="str">
        <f>VLOOKUP(M128,[1]TIPOLOGIAS!$A:$F,4,0)</f>
        <v>BOGOTA</v>
      </c>
      <c r="Q128" s="30" t="str">
        <f>VLOOKUP(P128,'BASE TARIFA 2025'!C:D,2,0)</f>
        <v>WOMPI CENTRO</v>
      </c>
      <c r="R128" s="31">
        <f>VLOOKUP(P128,'BASE TARIFA 2025'!C:F,4,0)</f>
        <v>15709.5</v>
      </c>
    </row>
    <row r="129" spans="1:18" s="28" customFormat="1" ht="14.4" x14ac:dyDescent="0.3">
      <c r="A129" s="28">
        <v>69454</v>
      </c>
      <c r="B129" s="28" t="s">
        <v>1049</v>
      </c>
      <c r="C129" s="28">
        <v>1073610058</v>
      </c>
      <c r="D129" s="28" t="s">
        <v>1050</v>
      </c>
      <c r="E129" s="28" t="s">
        <v>1050</v>
      </c>
      <c r="F129" s="28" t="s">
        <v>1050</v>
      </c>
      <c r="G129" s="28" t="s">
        <v>1051</v>
      </c>
      <c r="H129" s="28" t="s">
        <v>1052</v>
      </c>
      <c r="I129" s="28" t="s">
        <v>1053</v>
      </c>
      <c r="J129" s="28" t="s">
        <v>70</v>
      </c>
      <c r="K129" s="28" t="s">
        <v>105</v>
      </c>
      <c r="L129" s="28" t="s">
        <v>105</v>
      </c>
      <c r="M129" s="28">
        <v>25175</v>
      </c>
      <c r="N129" s="29" t="s">
        <v>542</v>
      </c>
      <c r="O129" s="24" t="e">
        <f>VLOOKUP(A129,Hoja1!A:C,3,0)</f>
        <v>#N/A</v>
      </c>
      <c r="P129" s="30" t="str">
        <f>VLOOKUP(M129,[1]TIPOLOGIAS!$A:$F,4,0)</f>
        <v>BOGOTA</v>
      </c>
      <c r="Q129" s="30" t="str">
        <f>VLOOKUP(P129,'BASE TARIFA 2025'!C:D,2,0)</f>
        <v>WOMPI CENTRO</v>
      </c>
      <c r="R129" s="31">
        <f>VLOOKUP(P129,'BASE TARIFA 2025'!C:F,4,0)</f>
        <v>15709.5</v>
      </c>
    </row>
    <row r="130" spans="1:18" s="28" customFormat="1" ht="14.4" x14ac:dyDescent="0.3">
      <c r="A130" s="28">
        <v>76896</v>
      </c>
      <c r="B130" s="28" t="s">
        <v>1054</v>
      </c>
      <c r="C130" s="28">
        <v>80155432</v>
      </c>
      <c r="D130" s="28" t="s">
        <v>69</v>
      </c>
      <c r="E130" s="28" t="s">
        <v>1055</v>
      </c>
      <c r="F130" s="28" t="s">
        <v>1056</v>
      </c>
      <c r="G130" s="28" t="s">
        <v>1057</v>
      </c>
      <c r="H130" s="28" t="s">
        <v>1058</v>
      </c>
      <c r="I130" s="28" t="s">
        <v>1059</v>
      </c>
      <c r="J130" s="28" t="s">
        <v>70</v>
      </c>
      <c r="K130" s="28" t="s">
        <v>105</v>
      </c>
      <c r="L130" s="28" t="s">
        <v>105</v>
      </c>
      <c r="M130" s="28">
        <v>25175</v>
      </c>
      <c r="N130" s="29" t="s">
        <v>542</v>
      </c>
      <c r="O130" s="24" t="e">
        <f>VLOOKUP(A130,Hoja1!A:C,3,0)</f>
        <v>#N/A</v>
      </c>
      <c r="P130" s="30" t="str">
        <f>VLOOKUP(M130,[1]TIPOLOGIAS!$A:$F,4,0)</f>
        <v>BOGOTA</v>
      </c>
      <c r="Q130" s="30" t="str">
        <f>VLOOKUP(P130,'BASE TARIFA 2025'!C:D,2,0)</f>
        <v>WOMPI CENTRO</v>
      </c>
      <c r="R130" s="31">
        <f>VLOOKUP(P130,'BASE TARIFA 2025'!C:F,4,0)</f>
        <v>15709.5</v>
      </c>
    </row>
    <row r="131" spans="1:18" s="28" customFormat="1" ht="14.4" x14ac:dyDescent="0.3">
      <c r="A131" s="28">
        <v>68812</v>
      </c>
      <c r="B131" s="28" t="s">
        <v>1060</v>
      </c>
      <c r="C131" s="28">
        <v>1007405446</v>
      </c>
      <c r="D131" s="28" t="s">
        <v>1061</v>
      </c>
      <c r="E131" s="28" t="s">
        <v>1062</v>
      </c>
      <c r="F131" s="28" t="s">
        <v>1063</v>
      </c>
      <c r="G131" s="28" t="s">
        <v>1064</v>
      </c>
      <c r="H131" s="28" t="s">
        <v>1065</v>
      </c>
      <c r="I131" s="28" t="s">
        <v>1066</v>
      </c>
      <c r="J131" s="28" t="s">
        <v>70</v>
      </c>
      <c r="K131" s="28" t="s">
        <v>149</v>
      </c>
      <c r="L131" s="28" t="s">
        <v>149</v>
      </c>
      <c r="M131" s="28">
        <v>25817</v>
      </c>
      <c r="N131" s="29" t="s">
        <v>756</v>
      </c>
      <c r="O131" s="24" t="e">
        <f>VLOOKUP(A131,Hoja1!A:C,3,0)</f>
        <v>#N/A</v>
      </c>
      <c r="P131" s="30" t="str">
        <f>VLOOKUP(M131,[1]TIPOLOGIAS!$A:$F,4,0)</f>
        <v>BOGOTA</v>
      </c>
      <c r="Q131" s="30" t="str">
        <f>VLOOKUP(P131,'BASE TARIFA 2025'!C:D,2,0)</f>
        <v>WOMPI CENTRO</v>
      </c>
      <c r="R131" s="31">
        <f>VLOOKUP(P131,'BASE TARIFA 2025'!C:F,4,0)</f>
        <v>15709.5</v>
      </c>
    </row>
    <row r="132" spans="1:18" s="28" customFormat="1" ht="14.4" x14ac:dyDescent="0.3">
      <c r="A132" s="28">
        <v>73521</v>
      </c>
      <c r="B132" s="28" t="s">
        <v>1067</v>
      </c>
      <c r="C132" s="28">
        <v>1073321063</v>
      </c>
      <c r="D132" s="28" t="s">
        <v>1068</v>
      </c>
      <c r="E132" s="28" t="s">
        <v>1069</v>
      </c>
      <c r="F132" s="28" t="s">
        <v>1070</v>
      </c>
      <c r="G132" s="28" t="s">
        <v>1071</v>
      </c>
      <c r="H132" s="28" t="s">
        <v>1072</v>
      </c>
      <c r="I132" s="28" t="s">
        <v>1073</v>
      </c>
      <c r="J132" s="28" t="s">
        <v>70</v>
      </c>
      <c r="K132" s="28" t="s">
        <v>149</v>
      </c>
      <c r="L132" s="28" t="s">
        <v>149</v>
      </c>
      <c r="M132" s="28">
        <v>25817</v>
      </c>
      <c r="N132" s="29" t="s">
        <v>756</v>
      </c>
      <c r="O132" s="24" t="e">
        <f>VLOOKUP(A132,Hoja1!A:C,3,0)</f>
        <v>#N/A</v>
      </c>
      <c r="P132" s="30" t="str">
        <f>VLOOKUP(M132,[1]TIPOLOGIAS!$A:$F,4,0)</f>
        <v>BOGOTA</v>
      </c>
      <c r="Q132" s="30" t="str">
        <f>VLOOKUP(P132,'BASE TARIFA 2025'!C:D,2,0)</f>
        <v>WOMPI CENTRO</v>
      </c>
      <c r="R132" s="31">
        <f>VLOOKUP(P132,'BASE TARIFA 2025'!C:F,4,0)</f>
        <v>15709.5</v>
      </c>
    </row>
    <row r="133" spans="1:18" s="28" customFormat="1" ht="14.4" x14ac:dyDescent="0.3">
      <c r="A133" s="28">
        <v>66433</v>
      </c>
      <c r="B133" s="28" t="s">
        <v>1074</v>
      </c>
      <c r="C133" s="28">
        <v>1098721432</v>
      </c>
      <c r="D133" s="28" t="s">
        <v>1075</v>
      </c>
      <c r="E133" s="28" t="s">
        <v>1075</v>
      </c>
      <c r="F133" s="28" t="s">
        <v>127</v>
      </c>
      <c r="G133" s="28" t="s">
        <v>1076</v>
      </c>
      <c r="H133" s="28" t="s">
        <v>1077</v>
      </c>
      <c r="I133" s="28" t="s">
        <v>1078</v>
      </c>
      <c r="J133" s="28" t="s">
        <v>70</v>
      </c>
      <c r="K133" s="28" t="s">
        <v>149</v>
      </c>
      <c r="L133" s="28" t="s">
        <v>149</v>
      </c>
      <c r="M133" s="28">
        <v>25817</v>
      </c>
      <c r="N133" s="29" t="s">
        <v>756</v>
      </c>
      <c r="O133" s="24">
        <f>VLOOKUP(A133,Hoja1!A:C,3,0)</f>
        <v>8</v>
      </c>
      <c r="P133" s="30" t="str">
        <f>VLOOKUP(M133,[1]TIPOLOGIAS!$A:$F,4,0)</f>
        <v>BOGOTA</v>
      </c>
      <c r="Q133" s="30" t="str">
        <f>VLOOKUP(P133,'BASE TARIFA 2025'!C:D,2,0)</f>
        <v>WOMPI CENTRO</v>
      </c>
      <c r="R133" s="31">
        <f>VLOOKUP(P133,'BASE TARIFA 2025'!C:F,4,0)</f>
        <v>15709.5</v>
      </c>
    </row>
    <row r="134" spans="1:18" s="28" customFormat="1" ht="14.4" x14ac:dyDescent="0.3">
      <c r="A134" s="28">
        <v>66436</v>
      </c>
      <c r="B134" s="28" t="s">
        <v>1079</v>
      </c>
      <c r="C134" s="28">
        <v>37713492</v>
      </c>
      <c r="D134" s="28" t="s">
        <v>1080</v>
      </c>
      <c r="E134" s="28" t="s">
        <v>1080</v>
      </c>
      <c r="F134" s="28" t="s">
        <v>1080</v>
      </c>
      <c r="G134" s="28" t="s">
        <v>1081</v>
      </c>
      <c r="H134" s="28" t="s">
        <v>1082</v>
      </c>
      <c r="I134" s="28" t="s">
        <v>1083</v>
      </c>
      <c r="J134" s="28" t="s">
        <v>70</v>
      </c>
      <c r="K134" s="28" t="s">
        <v>150</v>
      </c>
      <c r="L134" s="28" t="s">
        <v>150</v>
      </c>
      <c r="M134" s="28">
        <v>25841</v>
      </c>
      <c r="N134" s="29" t="s">
        <v>744</v>
      </c>
      <c r="O134" s="24">
        <f>VLOOKUP(A134,Hoja1!A:C,3,0)</f>
        <v>16</v>
      </c>
      <c r="P134" s="30" t="str">
        <f>VLOOKUP(M134,[1]TIPOLOGIAS!$A:$F,4,0)</f>
        <v>BOGOTA</v>
      </c>
      <c r="Q134" s="30" t="str">
        <f>VLOOKUP(P134,'BASE TARIFA 2025'!C:D,2,0)</f>
        <v>WOMPI CENTRO</v>
      </c>
      <c r="R134" s="31">
        <f>VLOOKUP(P134,'BASE TARIFA 2025'!C:F,4,0)</f>
        <v>15709.5</v>
      </c>
    </row>
    <row r="135" spans="1:18" s="28" customFormat="1" ht="14.4" x14ac:dyDescent="0.3">
      <c r="A135" s="28">
        <v>38505</v>
      </c>
      <c r="B135" s="28" t="s">
        <v>1084</v>
      </c>
      <c r="C135" s="28">
        <v>63446058</v>
      </c>
      <c r="D135" s="28" t="s">
        <v>1085</v>
      </c>
      <c r="E135" s="28" t="s">
        <v>1085</v>
      </c>
      <c r="F135" s="28" t="s">
        <v>143</v>
      </c>
      <c r="G135" s="28" t="s">
        <v>1086</v>
      </c>
      <c r="H135" s="28" t="s">
        <v>1087</v>
      </c>
      <c r="I135" s="28" t="s">
        <v>1088</v>
      </c>
      <c r="J135" s="28" t="s">
        <v>70</v>
      </c>
      <c r="K135" s="28" t="s">
        <v>150</v>
      </c>
      <c r="L135" s="28" t="s">
        <v>150</v>
      </c>
      <c r="M135" s="28">
        <v>25841</v>
      </c>
      <c r="N135" s="29" t="s">
        <v>744</v>
      </c>
      <c r="O135" s="24">
        <f>VLOOKUP(A135,Hoja1!A:C,3,0)</f>
        <v>8</v>
      </c>
      <c r="P135" s="30" t="str">
        <f>VLOOKUP(M135,[1]TIPOLOGIAS!$A:$F,4,0)</f>
        <v>BOGOTA</v>
      </c>
      <c r="Q135" s="30" t="str">
        <f>VLOOKUP(P135,'BASE TARIFA 2025'!C:D,2,0)</f>
        <v>WOMPI CENTRO</v>
      </c>
      <c r="R135" s="31">
        <f>VLOOKUP(P135,'BASE TARIFA 2025'!C:F,4,0)</f>
        <v>15709.5</v>
      </c>
    </row>
    <row r="136" spans="1:18" s="28" customFormat="1" ht="14.4" x14ac:dyDescent="0.3">
      <c r="A136" s="28">
        <v>61993</v>
      </c>
      <c r="B136" s="28" t="s">
        <v>1089</v>
      </c>
      <c r="C136" s="28">
        <v>5727106</v>
      </c>
      <c r="D136" s="28" t="s">
        <v>69</v>
      </c>
      <c r="E136" s="28" t="s">
        <v>1090</v>
      </c>
      <c r="F136" s="28" t="s">
        <v>1090</v>
      </c>
      <c r="G136" s="28" t="s">
        <v>1091</v>
      </c>
      <c r="H136" s="28" t="s">
        <v>1092</v>
      </c>
      <c r="I136" s="28" t="s">
        <v>1093</v>
      </c>
      <c r="J136" s="28" t="s">
        <v>70</v>
      </c>
      <c r="K136" s="28" t="s">
        <v>151</v>
      </c>
      <c r="L136" s="28" t="s">
        <v>151</v>
      </c>
      <c r="M136" s="28">
        <v>25867</v>
      </c>
      <c r="N136" s="29" t="s">
        <v>756</v>
      </c>
      <c r="O136" s="24">
        <f>VLOOKUP(A136,Hoja1!A:C,3,0)</f>
        <v>16</v>
      </c>
      <c r="P136" s="30" t="str">
        <f>VLOOKUP(M136,[1]TIPOLOGIAS!$A:$F,4,0)</f>
        <v>BOGOTA</v>
      </c>
      <c r="Q136" s="30" t="str">
        <f>VLOOKUP(P136,'BASE TARIFA 2025'!C:D,2,0)</f>
        <v>WOMPI CENTRO</v>
      </c>
      <c r="R136" s="31">
        <f>VLOOKUP(P136,'BASE TARIFA 2025'!C:F,4,0)</f>
        <v>15709.5</v>
      </c>
    </row>
    <row r="137" spans="1:18" s="28" customFormat="1" ht="14.4" x14ac:dyDescent="0.3">
      <c r="A137" s="28">
        <v>62763</v>
      </c>
      <c r="B137" s="28" t="s">
        <v>1094</v>
      </c>
      <c r="C137" s="28">
        <v>63530155</v>
      </c>
      <c r="D137" s="28" t="s">
        <v>69</v>
      </c>
      <c r="E137" s="28" t="s">
        <v>1095</v>
      </c>
      <c r="F137" s="28" t="s">
        <v>1095</v>
      </c>
      <c r="G137" s="28" t="s">
        <v>1096</v>
      </c>
      <c r="H137" s="28" t="s">
        <v>1097</v>
      </c>
      <c r="I137" s="28" t="s">
        <v>1098</v>
      </c>
      <c r="J137" s="28" t="s">
        <v>70</v>
      </c>
      <c r="K137" s="28" t="s">
        <v>151</v>
      </c>
      <c r="L137" s="28" t="s">
        <v>151</v>
      </c>
      <c r="M137" s="28">
        <v>25867</v>
      </c>
      <c r="N137" s="29" t="s">
        <v>756</v>
      </c>
      <c r="O137" s="24">
        <f>VLOOKUP(A137,Hoja1!A:C,3,0)</f>
        <v>8</v>
      </c>
      <c r="P137" s="30" t="str">
        <f>VLOOKUP(M137,[1]TIPOLOGIAS!$A:$F,4,0)</f>
        <v>BOGOTA</v>
      </c>
      <c r="Q137" s="30" t="str">
        <f>VLOOKUP(P137,'BASE TARIFA 2025'!C:D,2,0)</f>
        <v>WOMPI CENTRO</v>
      </c>
      <c r="R137" s="31">
        <f>VLOOKUP(P137,'BASE TARIFA 2025'!C:F,4,0)</f>
        <v>15709.5</v>
      </c>
    </row>
    <row r="138" spans="1:18" s="28" customFormat="1" ht="14.4" x14ac:dyDescent="0.3">
      <c r="A138" s="28">
        <v>58935</v>
      </c>
      <c r="B138" s="28" t="s">
        <v>1099</v>
      </c>
      <c r="C138" s="28">
        <v>91535195</v>
      </c>
      <c r="D138" s="28" t="s">
        <v>1100</v>
      </c>
      <c r="E138" s="28" t="s">
        <v>1100</v>
      </c>
      <c r="F138" s="28" t="s">
        <v>86</v>
      </c>
      <c r="G138" s="28" t="s">
        <v>1101</v>
      </c>
      <c r="H138" s="28" t="s">
        <v>1102</v>
      </c>
      <c r="I138" s="28" t="s">
        <v>1103</v>
      </c>
      <c r="J138" s="28" t="s">
        <v>70</v>
      </c>
      <c r="K138" s="28" t="s">
        <v>151</v>
      </c>
      <c r="L138" s="28" t="s">
        <v>151</v>
      </c>
      <c r="M138" s="28">
        <v>25867</v>
      </c>
      <c r="N138" s="29" t="s">
        <v>756</v>
      </c>
      <c r="O138" s="24">
        <f>VLOOKUP(A138,Hoja1!A:C,3,0)</f>
        <v>8</v>
      </c>
      <c r="P138" s="30" t="str">
        <f>VLOOKUP(M138,[1]TIPOLOGIAS!$A:$F,4,0)</f>
        <v>BOGOTA</v>
      </c>
      <c r="Q138" s="30" t="str">
        <f>VLOOKUP(P138,'BASE TARIFA 2025'!C:D,2,0)</f>
        <v>WOMPI CENTRO</v>
      </c>
      <c r="R138" s="31">
        <f>VLOOKUP(P138,'BASE TARIFA 2025'!C:F,4,0)</f>
        <v>15709.5</v>
      </c>
    </row>
    <row r="139" spans="1:18" s="28" customFormat="1" ht="14.4" x14ac:dyDescent="0.3">
      <c r="A139" s="28">
        <v>59284</v>
      </c>
      <c r="B139" s="28" t="s">
        <v>1104</v>
      </c>
      <c r="C139" s="28">
        <v>1096926386</v>
      </c>
      <c r="D139" s="28" t="s">
        <v>1105</v>
      </c>
      <c r="E139" s="28" t="s">
        <v>1106</v>
      </c>
      <c r="F139" s="28" t="s">
        <v>1106</v>
      </c>
      <c r="G139" s="28" t="s">
        <v>1107</v>
      </c>
      <c r="H139" s="28" t="s">
        <v>1108</v>
      </c>
      <c r="I139" s="28" t="s">
        <v>1109</v>
      </c>
      <c r="J139" s="28" t="s">
        <v>85</v>
      </c>
      <c r="K139" s="28" t="s">
        <v>1110</v>
      </c>
      <c r="L139" s="28" t="s">
        <v>1110</v>
      </c>
      <c r="M139" s="28">
        <v>23855</v>
      </c>
      <c r="N139" s="29" t="s">
        <v>530</v>
      </c>
      <c r="O139" s="24">
        <f>VLOOKUP(A139,Hoja1!A:C,3,0)</f>
        <v>16</v>
      </c>
      <c r="P139" s="30" t="str">
        <f>VLOOKUP(M139,[1]TIPOLOGIAS!$A:$F,4,0)</f>
        <v>MONTERIA</v>
      </c>
      <c r="Q139" s="30" t="str">
        <f>VLOOKUP(P139,'BASE TARIFA 2025'!C:D,2,0)</f>
        <v>WOMPI COSTA</v>
      </c>
      <c r="R139" s="31">
        <f>VLOOKUP(P139,'BASE TARIFA 2025'!C:F,4,0)</f>
        <v>15709.5</v>
      </c>
    </row>
    <row r="140" spans="1:18" s="28" customFormat="1" ht="14.4" x14ac:dyDescent="0.3">
      <c r="A140" s="28">
        <v>57291</v>
      </c>
      <c r="B140" s="28" t="s">
        <v>1111</v>
      </c>
      <c r="C140" s="28">
        <v>91259817</v>
      </c>
      <c r="D140" s="28" t="s">
        <v>1112</v>
      </c>
      <c r="E140" s="28" t="s">
        <v>1113</v>
      </c>
      <c r="F140" s="28" t="s">
        <v>1113</v>
      </c>
      <c r="G140" s="28" t="s">
        <v>1114</v>
      </c>
      <c r="H140" s="28" t="s">
        <v>1115</v>
      </c>
      <c r="I140" s="28" t="s">
        <v>1116</v>
      </c>
      <c r="J140" s="28" t="s">
        <v>85</v>
      </c>
      <c r="K140" s="28" t="s">
        <v>1110</v>
      </c>
      <c r="L140" s="28" t="s">
        <v>1110</v>
      </c>
      <c r="M140" s="28">
        <v>23855</v>
      </c>
      <c r="N140" s="29" t="s">
        <v>530</v>
      </c>
      <c r="O140" s="24">
        <f>VLOOKUP(A140,Hoja1!A:C,3,0)</f>
        <v>8</v>
      </c>
      <c r="P140" s="30" t="str">
        <f>VLOOKUP(M140,[1]TIPOLOGIAS!$A:$F,4,0)</f>
        <v>MONTERIA</v>
      </c>
      <c r="Q140" s="30" t="str">
        <f>VLOOKUP(P140,'BASE TARIFA 2025'!C:D,2,0)</f>
        <v>WOMPI COSTA</v>
      </c>
      <c r="R140" s="31">
        <f>VLOOKUP(P140,'BASE TARIFA 2025'!C:F,4,0)</f>
        <v>15709.5</v>
      </c>
    </row>
    <row r="141" spans="1:18" s="28" customFormat="1" ht="14.4" x14ac:dyDescent="0.3">
      <c r="A141" s="28">
        <v>67439</v>
      </c>
      <c r="B141" s="28" t="s">
        <v>1117</v>
      </c>
      <c r="C141" s="28">
        <v>1093798202</v>
      </c>
      <c r="D141" s="28" t="s">
        <v>1118</v>
      </c>
      <c r="E141" s="28" t="s">
        <v>1119</v>
      </c>
      <c r="F141" s="28" t="s">
        <v>1119</v>
      </c>
      <c r="G141" s="28" t="s">
        <v>1120</v>
      </c>
      <c r="H141" s="28" t="s">
        <v>1121</v>
      </c>
      <c r="I141" s="28" t="s">
        <v>1122</v>
      </c>
      <c r="J141" s="28" t="s">
        <v>70</v>
      </c>
      <c r="K141" s="28" t="s">
        <v>1123</v>
      </c>
      <c r="L141" s="28" t="s">
        <v>1123</v>
      </c>
      <c r="M141" s="28">
        <v>25168</v>
      </c>
      <c r="N141" s="29" t="s">
        <v>790</v>
      </c>
      <c r="O141" s="24">
        <f>VLOOKUP(A141,Hoja1!A:C,3,0)</f>
        <v>8</v>
      </c>
      <c r="P141" s="30" t="str">
        <f>VLOOKUP(M141,[1]TIPOLOGIAS!$A:$F,4,0)</f>
        <v>BOGOTA</v>
      </c>
      <c r="Q141" s="30" t="str">
        <f>VLOOKUP(P141,'BASE TARIFA 2025'!C:D,2,0)</f>
        <v>WOMPI CENTRO</v>
      </c>
      <c r="R141" s="31">
        <f>VLOOKUP(P141,'BASE TARIFA 2025'!C:F,4,0)</f>
        <v>15709.5</v>
      </c>
    </row>
    <row r="142" spans="1:18" s="28" customFormat="1" ht="14.4" x14ac:dyDescent="0.3">
      <c r="A142" s="28">
        <v>46415</v>
      </c>
      <c r="B142" s="28" t="s">
        <v>1124</v>
      </c>
      <c r="C142" s="28">
        <v>88189996</v>
      </c>
      <c r="D142" s="28" t="s">
        <v>1125</v>
      </c>
      <c r="E142" s="28" t="s">
        <v>1125</v>
      </c>
      <c r="F142" s="28" t="s">
        <v>1125</v>
      </c>
      <c r="G142" s="28" t="s">
        <v>1126</v>
      </c>
      <c r="H142" s="28" t="s">
        <v>1127</v>
      </c>
      <c r="I142" s="28" t="s">
        <v>1128</v>
      </c>
      <c r="J142" s="28" t="s">
        <v>70</v>
      </c>
      <c r="K142" s="28" t="s">
        <v>1123</v>
      </c>
      <c r="L142" s="28" t="s">
        <v>1123</v>
      </c>
      <c r="M142" s="28">
        <v>25168</v>
      </c>
      <c r="N142" s="29" t="s">
        <v>560</v>
      </c>
      <c r="O142" s="24">
        <f>VLOOKUP(A142,Hoja1!A:C,3,0)</f>
        <v>16</v>
      </c>
      <c r="P142" s="30" t="str">
        <f>VLOOKUP(M142,[1]TIPOLOGIAS!$A:$F,4,0)</f>
        <v>BOGOTA</v>
      </c>
      <c r="Q142" s="30" t="str">
        <f>VLOOKUP(P142,'BASE TARIFA 2025'!C:D,2,0)</f>
        <v>WOMPI CENTRO</v>
      </c>
      <c r="R142" s="31">
        <f>VLOOKUP(P142,'BASE TARIFA 2025'!C:F,4,0)</f>
        <v>15709.5</v>
      </c>
    </row>
    <row r="143" spans="1:18" s="28" customFormat="1" ht="14.4" x14ac:dyDescent="0.3">
      <c r="A143" s="28">
        <v>51091</v>
      </c>
      <c r="B143" s="28" t="s">
        <v>1129</v>
      </c>
      <c r="C143" s="28">
        <v>5401855</v>
      </c>
      <c r="D143" s="28" t="s">
        <v>1130</v>
      </c>
      <c r="E143" s="28" t="s">
        <v>1131</v>
      </c>
      <c r="F143" s="28" t="s">
        <v>1131</v>
      </c>
      <c r="G143" s="28" t="s">
        <v>1132</v>
      </c>
      <c r="H143" s="28" t="s">
        <v>1133</v>
      </c>
      <c r="I143" s="28" t="s">
        <v>1134</v>
      </c>
      <c r="J143" s="28" t="s">
        <v>70</v>
      </c>
      <c r="K143" s="28" t="s">
        <v>1135</v>
      </c>
      <c r="L143" s="28" t="s">
        <v>1135</v>
      </c>
      <c r="M143" s="28">
        <v>25183</v>
      </c>
      <c r="N143" s="29" t="s">
        <v>638</v>
      </c>
      <c r="O143" s="24">
        <f>VLOOKUP(A143,Hoja1!A:C,3,0)</f>
        <v>16</v>
      </c>
      <c r="P143" s="30" t="str">
        <f>VLOOKUP(M143,[1]TIPOLOGIAS!$A:$F,4,0)</f>
        <v>TUNJA</v>
      </c>
      <c r="Q143" s="30" t="str">
        <f>VLOOKUP(P143,'BASE TARIFA 2025'!C:D,2,0)</f>
        <v>WOMPI SANTANDERES</v>
      </c>
      <c r="R143" s="31">
        <f>VLOOKUP(P143,'BASE TARIFA 2025'!C:F,4,0)</f>
        <v>28277.100000000002</v>
      </c>
    </row>
    <row r="144" spans="1:18" s="28" customFormat="1" ht="14.4" x14ac:dyDescent="0.3">
      <c r="A144" s="28">
        <v>35242</v>
      </c>
      <c r="B144" s="28" t="s">
        <v>1136</v>
      </c>
      <c r="C144" s="28">
        <v>1092355278</v>
      </c>
      <c r="D144" s="28" t="s">
        <v>1137</v>
      </c>
      <c r="E144" s="28" t="s">
        <v>1138</v>
      </c>
      <c r="F144" s="28" t="s">
        <v>1138</v>
      </c>
      <c r="G144" s="28" t="s">
        <v>1139</v>
      </c>
      <c r="H144" s="28" t="s">
        <v>1140</v>
      </c>
      <c r="I144" s="28" t="s">
        <v>1141</v>
      </c>
      <c r="J144" s="28" t="s">
        <v>70</v>
      </c>
      <c r="K144" s="28" t="s">
        <v>1135</v>
      </c>
      <c r="L144" s="28" t="s">
        <v>1135</v>
      </c>
      <c r="M144" s="28">
        <v>25183</v>
      </c>
      <c r="N144" s="29" t="s">
        <v>638</v>
      </c>
      <c r="O144" s="24">
        <f>VLOOKUP(A144,Hoja1!A:C,3,0)</f>
        <v>8</v>
      </c>
      <c r="P144" s="30" t="str">
        <f>VLOOKUP(M144,[1]TIPOLOGIAS!$A:$F,4,0)</f>
        <v>TUNJA</v>
      </c>
      <c r="Q144" s="30" t="str">
        <f>VLOOKUP(P144,'BASE TARIFA 2025'!C:D,2,0)</f>
        <v>WOMPI SANTANDERES</v>
      </c>
      <c r="R144" s="31">
        <f>VLOOKUP(P144,'BASE TARIFA 2025'!C:F,4,0)</f>
        <v>28277.100000000002</v>
      </c>
    </row>
    <row r="145" spans="1:18" s="28" customFormat="1" ht="14.4" x14ac:dyDescent="0.3">
      <c r="A145" s="28">
        <v>46041</v>
      </c>
      <c r="B145" s="28" t="s">
        <v>1142</v>
      </c>
      <c r="C145" s="28">
        <v>63542840</v>
      </c>
      <c r="D145" s="28" t="s">
        <v>1143</v>
      </c>
      <c r="E145" s="28" t="s">
        <v>1143</v>
      </c>
      <c r="F145" s="28" t="s">
        <v>1143</v>
      </c>
      <c r="G145" s="28" t="s">
        <v>1144</v>
      </c>
      <c r="H145" s="28" t="s">
        <v>1145</v>
      </c>
      <c r="I145" s="28" t="s">
        <v>1146</v>
      </c>
      <c r="J145" s="28" t="s">
        <v>70</v>
      </c>
      <c r="K145" s="28" t="s">
        <v>1135</v>
      </c>
      <c r="L145" s="28" t="s">
        <v>1135</v>
      </c>
      <c r="M145" s="28">
        <v>25183</v>
      </c>
      <c r="N145" s="29" t="s">
        <v>589</v>
      </c>
      <c r="O145" s="24">
        <f>VLOOKUP(A145,Hoja1!A:C,3,0)</f>
        <v>8</v>
      </c>
      <c r="P145" s="30" t="str">
        <f>VLOOKUP(M145,[1]TIPOLOGIAS!$A:$F,4,0)</f>
        <v>TUNJA</v>
      </c>
      <c r="Q145" s="30" t="str">
        <f>VLOOKUP(P145,'BASE TARIFA 2025'!C:D,2,0)</f>
        <v>WOMPI SANTANDERES</v>
      </c>
      <c r="R145" s="31">
        <f>VLOOKUP(P145,'BASE TARIFA 2025'!C:F,4,0)</f>
        <v>28277.100000000002</v>
      </c>
    </row>
    <row r="146" spans="1:18" s="28" customFormat="1" ht="14.4" x14ac:dyDescent="0.3">
      <c r="A146" s="28">
        <v>41748</v>
      </c>
      <c r="B146" s="28" t="s">
        <v>1147</v>
      </c>
      <c r="C146" s="28">
        <v>5596021</v>
      </c>
      <c r="D146" s="28" t="s">
        <v>1148</v>
      </c>
      <c r="E146" s="28" t="s">
        <v>1149</v>
      </c>
      <c r="F146" s="28" t="s">
        <v>1149</v>
      </c>
      <c r="G146" s="28" t="s">
        <v>1150</v>
      </c>
      <c r="H146" s="28" t="s">
        <v>1151</v>
      </c>
      <c r="I146" s="28" t="s">
        <v>1152</v>
      </c>
      <c r="J146" s="28" t="s">
        <v>70</v>
      </c>
      <c r="K146" s="28" t="s">
        <v>1135</v>
      </c>
      <c r="L146" s="28" t="s">
        <v>1135</v>
      </c>
      <c r="M146" s="28">
        <v>25183</v>
      </c>
      <c r="N146" s="29" t="s">
        <v>638</v>
      </c>
      <c r="O146" s="24">
        <f>VLOOKUP(A146,Hoja1!A:C,3,0)</f>
        <v>8</v>
      </c>
      <c r="P146" s="30" t="str">
        <f>VLOOKUP(M146,[1]TIPOLOGIAS!$A:$F,4,0)</f>
        <v>TUNJA</v>
      </c>
      <c r="Q146" s="30" t="str">
        <f>VLOOKUP(P146,'BASE TARIFA 2025'!C:D,2,0)</f>
        <v>WOMPI SANTANDERES</v>
      </c>
      <c r="R146" s="31">
        <f>VLOOKUP(P146,'BASE TARIFA 2025'!C:F,4,0)</f>
        <v>28277.100000000002</v>
      </c>
    </row>
    <row r="147" spans="1:18" s="28" customFormat="1" ht="14.4" x14ac:dyDescent="0.3">
      <c r="A147" s="28">
        <v>41522</v>
      </c>
      <c r="B147" s="28" t="s">
        <v>1153</v>
      </c>
      <c r="C147" s="28">
        <v>900932136</v>
      </c>
      <c r="D147" s="28" t="s">
        <v>1154</v>
      </c>
      <c r="E147" s="28" t="s">
        <v>1155</v>
      </c>
      <c r="F147" s="28" t="s">
        <v>1155</v>
      </c>
      <c r="G147" s="28" t="s">
        <v>1156</v>
      </c>
      <c r="H147" s="28" t="s">
        <v>1157</v>
      </c>
      <c r="I147" s="28" t="s">
        <v>1158</v>
      </c>
      <c r="J147" s="28" t="s">
        <v>70</v>
      </c>
      <c r="K147" s="28" t="s">
        <v>116</v>
      </c>
      <c r="L147" s="28" t="s">
        <v>116</v>
      </c>
      <c r="M147" s="28">
        <v>25245</v>
      </c>
      <c r="N147" s="29" t="s">
        <v>1159</v>
      </c>
      <c r="O147" s="24">
        <f>VLOOKUP(A147,Hoja1!A:C,3,0)</f>
        <v>8</v>
      </c>
      <c r="P147" s="30" t="str">
        <f>VLOOKUP(M147,[1]TIPOLOGIAS!$A:$F,4,0)</f>
        <v>BOGOTA</v>
      </c>
      <c r="Q147" s="30" t="str">
        <f>VLOOKUP(P147,'BASE TARIFA 2025'!C:D,2,0)</f>
        <v>WOMPI CENTRO</v>
      </c>
      <c r="R147" s="31">
        <f>VLOOKUP(P147,'BASE TARIFA 2025'!C:F,4,0)</f>
        <v>15709.5</v>
      </c>
    </row>
    <row r="148" spans="1:18" s="28" customFormat="1" ht="14.4" x14ac:dyDescent="0.3">
      <c r="A148" s="28">
        <v>39113</v>
      </c>
      <c r="B148" s="28" t="s">
        <v>1160</v>
      </c>
      <c r="C148" s="28">
        <v>37840435</v>
      </c>
      <c r="D148" s="28" t="s">
        <v>1161</v>
      </c>
      <c r="E148" s="28" t="s">
        <v>1162</v>
      </c>
      <c r="F148" s="28" t="s">
        <v>1163</v>
      </c>
      <c r="G148" s="28" t="s">
        <v>1164</v>
      </c>
      <c r="H148" s="28" t="s">
        <v>1165</v>
      </c>
      <c r="I148" s="28" t="s">
        <v>1166</v>
      </c>
      <c r="J148" s="28" t="s">
        <v>70</v>
      </c>
      <c r="K148" s="28" t="s">
        <v>116</v>
      </c>
      <c r="L148" s="28" t="s">
        <v>116</v>
      </c>
      <c r="M148" s="28">
        <v>25245</v>
      </c>
      <c r="N148" s="29" t="s">
        <v>1159</v>
      </c>
      <c r="O148" s="24">
        <f>VLOOKUP(A148,Hoja1!A:C,3,0)</f>
        <v>8</v>
      </c>
      <c r="P148" s="30" t="str">
        <f>VLOOKUP(M148,[1]TIPOLOGIAS!$A:$F,4,0)</f>
        <v>BOGOTA</v>
      </c>
      <c r="Q148" s="30" t="str">
        <f>VLOOKUP(P148,'BASE TARIFA 2025'!C:D,2,0)</f>
        <v>WOMPI CENTRO</v>
      </c>
      <c r="R148" s="31">
        <f>VLOOKUP(P148,'BASE TARIFA 2025'!C:F,4,0)</f>
        <v>15709.5</v>
      </c>
    </row>
    <row r="149" spans="1:18" s="28" customFormat="1" ht="14.4" x14ac:dyDescent="0.3">
      <c r="A149" s="28">
        <v>35033</v>
      </c>
      <c r="B149" s="28" t="s">
        <v>1167</v>
      </c>
      <c r="C149" s="28">
        <v>28099203</v>
      </c>
      <c r="D149" s="28" t="s">
        <v>1168</v>
      </c>
      <c r="E149" s="28" t="s">
        <v>1168</v>
      </c>
      <c r="F149" s="28" t="s">
        <v>1169</v>
      </c>
      <c r="G149" s="28" t="s">
        <v>1170</v>
      </c>
      <c r="H149" s="28" t="s">
        <v>1171</v>
      </c>
      <c r="I149" s="28" t="s">
        <v>1172</v>
      </c>
      <c r="J149" s="28" t="s">
        <v>70</v>
      </c>
      <c r="K149" s="28" t="s">
        <v>116</v>
      </c>
      <c r="L149" s="28" t="s">
        <v>116</v>
      </c>
      <c r="M149" s="28">
        <v>25245</v>
      </c>
      <c r="N149" s="29" t="s">
        <v>1173</v>
      </c>
      <c r="O149" s="24">
        <f>VLOOKUP(A149,Hoja1!A:C,3,0)</f>
        <v>16</v>
      </c>
      <c r="P149" s="30" t="str">
        <f>VLOOKUP(M149,[1]TIPOLOGIAS!$A:$F,4,0)</f>
        <v>BOGOTA</v>
      </c>
      <c r="Q149" s="30" t="str">
        <f>VLOOKUP(P149,'BASE TARIFA 2025'!C:D,2,0)</f>
        <v>WOMPI CENTRO</v>
      </c>
      <c r="R149" s="31">
        <f>VLOOKUP(P149,'BASE TARIFA 2025'!C:F,4,0)</f>
        <v>15709.5</v>
      </c>
    </row>
    <row r="150" spans="1:18" s="28" customFormat="1" ht="14.4" x14ac:dyDescent="0.3">
      <c r="A150" s="28">
        <v>32108</v>
      </c>
      <c r="B150" s="28" t="s">
        <v>1174</v>
      </c>
      <c r="C150" s="28">
        <v>63432597</v>
      </c>
      <c r="D150" s="28" t="s">
        <v>69</v>
      </c>
      <c r="E150" s="28" t="s">
        <v>1175</v>
      </c>
      <c r="F150" s="28" t="s">
        <v>1175</v>
      </c>
      <c r="G150" s="28" t="s">
        <v>1176</v>
      </c>
      <c r="H150" s="28" t="s">
        <v>1177</v>
      </c>
      <c r="I150" s="28" t="s">
        <v>1178</v>
      </c>
      <c r="J150" s="28" t="s">
        <v>70</v>
      </c>
      <c r="K150" s="28" t="s">
        <v>116</v>
      </c>
      <c r="L150" s="28" t="s">
        <v>116</v>
      </c>
      <c r="M150" s="28">
        <v>25245</v>
      </c>
      <c r="N150" s="29" t="s">
        <v>1159</v>
      </c>
      <c r="O150" s="24">
        <f>VLOOKUP(A150,Hoja1!A:C,3,0)</f>
        <v>16</v>
      </c>
      <c r="P150" s="30" t="str">
        <f>VLOOKUP(M150,[1]TIPOLOGIAS!$A:$F,4,0)</f>
        <v>BOGOTA</v>
      </c>
      <c r="Q150" s="30" t="str">
        <f>VLOOKUP(P150,'BASE TARIFA 2025'!C:D,2,0)</f>
        <v>WOMPI CENTRO</v>
      </c>
      <c r="R150" s="31">
        <f>VLOOKUP(P150,'BASE TARIFA 2025'!C:F,4,0)</f>
        <v>15709.5</v>
      </c>
    </row>
    <row r="151" spans="1:18" s="28" customFormat="1" ht="14.4" x14ac:dyDescent="0.3">
      <c r="A151" s="28">
        <v>30387</v>
      </c>
      <c r="B151" s="28" t="s">
        <v>1179</v>
      </c>
      <c r="C151" s="28">
        <v>13822166</v>
      </c>
      <c r="D151" s="28" t="s">
        <v>1180</v>
      </c>
      <c r="E151" s="28" t="s">
        <v>1181</v>
      </c>
      <c r="F151" s="28" t="s">
        <v>1180</v>
      </c>
      <c r="G151" s="28" t="s">
        <v>1182</v>
      </c>
      <c r="H151" s="28" t="s">
        <v>1183</v>
      </c>
      <c r="I151" s="28" t="s">
        <v>1184</v>
      </c>
      <c r="J151" s="28" t="s">
        <v>70</v>
      </c>
      <c r="K151" s="28" t="s">
        <v>116</v>
      </c>
      <c r="L151" s="28" t="s">
        <v>116</v>
      </c>
      <c r="M151" s="28">
        <v>25245</v>
      </c>
      <c r="N151" s="29" t="s">
        <v>1173</v>
      </c>
      <c r="O151" s="24">
        <f>VLOOKUP(A151,Hoja1!A:C,3,0)</f>
        <v>8</v>
      </c>
      <c r="P151" s="30" t="str">
        <f>VLOOKUP(M151,[1]TIPOLOGIAS!$A:$F,4,0)</f>
        <v>BOGOTA</v>
      </c>
      <c r="Q151" s="30" t="str">
        <f>VLOOKUP(P151,'BASE TARIFA 2025'!C:D,2,0)</f>
        <v>WOMPI CENTRO</v>
      </c>
      <c r="R151" s="31">
        <f>VLOOKUP(P151,'BASE TARIFA 2025'!C:F,4,0)</f>
        <v>15709.5</v>
      </c>
    </row>
    <row r="152" spans="1:18" s="28" customFormat="1" ht="14.4" x14ac:dyDescent="0.3">
      <c r="A152" s="28">
        <v>31905</v>
      </c>
      <c r="B152" s="28" t="s">
        <v>1185</v>
      </c>
      <c r="C152" s="28">
        <v>13715984</v>
      </c>
      <c r="D152" s="28" t="s">
        <v>1186</v>
      </c>
      <c r="E152" s="28" t="s">
        <v>1168</v>
      </c>
      <c r="F152" s="28" t="s">
        <v>1169</v>
      </c>
      <c r="G152" s="28" t="s">
        <v>1187</v>
      </c>
      <c r="H152" s="28" t="s">
        <v>1188</v>
      </c>
      <c r="I152" s="28" t="s">
        <v>1189</v>
      </c>
      <c r="J152" s="28" t="s">
        <v>70</v>
      </c>
      <c r="K152" s="28" t="s">
        <v>116</v>
      </c>
      <c r="L152" s="28" t="s">
        <v>116</v>
      </c>
      <c r="M152" s="28">
        <v>25245</v>
      </c>
      <c r="N152" s="29" t="s">
        <v>1173</v>
      </c>
      <c r="O152" s="24">
        <f>VLOOKUP(A152,Hoja1!A:C,3,0)</f>
        <v>8</v>
      </c>
      <c r="P152" s="30" t="str">
        <f>VLOOKUP(M152,[1]TIPOLOGIAS!$A:$F,4,0)</f>
        <v>BOGOTA</v>
      </c>
      <c r="Q152" s="30" t="str">
        <f>VLOOKUP(P152,'BASE TARIFA 2025'!C:D,2,0)</f>
        <v>WOMPI CENTRO</v>
      </c>
      <c r="R152" s="31">
        <f>VLOOKUP(P152,'BASE TARIFA 2025'!C:F,4,0)</f>
        <v>15709.5</v>
      </c>
    </row>
    <row r="153" spans="1:18" s="28" customFormat="1" ht="14.4" x14ac:dyDescent="0.3">
      <c r="A153" s="28">
        <v>26983</v>
      </c>
      <c r="B153" s="28" t="s">
        <v>1190</v>
      </c>
      <c r="C153" s="28">
        <v>86081636</v>
      </c>
      <c r="D153" s="28" t="s">
        <v>1191</v>
      </c>
      <c r="E153" s="28" t="s">
        <v>118</v>
      </c>
      <c r="F153" s="28" t="s">
        <v>118</v>
      </c>
      <c r="G153" s="28" t="s">
        <v>1192</v>
      </c>
      <c r="H153" s="28" t="s">
        <v>1193</v>
      </c>
      <c r="I153" s="28" t="s">
        <v>1194</v>
      </c>
      <c r="J153" s="28" t="s">
        <v>70</v>
      </c>
      <c r="K153" s="28" t="s">
        <v>117</v>
      </c>
      <c r="L153" s="28" t="s">
        <v>117</v>
      </c>
      <c r="M153" s="28">
        <v>25269</v>
      </c>
      <c r="N153" s="29" t="s">
        <v>790</v>
      </c>
      <c r="O153" s="24">
        <f>VLOOKUP(A153,Hoja1!A:C,3,0)</f>
        <v>16</v>
      </c>
      <c r="P153" s="30" t="str">
        <f>VLOOKUP(M153,[1]TIPOLOGIAS!$A:$F,4,0)</f>
        <v>BOGOTA</v>
      </c>
      <c r="Q153" s="30" t="str">
        <f>VLOOKUP(P153,'BASE TARIFA 2025'!C:D,2,0)</f>
        <v>WOMPI CENTRO</v>
      </c>
      <c r="R153" s="31">
        <f>VLOOKUP(P153,'BASE TARIFA 2025'!C:F,4,0)</f>
        <v>15709.5</v>
      </c>
    </row>
    <row r="154" spans="1:18" s="28" customFormat="1" ht="14.4" x14ac:dyDescent="0.3">
      <c r="A154" s="28">
        <v>30026</v>
      </c>
      <c r="B154" s="28" t="s">
        <v>1195</v>
      </c>
      <c r="C154" s="28">
        <v>10545468</v>
      </c>
      <c r="D154" s="28" t="s">
        <v>1196</v>
      </c>
      <c r="E154" s="28" t="s">
        <v>1197</v>
      </c>
      <c r="F154" s="28" t="s">
        <v>1197</v>
      </c>
      <c r="G154" s="28" t="s">
        <v>1198</v>
      </c>
      <c r="H154" s="28" t="s">
        <v>1199</v>
      </c>
      <c r="I154" s="28" t="s">
        <v>1200</v>
      </c>
      <c r="J154" s="28" t="s">
        <v>70</v>
      </c>
      <c r="K154" s="28" t="s">
        <v>117</v>
      </c>
      <c r="L154" s="28" t="s">
        <v>117</v>
      </c>
      <c r="M154" s="28">
        <v>25269</v>
      </c>
      <c r="N154" s="29" t="s">
        <v>722</v>
      </c>
      <c r="O154" s="24">
        <f>VLOOKUP(A154,Hoja1!A:C,3,0)</f>
        <v>8</v>
      </c>
      <c r="P154" s="30" t="str">
        <f>VLOOKUP(M154,[1]TIPOLOGIAS!$A:$F,4,0)</f>
        <v>BOGOTA</v>
      </c>
      <c r="Q154" s="30" t="str">
        <f>VLOOKUP(P154,'BASE TARIFA 2025'!C:D,2,0)</f>
        <v>WOMPI CENTRO</v>
      </c>
      <c r="R154" s="31">
        <f>VLOOKUP(P154,'BASE TARIFA 2025'!C:F,4,0)</f>
        <v>15709.5</v>
      </c>
    </row>
    <row r="155" spans="1:18" s="28" customFormat="1" ht="14.4" x14ac:dyDescent="0.3">
      <c r="A155" s="28">
        <v>39493</v>
      </c>
      <c r="B155" s="28" t="s">
        <v>1201</v>
      </c>
      <c r="C155" s="28">
        <v>890306372</v>
      </c>
      <c r="D155" s="28" t="s">
        <v>71</v>
      </c>
      <c r="E155" s="28" t="s">
        <v>1202</v>
      </c>
      <c r="F155" s="28" t="s">
        <v>1202</v>
      </c>
      <c r="G155" s="28" t="s">
        <v>1203</v>
      </c>
      <c r="H155" s="28" t="s">
        <v>1204</v>
      </c>
      <c r="I155" s="28" t="s">
        <v>1205</v>
      </c>
      <c r="J155" s="28" t="s">
        <v>70</v>
      </c>
      <c r="K155" s="28" t="s">
        <v>117</v>
      </c>
      <c r="L155" s="28" t="s">
        <v>117</v>
      </c>
      <c r="M155" s="28">
        <v>25269</v>
      </c>
      <c r="N155" s="29" t="s">
        <v>722</v>
      </c>
      <c r="O155" s="24" t="e">
        <f>VLOOKUP(A155,Hoja1!A:C,3,0)</f>
        <v>#N/A</v>
      </c>
      <c r="P155" s="30" t="str">
        <f>VLOOKUP(M155,[1]TIPOLOGIAS!$A:$F,4,0)</f>
        <v>BOGOTA</v>
      </c>
      <c r="Q155" s="30" t="str">
        <f>VLOOKUP(P155,'BASE TARIFA 2025'!C:D,2,0)</f>
        <v>WOMPI CENTRO</v>
      </c>
      <c r="R155" s="31">
        <f>VLOOKUP(P155,'BASE TARIFA 2025'!C:F,4,0)</f>
        <v>15709.5</v>
      </c>
    </row>
    <row r="156" spans="1:18" s="28" customFormat="1" ht="14.4" x14ac:dyDescent="0.3">
      <c r="A156" s="28">
        <v>67753</v>
      </c>
      <c r="B156" s="28" t="s">
        <v>1206</v>
      </c>
      <c r="C156" s="28">
        <v>1121842169</v>
      </c>
      <c r="D156" s="28" t="s">
        <v>1207</v>
      </c>
      <c r="E156" s="28" t="s">
        <v>1207</v>
      </c>
      <c r="F156" s="28" t="s">
        <v>1207</v>
      </c>
      <c r="G156" s="28" t="s">
        <v>1208</v>
      </c>
      <c r="H156" s="28" t="s">
        <v>1209</v>
      </c>
      <c r="I156" s="28" t="s">
        <v>1210</v>
      </c>
      <c r="J156" s="28" t="s">
        <v>70</v>
      </c>
      <c r="K156" s="28" t="s">
        <v>117</v>
      </c>
      <c r="L156" s="28" t="s">
        <v>117</v>
      </c>
      <c r="M156" s="28">
        <v>25269</v>
      </c>
      <c r="N156" s="29" t="s">
        <v>790</v>
      </c>
      <c r="O156" s="24">
        <f>VLOOKUP(A156,Hoja1!A:C,3,0)</f>
        <v>8</v>
      </c>
      <c r="P156" s="30" t="str">
        <f>VLOOKUP(M156,[1]TIPOLOGIAS!$A:$F,4,0)</f>
        <v>BOGOTA</v>
      </c>
      <c r="Q156" s="30" t="str">
        <f>VLOOKUP(P156,'BASE TARIFA 2025'!C:D,2,0)</f>
        <v>WOMPI CENTRO</v>
      </c>
      <c r="R156" s="31">
        <f>VLOOKUP(P156,'BASE TARIFA 2025'!C:F,4,0)</f>
        <v>15709.5</v>
      </c>
    </row>
    <row r="157" spans="1:18" s="28" customFormat="1" ht="14.4" x14ac:dyDescent="0.3">
      <c r="A157" s="28">
        <v>69390</v>
      </c>
      <c r="B157" s="28" t="s">
        <v>1211</v>
      </c>
      <c r="C157" s="28">
        <v>1121842169</v>
      </c>
      <c r="D157" s="28" t="s">
        <v>1212</v>
      </c>
      <c r="E157" s="28" t="s">
        <v>1213</v>
      </c>
      <c r="F157" s="28" t="s">
        <v>1213</v>
      </c>
      <c r="G157" s="28" t="s">
        <v>1214</v>
      </c>
      <c r="H157" s="28" t="s">
        <v>1215</v>
      </c>
      <c r="I157" s="28" t="s">
        <v>1216</v>
      </c>
      <c r="J157" s="28" t="s">
        <v>70</v>
      </c>
      <c r="K157" s="28" t="s">
        <v>117</v>
      </c>
      <c r="L157" s="28" t="s">
        <v>117</v>
      </c>
      <c r="M157" s="28">
        <v>25269</v>
      </c>
      <c r="N157" s="29" t="s">
        <v>542</v>
      </c>
      <c r="O157" s="24">
        <f>VLOOKUP(A157,Hoja1!A:C,3,0)</f>
        <v>8</v>
      </c>
      <c r="P157" s="30" t="str">
        <f>VLOOKUP(M157,[1]TIPOLOGIAS!$A:$F,4,0)</f>
        <v>BOGOTA</v>
      </c>
      <c r="Q157" s="30" t="str">
        <f>VLOOKUP(P157,'BASE TARIFA 2025'!C:D,2,0)</f>
        <v>WOMPI CENTRO</v>
      </c>
      <c r="R157" s="31">
        <f>VLOOKUP(P157,'BASE TARIFA 2025'!C:F,4,0)</f>
        <v>15709.5</v>
      </c>
    </row>
    <row r="158" spans="1:18" s="28" customFormat="1" ht="14.4" x14ac:dyDescent="0.3">
      <c r="A158" s="28">
        <v>10016</v>
      </c>
      <c r="B158" s="28" t="s">
        <v>1217</v>
      </c>
      <c r="C158" s="28">
        <v>5796974</v>
      </c>
      <c r="D158" s="28" t="s">
        <v>1218</v>
      </c>
      <c r="E158" s="28" t="s">
        <v>1218</v>
      </c>
      <c r="F158" s="28" t="s">
        <v>1219</v>
      </c>
      <c r="G158" s="28" t="s">
        <v>1220</v>
      </c>
      <c r="H158" s="28" t="s">
        <v>1221</v>
      </c>
      <c r="I158" s="28" t="s">
        <v>1222</v>
      </c>
      <c r="J158" s="28" t="s">
        <v>70</v>
      </c>
      <c r="K158" s="28" t="s">
        <v>117</v>
      </c>
      <c r="L158" s="28" t="s">
        <v>117</v>
      </c>
      <c r="M158" s="28">
        <v>25269</v>
      </c>
      <c r="N158" s="29" t="s">
        <v>542</v>
      </c>
      <c r="O158" s="24">
        <f>VLOOKUP(A158,Hoja1!A:C,3,0)</f>
        <v>8</v>
      </c>
      <c r="P158" s="30" t="str">
        <f>VLOOKUP(M158,[1]TIPOLOGIAS!$A:$F,4,0)</f>
        <v>BOGOTA</v>
      </c>
      <c r="Q158" s="30" t="str">
        <f>VLOOKUP(P158,'BASE TARIFA 2025'!C:D,2,0)</f>
        <v>WOMPI CENTRO</v>
      </c>
      <c r="R158" s="31">
        <f>VLOOKUP(P158,'BASE TARIFA 2025'!C:F,4,0)</f>
        <v>15709.5</v>
      </c>
    </row>
    <row r="159" spans="1:18" s="28" customFormat="1" ht="14.4" x14ac:dyDescent="0.3">
      <c r="A159" s="28">
        <v>11742</v>
      </c>
      <c r="B159" s="28" t="s">
        <v>1223</v>
      </c>
      <c r="C159" s="28">
        <v>800054946</v>
      </c>
      <c r="D159" s="28" t="s">
        <v>1224</v>
      </c>
      <c r="E159" s="28" t="s">
        <v>1224</v>
      </c>
      <c r="F159" s="28" t="s">
        <v>1224</v>
      </c>
      <c r="G159" s="28" t="s">
        <v>1225</v>
      </c>
      <c r="H159" s="28" t="s">
        <v>1226</v>
      </c>
      <c r="I159" s="28" t="s">
        <v>1227</v>
      </c>
      <c r="J159" s="28" t="s">
        <v>70</v>
      </c>
      <c r="K159" s="28" t="s">
        <v>117</v>
      </c>
      <c r="L159" s="28" t="s">
        <v>117</v>
      </c>
      <c r="M159" s="28">
        <v>25269</v>
      </c>
      <c r="N159" s="29" t="s">
        <v>542</v>
      </c>
      <c r="O159" s="24">
        <f>VLOOKUP(A159,Hoja1!A:C,3,0)</f>
        <v>8</v>
      </c>
      <c r="P159" s="30" t="str">
        <f>VLOOKUP(M159,[1]TIPOLOGIAS!$A:$F,4,0)</f>
        <v>BOGOTA</v>
      </c>
      <c r="Q159" s="30" t="str">
        <f>VLOOKUP(P159,'BASE TARIFA 2025'!C:D,2,0)</f>
        <v>WOMPI CENTRO</v>
      </c>
      <c r="R159" s="31">
        <f>VLOOKUP(P159,'BASE TARIFA 2025'!C:F,4,0)</f>
        <v>15709.5</v>
      </c>
    </row>
    <row r="160" spans="1:18" s="28" customFormat="1" ht="14.4" x14ac:dyDescent="0.3">
      <c r="A160" s="28">
        <v>22039</v>
      </c>
      <c r="B160" s="28" t="s">
        <v>1228</v>
      </c>
      <c r="C160" s="28">
        <v>801002644</v>
      </c>
      <c r="D160" s="28" t="s">
        <v>69</v>
      </c>
      <c r="E160" s="28" t="s">
        <v>1229</v>
      </c>
      <c r="F160" s="28" t="s">
        <v>1229</v>
      </c>
      <c r="G160" s="28" t="s">
        <v>1230</v>
      </c>
      <c r="H160" s="28" t="s">
        <v>1231</v>
      </c>
      <c r="I160" s="28" t="s">
        <v>1232</v>
      </c>
      <c r="J160" s="28" t="s">
        <v>70</v>
      </c>
      <c r="K160" s="28" t="s">
        <v>117</v>
      </c>
      <c r="L160" s="28" t="s">
        <v>117</v>
      </c>
      <c r="M160" s="28">
        <v>25269</v>
      </c>
      <c r="N160" s="29" t="s">
        <v>790</v>
      </c>
      <c r="O160" s="24">
        <f>VLOOKUP(A160,Hoja1!A:C,3,0)</f>
        <v>8</v>
      </c>
      <c r="P160" s="30" t="str">
        <f>VLOOKUP(M160,[1]TIPOLOGIAS!$A:$F,4,0)</f>
        <v>BOGOTA</v>
      </c>
      <c r="Q160" s="30" t="str">
        <f>VLOOKUP(P160,'BASE TARIFA 2025'!C:D,2,0)</f>
        <v>WOMPI CENTRO</v>
      </c>
      <c r="R160" s="31">
        <f>VLOOKUP(P160,'BASE TARIFA 2025'!C:F,4,0)</f>
        <v>15709.5</v>
      </c>
    </row>
    <row r="161" spans="1:18" s="28" customFormat="1" ht="14.4" x14ac:dyDescent="0.3">
      <c r="A161" s="28">
        <v>67039</v>
      </c>
      <c r="B161" s="28" t="s">
        <v>1233</v>
      </c>
      <c r="C161" s="28">
        <v>51804506</v>
      </c>
      <c r="D161" s="28" t="s">
        <v>69</v>
      </c>
      <c r="E161" s="28" t="s">
        <v>1234</v>
      </c>
      <c r="F161" s="28" t="s">
        <v>1234</v>
      </c>
      <c r="G161" s="28" t="s">
        <v>1235</v>
      </c>
      <c r="H161" s="28" t="s">
        <v>1236</v>
      </c>
      <c r="I161" s="28" t="s">
        <v>1237</v>
      </c>
      <c r="J161" s="28" t="s">
        <v>70</v>
      </c>
      <c r="K161" s="28" t="s">
        <v>117</v>
      </c>
      <c r="L161" s="28" t="s">
        <v>117</v>
      </c>
      <c r="M161" s="28">
        <v>25269</v>
      </c>
      <c r="N161" s="29" t="s">
        <v>722</v>
      </c>
      <c r="O161" s="24">
        <f>VLOOKUP(A161,Hoja1!A:C,3,0)</f>
        <v>8</v>
      </c>
      <c r="P161" s="30" t="str">
        <f>VLOOKUP(M161,[1]TIPOLOGIAS!$A:$F,4,0)</f>
        <v>BOGOTA</v>
      </c>
      <c r="Q161" s="30" t="str">
        <f>VLOOKUP(P161,'BASE TARIFA 2025'!C:D,2,0)</f>
        <v>WOMPI CENTRO</v>
      </c>
      <c r="R161" s="31">
        <f>VLOOKUP(P161,'BASE TARIFA 2025'!C:F,4,0)</f>
        <v>15709.5</v>
      </c>
    </row>
    <row r="162" spans="1:18" s="28" customFormat="1" ht="14.4" x14ac:dyDescent="0.3">
      <c r="A162" s="28">
        <v>63463</v>
      </c>
      <c r="B162" s="28" t="s">
        <v>319</v>
      </c>
      <c r="C162" s="28">
        <v>28057789</v>
      </c>
      <c r="D162" s="28" t="s">
        <v>1238</v>
      </c>
      <c r="E162" s="28" t="s">
        <v>1238</v>
      </c>
      <c r="F162" s="28" t="s">
        <v>1239</v>
      </c>
      <c r="G162" s="28" t="s">
        <v>1240</v>
      </c>
      <c r="H162" s="28" t="s">
        <v>1241</v>
      </c>
      <c r="I162" s="28" t="s">
        <v>1242</v>
      </c>
      <c r="J162" s="28" t="s">
        <v>70</v>
      </c>
      <c r="K162" s="28" t="s">
        <v>117</v>
      </c>
      <c r="L162" s="28" t="s">
        <v>117</v>
      </c>
      <c r="M162" s="28">
        <v>25269</v>
      </c>
      <c r="N162" s="29" t="s">
        <v>722</v>
      </c>
      <c r="O162" s="24">
        <f>VLOOKUP(A162,Hoja1!A:C,3,0)</f>
        <v>8</v>
      </c>
      <c r="P162" s="30" t="str">
        <f>VLOOKUP(M162,[1]TIPOLOGIAS!$A:$F,4,0)</f>
        <v>BOGOTA</v>
      </c>
      <c r="Q162" s="30" t="str">
        <f>VLOOKUP(P162,'BASE TARIFA 2025'!C:D,2,0)</f>
        <v>WOMPI CENTRO</v>
      </c>
      <c r="R162" s="31">
        <f>VLOOKUP(P162,'BASE TARIFA 2025'!C:F,4,0)</f>
        <v>15709.5</v>
      </c>
    </row>
    <row r="163" spans="1:18" s="28" customFormat="1" ht="14.4" x14ac:dyDescent="0.3">
      <c r="A163" s="28">
        <v>12091</v>
      </c>
      <c r="B163" s="28" t="s">
        <v>1243</v>
      </c>
      <c r="C163" s="28">
        <v>28636734</v>
      </c>
      <c r="D163" s="28" t="s">
        <v>1244</v>
      </c>
      <c r="E163" s="28" t="s">
        <v>1245</v>
      </c>
      <c r="F163" s="28" t="s">
        <v>1245</v>
      </c>
      <c r="G163" s="28" t="s">
        <v>1246</v>
      </c>
      <c r="H163" s="28" t="s">
        <v>1247</v>
      </c>
      <c r="I163" s="28" t="s">
        <v>1248</v>
      </c>
      <c r="J163" s="28" t="s">
        <v>70</v>
      </c>
      <c r="K163" s="28" t="s">
        <v>117</v>
      </c>
      <c r="L163" s="28" t="s">
        <v>117</v>
      </c>
      <c r="M163" s="28">
        <v>25269</v>
      </c>
      <c r="N163" s="29" t="s">
        <v>722</v>
      </c>
      <c r="O163" s="24" t="e">
        <f>VLOOKUP(A163,Hoja1!A:C,3,0)</f>
        <v>#N/A</v>
      </c>
      <c r="P163" s="30" t="str">
        <f>VLOOKUP(M163,[1]TIPOLOGIAS!$A:$F,4,0)</f>
        <v>BOGOTA</v>
      </c>
      <c r="Q163" s="30" t="str">
        <f>VLOOKUP(P163,'BASE TARIFA 2025'!C:D,2,0)</f>
        <v>WOMPI CENTRO</v>
      </c>
      <c r="R163" s="31">
        <f>VLOOKUP(P163,'BASE TARIFA 2025'!C:F,4,0)</f>
        <v>15709.5</v>
      </c>
    </row>
    <row r="164" spans="1:18" s="28" customFormat="1" ht="14.4" x14ac:dyDescent="0.3">
      <c r="A164" s="28">
        <v>70775</v>
      </c>
      <c r="B164" s="28" t="s">
        <v>1249</v>
      </c>
      <c r="C164" s="28">
        <v>1110532353</v>
      </c>
      <c r="D164" s="28" t="s">
        <v>1250</v>
      </c>
      <c r="E164" s="28" t="s">
        <v>1250</v>
      </c>
      <c r="G164" s="28" t="s">
        <v>1251</v>
      </c>
      <c r="H164" s="28" t="s">
        <v>1252</v>
      </c>
      <c r="I164" s="28" t="s">
        <v>1253</v>
      </c>
      <c r="J164" s="28" t="s">
        <v>144</v>
      </c>
      <c r="K164" s="28" t="s">
        <v>207</v>
      </c>
      <c r="L164" s="28" t="s">
        <v>207</v>
      </c>
      <c r="M164" s="28">
        <v>18592</v>
      </c>
      <c r="N164" s="29" t="s">
        <v>553</v>
      </c>
      <c r="O164" s="24" t="e">
        <f>VLOOKUP(A164,Hoja1!A:C,3,0)</f>
        <v>#N/A</v>
      </c>
      <c r="P164" s="30" t="str">
        <f>VLOOKUP(M164,[1]TIPOLOGIAS!$A:$F,4,0)</f>
        <v>NEIVA</v>
      </c>
      <c r="Q164" s="30" t="str">
        <f>VLOOKUP(P164,'BASE TARIFA 2025'!C:D,2,0)</f>
        <v>WOMPI ORIENTE</v>
      </c>
      <c r="R164" s="31">
        <f>VLOOKUP(P164,'BASE TARIFA 2025'!C:F,4,0)</f>
        <v>28277.100000000002</v>
      </c>
    </row>
    <row r="165" spans="1:18" s="28" customFormat="1" ht="14.4" x14ac:dyDescent="0.3">
      <c r="A165" s="28">
        <v>47011</v>
      </c>
      <c r="B165" s="28" t="s">
        <v>1254</v>
      </c>
      <c r="C165" s="28">
        <v>41243381</v>
      </c>
      <c r="D165" s="28" t="s">
        <v>1255</v>
      </c>
      <c r="E165" s="28" t="s">
        <v>1255</v>
      </c>
      <c r="G165" s="28" t="s">
        <v>1256</v>
      </c>
      <c r="H165" s="28" t="s">
        <v>1257</v>
      </c>
      <c r="I165" s="28" t="s">
        <v>1258</v>
      </c>
      <c r="J165" s="28" t="s">
        <v>144</v>
      </c>
      <c r="K165" s="28" t="s">
        <v>207</v>
      </c>
      <c r="L165" s="28" t="s">
        <v>207</v>
      </c>
      <c r="M165" s="28">
        <v>18592</v>
      </c>
      <c r="N165" s="29" t="s">
        <v>553</v>
      </c>
      <c r="O165" s="24" t="e">
        <f>VLOOKUP(A165,Hoja1!A:C,3,0)</f>
        <v>#N/A</v>
      </c>
      <c r="P165" s="30" t="str">
        <f>VLOOKUP(M165,[1]TIPOLOGIAS!$A:$F,4,0)</f>
        <v>NEIVA</v>
      </c>
      <c r="Q165" s="30" t="str">
        <f>VLOOKUP(P165,'BASE TARIFA 2025'!C:D,2,0)</f>
        <v>WOMPI ORIENTE</v>
      </c>
      <c r="R165" s="31">
        <f>VLOOKUP(P165,'BASE TARIFA 2025'!C:F,4,0)</f>
        <v>28277.100000000002</v>
      </c>
    </row>
    <row r="166" spans="1:18" s="28" customFormat="1" ht="14.4" x14ac:dyDescent="0.3">
      <c r="A166" s="28">
        <v>60826</v>
      </c>
      <c r="B166" s="28" t="s">
        <v>1259</v>
      </c>
      <c r="C166" s="28">
        <v>1069265749</v>
      </c>
      <c r="D166" s="28" t="s">
        <v>1260</v>
      </c>
      <c r="E166" s="28" t="s">
        <v>1260</v>
      </c>
      <c r="F166" s="28" t="s">
        <v>1260</v>
      </c>
      <c r="G166" s="28" t="s">
        <v>1261</v>
      </c>
      <c r="H166" s="28" t="s">
        <v>1262</v>
      </c>
      <c r="I166" s="28" t="s">
        <v>1263</v>
      </c>
      <c r="J166" s="28" t="s">
        <v>144</v>
      </c>
      <c r="K166" s="28" t="s">
        <v>207</v>
      </c>
      <c r="L166" s="28" t="s">
        <v>207</v>
      </c>
      <c r="M166" s="28">
        <v>18592</v>
      </c>
      <c r="N166" s="29" t="s">
        <v>553</v>
      </c>
      <c r="O166" s="24" t="e">
        <f>VLOOKUP(A166,Hoja1!A:C,3,0)</f>
        <v>#N/A</v>
      </c>
      <c r="P166" s="30" t="str">
        <f>VLOOKUP(M166,[1]TIPOLOGIAS!$A:$F,4,0)</f>
        <v>NEIVA</v>
      </c>
      <c r="Q166" s="30" t="str">
        <f>VLOOKUP(P166,'BASE TARIFA 2025'!C:D,2,0)</f>
        <v>WOMPI ORIENTE</v>
      </c>
      <c r="R166" s="31">
        <f>VLOOKUP(P166,'BASE TARIFA 2025'!C:F,4,0)</f>
        <v>28277.100000000002</v>
      </c>
    </row>
    <row r="167" spans="1:18" s="28" customFormat="1" ht="14.4" x14ac:dyDescent="0.3">
      <c r="A167" s="28">
        <v>67742</v>
      </c>
      <c r="B167" s="28" t="s">
        <v>1264</v>
      </c>
      <c r="C167" s="28">
        <v>1069258611</v>
      </c>
      <c r="D167" s="28" t="s">
        <v>1265</v>
      </c>
      <c r="E167" s="28" t="s">
        <v>1266</v>
      </c>
      <c r="F167" s="28" t="s">
        <v>1266</v>
      </c>
      <c r="G167" s="28" t="s">
        <v>1267</v>
      </c>
      <c r="H167" s="28" t="s">
        <v>1268</v>
      </c>
      <c r="I167" s="28" t="s">
        <v>1269</v>
      </c>
      <c r="J167" s="28" t="s">
        <v>144</v>
      </c>
      <c r="K167" s="28" t="s">
        <v>208</v>
      </c>
      <c r="L167" s="28" t="s">
        <v>208</v>
      </c>
      <c r="M167" s="28">
        <v>18610</v>
      </c>
      <c r="N167" s="29" t="s">
        <v>582</v>
      </c>
      <c r="O167" s="24" t="e">
        <f>VLOOKUP(A167,Hoja1!A:C,3,0)</f>
        <v>#N/A</v>
      </c>
      <c r="P167" s="30" t="str">
        <f>VLOOKUP(M167,[1]TIPOLOGIAS!$A:$F,4,0)</f>
        <v>NEIVA</v>
      </c>
      <c r="Q167" s="30" t="str">
        <f>VLOOKUP(P167,'BASE TARIFA 2025'!C:D,2,0)</f>
        <v>WOMPI ORIENTE</v>
      </c>
      <c r="R167" s="31">
        <f>VLOOKUP(P167,'BASE TARIFA 2025'!C:F,4,0)</f>
        <v>28277.100000000002</v>
      </c>
    </row>
    <row r="168" spans="1:18" s="28" customFormat="1" ht="14.4" x14ac:dyDescent="0.3">
      <c r="A168" s="28">
        <v>68965</v>
      </c>
      <c r="B168" s="28" t="s">
        <v>1270</v>
      </c>
      <c r="C168" s="28">
        <v>1007141112</v>
      </c>
      <c r="D168" s="28" t="s">
        <v>1271</v>
      </c>
      <c r="E168" s="28" t="s">
        <v>1271</v>
      </c>
      <c r="F168" s="28" t="s">
        <v>1271</v>
      </c>
      <c r="G168" s="28" t="s">
        <v>1272</v>
      </c>
      <c r="H168" s="28" t="s">
        <v>1273</v>
      </c>
      <c r="I168" s="28" t="s">
        <v>1274</v>
      </c>
      <c r="J168" s="28" t="s">
        <v>144</v>
      </c>
      <c r="K168" s="28" t="s">
        <v>208</v>
      </c>
      <c r="L168" s="28" t="s">
        <v>208</v>
      </c>
      <c r="M168" s="28">
        <v>18610</v>
      </c>
      <c r="N168" s="29" t="s">
        <v>790</v>
      </c>
      <c r="O168" s="24" t="e">
        <f>VLOOKUP(A168,Hoja1!A:C,3,0)</f>
        <v>#N/A</v>
      </c>
      <c r="P168" s="30" t="str">
        <f>VLOOKUP(M168,[1]TIPOLOGIAS!$A:$F,4,0)</f>
        <v>NEIVA</v>
      </c>
      <c r="Q168" s="30" t="str">
        <f>VLOOKUP(P168,'BASE TARIFA 2025'!C:D,2,0)</f>
        <v>WOMPI ORIENTE</v>
      </c>
      <c r="R168" s="31">
        <f>VLOOKUP(P168,'BASE TARIFA 2025'!C:F,4,0)</f>
        <v>28277.100000000002</v>
      </c>
    </row>
    <row r="169" spans="1:18" s="28" customFormat="1" ht="14.4" x14ac:dyDescent="0.3">
      <c r="A169" s="28">
        <v>61670</v>
      </c>
      <c r="B169" s="28" t="s">
        <v>1275</v>
      </c>
      <c r="C169" s="28">
        <v>40381104</v>
      </c>
      <c r="D169" s="28" t="s">
        <v>1276</v>
      </c>
      <c r="E169" s="28" t="s">
        <v>1276</v>
      </c>
      <c r="F169" s="28" t="s">
        <v>1276</v>
      </c>
      <c r="G169" s="28" t="s">
        <v>1277</v>
      </c>
      <c r="H169" s="28" t="s">
        <v>1278</v>
      </c>
      <c r="I169" s="28" t="s">
        <v>1279</v>
      </c>
      <c r="J169" s="28" t="s">
        <v>144</v>
      </c>
      <c r="K169" s="28" t="s">
        <v>208</v>
      </c>
      <c r="L169" s="28" t="s">
        <v>208</v>
      </c>
      <c r="M169" s="28">
        <v>18610</v>
      </c>
      <c r="N169" s="29" t="s">
        <v>716</v>
      </c>
      <c r="O169" s="24">
        <f>VLOOKUP(A169,Hoja1!A:C,3,0)</f>
        <v>8</v>
      </c>
      <c r="P169" s="30" t="str">
        <f>VLOOKUP(M169,[1]TIPOLOGIAS!$A:$F,4,0)</f>
        <v>NEIVA</v>
      </c>
      <c r="Q169" s="30" t="str">
        <f>VLOOKUP(P169,'BASE TARIFA 2025'!C:D,2,0)</f>
        <v>WOMPI ORIENTE</v>
      </c>
      <c r="R169" s="31">
        <f>VLOOKUP(P169,'BASE TARIFA 2025'!C:F,4,0)</f>
        <v>28277.100000000002</v>
      </c>
    </row>
    <row r="170" spans="1:18" s="28" customFormat="1" ht="14.4" x14ac:dyDescent="0.3">
      <c r="A170" s="28">
        <v>15606</v>
      </c>
      <c r="B170" s="28" t="s">
        <v>1280</v>
      </c>
      <c r="C170" s="28">
        <v>16674969</v>
      </c>
      <c r="D170" s="28" t="s">
        <v>1281</v>
      </c>
      <c r="E170" s="28" t="s">
        <v>1281</v>
      </c>
      <c r="F170" s="28" t="s">
        <v>1281</v>
      </c>
      <c r="G170" s="28" t="s">
        <v>1282</v>
      </c>
      <c r="H170" s="28" t="s">
        <v>1283</v>
      </c>
      <c r="I170" s="28" t="s">
        <v>1284</v>
      </c>
      <c r="J170" s="28" t="s">
        <v>144</v>
      </c>
      <c r="K170" s="28" t="s">
        <v>208</v>
      </c>
      <c r="L170" s="28" t="s">
        <v>208</v>
      </c>
      <c r="M170" s="28">
        <v>18610</v>
      </c>
      <c r="N170" s="29" t="s">
        <v>716</v>
      </c>
      <c r="O170" s="24" t="e">
        <f>VLOOKUP(A170,Hoja1!A:C,3,0)</f>
        <v>#N/A</v>
      </c>
      <c r="P170" s="30" t="str">
        <f>VLOOKUP(M170,[1]TIPOLOGIAS!$A:$F,4,0)</f>
        <v>NEIVA</v>
      </c>
      <c r="Q170" s="30" t="str">
        <f>VLOOKUP(P170,'BASE TARIFA 2025'!C:D,2,0)</f>
        <v>WOMPI ORIENTE</v>
      </c>
      <c r="R170" s="31">
        <f>VLOOKUP(P170,'BASE TARIFA 2025'!C:F,4,0)</f>
        <v>28277.100000000002</v>
      </c>
    </row>
    <row r="171" spans="1:18" s="28" customFormat="1" ht="14.4" x14ac:dyDescent="0.3">
      <c r="A171" s="28">
        <v>79549</v>
      </c>
      <c r="B171" s="28" t="s">
        <v>1285</v>
      </c>
      <c r="C171" s="28">
        <v>31309462</v>
      </c>
      <c r="D171" s="28" t="s">
        <v>1286</v>
      </c>
      <c r="E171" s="28" t="s">
        <v>1286</v>
      </c>
      <c r="F171" s="28" t="s">
        <v>1286</v>
      </c>
      <c r="G171" s="28" t="s">
        <v>1287</v>
      </c>
      <c r="H171" s="28" t="s">
        <v>1288</v>
      </c>
      <c r="I171" s="28" t="s">
        <v>1289</v>
      </c>
      <c r="J171" s="28" t="s">
        <v>144</v>
      </c>
      <c r="K171" s="28" t="s">
        <v>208</v>
      </c>
      <c r="L171" s="28" t="s">
        <v>208</v>
      </c>
      <c r="M171" s="28">
        <v>18610</v>
      </c>
      <c r="N171" s="29" t="s">
        <v>582</v>
      </c>
      <c r="O171" s="24" t="e">
        <f>VLOOKUP(A171,Hoja1!A:C,3,0)</f>
        <v>#N/A</v>
      </c>
      <c r="P171" s="30" t="str">
        <f>VLOOKUP(M171,[1]TIPOLOGIAS!$A:$F,4,0)</f>
        <v>NEIVA</v>
      </c>
      <c r="Q171" s="30" t="str">
        <f>VLOOKUP(P171,'BASE TARIFA 2025'!C:D,2,0)</f>
        <v>WOMPI ORIENTE</v>
      </c>
      <c r="R171" s="31">
        <f>VLOOKUP(P171,'BASE TARIFA 2025'!C:F,4,0)</f>
        <v>28277.100000000002</v>
      </c>
    </row>
    <row r="172" spans="1:18" s="28" customFormat="1" ht="14.4" x14ac:dyDescent="0.3">
      <c r="A172" s="28">
        <v>80939</v>
      </c>
      <c r="B172" s="28" t="s">
        <v>1290</v>
      </c>
      <c r="C172" s="28">
        <v>68290773</v>
      </c>
      <c r="D172" s="28" t="s">
        <v>1291</v>
      </c>
      <c r="E172" s="28" t="s">
        <v>1292</v>
      </c>
      <c r="F172" s="28" t="s">
        <v>1291</v>
      </c>
      <c r="G172" s="28" t="s">
        <v>1293</v>
      </c>
      <c r="H172" s="28" t="s">
        <v>1294</v>
      </c>
      <c r="I172" s="28" t="s">
        <v>1295</v>
      </c>
      <c r="J172" s="28" t="s">
        <v>144</v>
      </c>
      <c r="K172" s="28" t="s">
        <v>208</v>
      </c>
      <c r="L172" s="28" t="s">
        <v>208</v>
      </c>
      <c r="M172" s="28">
        <v>18610</v>
      </c>
      <c r="N172" s="29" t="s">
        <v>716</v>
      </c>
      <c r="O172" s="24" t="e">
        <f>VLOOKUP(A172,Hoja1!A:C,3,0)</f>
        <v>#N/A</v>
      </c>
      <c r="P172" s="30" t="str">
        <f>VLOOKUP(M172,[1]TIPOLOGIAS!$A:$F,4,0)</f>
        <v>NEIVA</v>
      </c>
      <c r="Q172" s="30" t="str">
        <f>VLOOKUP(P172,'BASE TARIFA 2025'!C:D,2,0)</f>
        <v>WOMPI ORIENTE</v>
      </c>
      <c r="R172" s="31">
        <f>VLOOKUP(P172,'BASE TARIFA 2025'!C:F,4,0)</f>
        <v>28277.100000000002</v>
      </c>
    </row>
    <row r="173" spans="1:18" s="28" customFormat="1" ht="14.4" x14ac:dyDescent="0.3">
      <c r="A173" s="28">
        <v>76719</v>
      </c>
      <c r="B173" s="28" t="s">
        <v>1296</v>
      </c>
      <c r="C173" s="28">
        <v>1007688785</v>
      </c>
      <c r="D173" s="28" t="s">
        <v>97</v>
      </c>
      <c r="E173" s="28" t="s">
        <v>97</v>
      </c>
      <c r="F173" s="28" t="s">
        <v>97</v>
      </c>
      <c r="G173" s="28" t="s">
        <v>1297</v>
      </c>
      <c r="H173" s="28" t="s">
        <v>1298</v>
      </c>
      <c r="I173" s="28" t="s">
        <v>1299</v>
      </c>
      <c r="J173" s="28" t="s">
        <v>70</v>
      </c>
      <c r="K173" s="28" t="s">
        <v>151</v>
      </c>
      <c r="L173" s="28" t="s">
        <v>151</v>
      </c>
      <c r="M173" s="28">
        <v>25867</v>
      </c>
      <c r="N173" s="29" t="s">
        <v>756</v>
      </c>
      <c r="O173" s="24" t="e">
        <f>VLOOKUP(A173,Hoja1!A:C,3,0)</f>
        <v>#N/A</v>
      </c>
      <c r="P173" s="30" t="str">
        <f>VLOOKUP(M173,[1]TIPOLOGIAS!$A:$F,4,0)</f>
        <v>BOGOTA</v>
      </c>
      <c r="Q173" s="30" t="str">
        <f>VLOOKUP(P173,'BASE TARIFA 2025'!C:D,2,0)</f>
        <v>WOMPI CENTRO</v>
      </c>
      <c r="R173" s="31">
        <f>VLOOKUP(P173,'BASE TARIFA 2025'!C:F,4,0)</f>
        <v>15709.5</v>
      </c>
    </row>
    <row r="174" spans="1:18" s="28" customFormat="1" ht="14.4" x14ac:dyDescent="0.3">
      <c r="A174" s="28">
        <v>77133</v>
      </c>
      <c r="B174" s="28" t="s">
        <v>1300</v>
      </c>
      <c r="C174" s="28">
        <v>20363580</v>
      </c>
      <c r="D174" s="28" t="s">
        <v>1301</v>
      </c>
      <c r="E174" s="28" t="s">
        <v>1302</v>
      </c>
      <c r="F174" s="28" t="s">
        <v>1302</v>
      </c>
      <c r="G174" s="28" t="s">
        <v>1303</v>
      </c>
      <c r="H174" s="28" t="s">
        <v>1304</v>
      </c>
      <c r="I174" s="28" t="s">
        <v>1305</v>
      </c>
      <c r="J174" s="28" t="s">
        <v>70</v>
      </c>
      <c r="K174" s="28" t="s">
        <v>152</v>
      </c>
      <c r="L174" s="28" t="s">
        <v>152</v>
      </c>
      <c r="M174" s="28">
        <v>25875</v>
      </c>
      <c r="N174" s="29" t="s">
        <v>553</v>
      </c>
      <c r="O174" s="24" t="e">
        <f>VLOOKUP(A174,Hoja1!A:C,3,0)</f>
        <v>#N/A</v>
      </c>
      <c r="P174" s="30" t="str">
        <f>VLOOKUP(M174,[1]TIPOLOGIAS!$A:$F,4,0)</f>
        <v>BOGOTA</v>
      </c>
      <c r="Q174" s="30" t="str">
        <f>VLOOKUP(P174,'BASE TARIFA 2025'!C:D,2,0)</f>
        <v>WOMPI CENTRO</v>
      </c>
      <c r="R174" s="31">
        <f>VLOOKUP(P174,'BASE TARIFA 2025'!C:F,4,0)</f>
        <v>15709.5</v>
      </c>
    </row>
    <row r="175" spans="1:18" s="28" customFormat="1" ht="14.4" x14ac:dyDescent="0.3">
      <c r="A175" s="28">
        <v>63910</v>
      </c>
      <c r="B175" s="28" t="s">
        <v>1306</v>
      </c>
      <c r="C175" s="28">
        <v>51804506</v>
      </c>
      <c r="D175" s="28" t="s">
        <v>1307</v>
      </c>
      <c r="E175" s="28" t="s">
        <v>1307</v>
      </c>
      <c r="G175" s="28" t="s">
        <v>1308</v>
      </c>
      <c r="H175" s="28" t="s">
        <v>1309</v>
      </c>
      <c r="I175" s="28" t="s">
        <v>1310</v>
      </c>
      <c r="J175" s="28" t="s">
        <v>70</v>
      </c>
      <c r="K175" s="28" t="s">
        <v>152</v>
      </c>
      <c r="L175" s="28" t="s">
        <v>152</v>
      </c>
      <c r="M175" s="28">
        <v>25875</v>
      </c>
      <c r="N175" s="29" t="s">
        <v>553</v>
      </c>
      <c r="O175" s="24">
        <f>VLOOKUP(A175,Hoja1!A:C,3,0)</f>
        <v>8</v>
      </c>
      <c r="P175" s="30" t="str">
        <f>VLOOKUP(M175,[1]TIPOLOGIAS!$A:$F,4,0)</f>
        <v>BOGOTA</v>
      </c>
      <c r="Q175" s="30" t="str">
        <f>VLOOKUP(P175,'BASE TARIFA 2025'!C:D,2,0)</f>
        <v>WOMPI CENTRO</v>
      </c>
      <c r="R175" s="31">
        <f>VLOOKUP(P175,'BASE TARIFA 2025'!C:F,4,0)</f>
        <v>15709.5</v>
      </c>
    </row>
    <row r="176" spans="1:18" s="28" customFormat="1" ht="14.4" x14ac:dyDescent="0.3">
      <c r="A176" s="28">
        <v>64152</v>
      </c>
      <c r="B176" s="28" t="s">
        <v>1311</v>
      </c>
      <c r="C176" s="28">
        <v>19373043</v>
      </c>
      <c r="D176" s="28" t="s">
        <v>1312</v>
      </c>
      <c r="E176" s="28" t="s">
        <v>1312</v>
      </c>
      <c r="F176" s="28" t="s">
        <v>1312</v>
      </c>
      <c r="G176" s="28" t="s">
        <v>1313</v>
      </c>
      <c r="H176" s="28" t="s">
        <v>1314</v>
      </c>
      <c r="I176" s="28" t="s">
        <v>1315</v>
      </c>
      <c r="J176" s="28" t="s">
        <v>70</v>
      </c>
      <c r="K176" s="28" t="s">
        <v>152</v>
      </c>
      <c r="L176" s="28" t="s">
        <v>152</v>
      </c>
      <c r="M176" s="28">
        <v>25875</v>
      </c>
      <c r="N176" s="29" t="s">
        <v>553</v>
      </c>
      <c r="O176" s="24">
        <f>VLOOKUP(A176,Hoja1!A:C,3,0)</f>
        <v>8</v>
      </c>
      <c r="P176" s="30" t="str">
        <f>VLOOKUP(M176,[1]TIPOLOGIAS!$A:$F,4,0)</f>
        <v>BOGOTA</v>
      </c>
      <c r="Q176" s="30" t="str">
        <f>VLOOKUP(P176,'BASE TARIFA 2025'!C:D,2,0)</f>
        <v>WOMPI CENTRO</v>
      </c>
      <c r="R176" s="31">
        <f>VLOOKUP(P176,'BASE TARIFA 2025'!C:F,4,0)</f>
        <v>15709.5</v>
      </c>
    </row>
    <row r="177" spans="1:18" s="28" customFormat="1" ht="14.4" x14ac:dyDescent="0.3">
      <c r="A177" s="28">
        <v>64252</v>
      </c>
      <c r="B177" s="28" t="s">
        <v>1316</v>
      </c>
      <c r="C177" s="28">
        <v>17316426</v>
      </c>
      <c r="D177" s="28" t="s">
        <v>1317</v>
      </c>
      <c r="E177" s="28" t="s">
        <v>1318</v>
      </c>
      <c r="F177" s="28" t="s">
        <v>1317</v>
      </c>
      <c r="G177" s="28" t="s">
        <v>1319</v>
      </c>
      <c r="H177" s="28" t="s">
        <v>1320</v>
      </c>
      <c r="I177" s="28" t="s">
        <v>1321</v>
      </c>
      <c r="J177" s="28" t="s">
        <v>70</v>
      </c>
      <c r="K177" s="28" t="s">
        <v>152</v>
      </c>
      <c r="L177" s="28" t="s">
        <v>152</v>
      </c>
      <c r="M177" s="28">
        <v>25875</v>
      </c>
      <c r="N177" s="29" t="s">
        <v>553</v>
      </c>
      <c r="O177" s="24">
        <f>VLOOKUP(A177,Hoja1!A:C,3,0)</f>
        <v>16</v>
      </c>
      <c r="P177" s="30" t="str">
        <f>VLOOKUP(M177,[1]TIPOLOGIAS!$A:$F,4,0)</f>
        <v>BOGOTA</v>
      </c>
      <c r="Q177" s="30" t="str">
        <f>VLOOKUP(P177,'BASE TARIFA 2025'!C:D,2,0)</f>
        <v>WOMPI CENTRO</v>
      </c>
      <c r="R177" s="31">
        <f>VLOOKUP(P177,'BASE TARIFA 2025'!C:F,4,0)</f>
        <v>15709.5</v>
      </c>
    </row>
    <row r="178" spans="1:18" s="28" customFormat="1" ht="14.4" x14ac:dyDescent="0.3">
      <c r="A178" s="28">
        <v>63148</v>
      </c>
      <c r="B178" s="28" t="s">
        <v>1322</v>
      </c>
      <c r="C178" s="28">
        <v>1010203964</v>
      </c>
      <c r="D178" s="28" t="s">
        <v>1323</v>
      </c>
      <c r="E178" s="28" t="s">
        <v>69</v>
      </c>
      <c r="F178" s="28" t="s">
        <v>1323</v>
      </c>
      <c r="G178" s="28" t="s">
        <v>1324</v>
      </c>
      <c r="H178" s="28" t="s">
        <v>1325</v>
      </c>
      <c r="I178" s="28" t="s">
        <v>1326</v>
      </c>
      <c r="J178" s="28" t="s">
        <v>70</v>
      </c>
      <c r="K178" s="28" t="s">
        <v>152</v>
      </c>
      <c r="L178" s="28" t="s">
        <v>152</v>
      </c>
      <c r="M178" s="28">
        <v>25875</v>
      </c>
      <c r="N178" s="29" t="s">
        <v>553</v>
      </c>
      <c r="O178" s="24">
        <f>VLOOKUP(A178,Hoja1!A:C,3,0)</f>
        <v>8</v>
      </c>
      <c r="P178" s="30" t="str">
        <f>VLOOKUP(M178,[1]TIPOLOGIAS!$A:$F,4,0)</f>
        <v>BOGOTA</v>
      </c>
      <c r="Q178" s="30" t="str">
        <f>VLOOKUP(P178,'BASE TARIFA 2025'!C:D,2,0)</f>
        <v>WOMPI CENTRO</v>
      </c>
      <c r="R178" s="31">
        <f>VLOOKUP(P178,'BASE TARIFA 2025'!C:F,4,0)</f>
        <v>15709.5</v>
      </c>
    </row>
    <row r="179" spans="1:18" s="28" customFormat="1" ht="14.4" x14ac:dyDescent="0.3">
      <c r="A179" s="28">
        <v>18619</v>
      </c>
      <c r="B179" s="28" t="s">
        <v>1327</v>
      </c>
      <c r="C179" s="28">
        <v>79819938</v>
      </c>
      <c r="D179" s="28" t="s">
        <v>1328</v>
      </c>
      <c r="E179" s="28" t="s">
        <v>1329</v>
      </c>
      <c r="F179" s="28" t="s">
        <v>1329</v>
      </c>
      <c r="G179" s="28" t="s">
        <v>1330</v>
      </c>
      <c r="H179" s="28" t="s">
        <v>1331</v>
      </c>
      <c r="I179" s="28" t="s">
        <v>1332</v>
      </c>
      <c r="J179" s="28" t="s">
        <v>70</v>
      </c>
      <c r="K179" s="28" t="s">
        <v>1333</v>
      </c>
      <c r="L179" s="28" t="s">
        <v>1333</v>
      </c>
      <c r="M179" s="28">
        <v>25878</v>
      </c>
      <c r="N179" s="29" t="s">
        <v>638</v>
      </c>
      <c r="O179" s="24" t="e">
        <f>VLOOKUP(A179,Hoja1!A:C,3,0)</f>
        <v>#N/A</v>
      </c>
      <c r="P179" s="30" t="str">
        <f>VLOOKUP(M179,[1]TIPOLOGIAS!$A:$F,4,0)</f>
        <v>BOGOTA</v>
      </c>
      <c r="Q179" s="30" t="str">
        <f>VLOOKUP(P179,'BASE TARIFA 2025'!C:D,2,0)</f>
        <v>WOMPI CENTRO</v>
      </c>
      <c r="R179" s="31">
        <f>VLOOKUP(P179,'BASE TARIFA 2025'!C:F,4,0)</f>
        <v>15709.5</v>
      </c>
    </row>
    <row r="180" spans="1:18" s="28" customFormat="1" ht="14.4" x14ac:dyDescent="0.3">
      <c r="A180" s="28">
        <v>53791</v>
      </c>
      <c r="B180" s="28" t="s">
        <v>1334</v>
      </c>
      <c r="C180" s="28">
        <v>21231661</v>
      </c>
      <c r="D180" s="28" t="s">
        <v>1335</v>
      </c>
      <c r="E180" s="28" t="s">
        <v>1335</v>
      </c>
      <c r="F180" s="28" t="s">
        <v>1335</v>
      </c>
      <c r="G180" s="28" t="s">
        <v>1336</v>
      </c>
      <c r="H180" s="28" t="s">
        <v>1337</v>
      </c>
      <c r="I180" s="28" t="s">
        <v>1338</v>
      </c>
      <c r="J180" s="28" t="s">
        <v>70</v>
      </c>
      <c r="K180" s="28" t="s">
        <v>1333</v>
      </c>
      <c r="L180" s="28" t="s">
        <v>1333</v>
      </c>
      <c r="M180" s="28">
        <v>25878</v>
      </c>
      <c r="N180" s="29" t="s">
        <v>530</v>
      </c>
      <c r="O180" s="24">
        <f>VLOOKUP(A180,Hoja1!A:C,3,0)</f>
        <v>16</v>
      </c>
      <c r="P180" s="30" t="str">
        <f>VLOOKUP(M180,[1]TIPOLOGIAS!$A:$F,4,0)</f>
        <v>BOGOTA</v>
      </c>
      <c r="Q180" s="30" t="str">
        <f>VLOOKUP(P180,'BASE TARIFA 2025'!C:D,2,0)</f>
        <v>WOMPI CENTRO</v>
      </c>
      <c r="R180" s="31">
        <f>VLOOKUP(P180,'BASE TARIFA 2025'!C:F,4,0)</f>
        <v>15709.5</v>
      </c>
    </row>
    <row r="181" spans="1:18" s="28" customFormat="1" ht="14.4" x14ac:dyDescent="0.3">
      <c r="A181" s="28">
        <v>57546</v>
      </c>
      <c r="B181" s="28" t="s">
        <v>1339</v>
      </c>
      <c r="C181" s="28">
        <v>1006825959</v>
      </c>
      <c r="D181" s="28" t="s">
        <v>1340</v>
      </c>
      <c r="E181" s="28" t="s">
        <v>1340</v>
      </c>
      <c r="F181" s="28" t="s">
        <v>1340</v>
      </c>
      <c r="G181" s="28" t="s">
        <v>1341</v>
      </c>
      <c r="H181" s="28" t="s">
        <v>1342</v>
      </c>
      <c r="I181" s="28" t="s">
        <v>1343</v>
      </c>
      <c r="J181" s="28" t="s">
        <v>70</v>
      </c>
      <c r="K181" s="28" t="s">
        <v>1333</v>
      </c>
      <c r="L181" s="28" t="s">
        <v>1333</v>
      </c>
      <c r="M181" s="28">
        <v>25878</v>
      </c>
      <c r="N181" s="29" t="s">
        <v>530</v>
      </c>
      <c r="O181" s="24">
        <f>VLOOKUP(A181,Hoja1!A:C,3,0)</f>
        <v>8</v>
      </c>
      <c r="P181" s="30" t="str">
        <f>VLOOKUP(M181,[1]TIPOLOGIAS!$A:$F,4,0)</f>
        <v>BOGOTA</v>
      </c>
      <c r="Q181" s="30" t="str">
        <f>VLOOKUP(P181,'BASE TARIFA 2025'!C:D,2,0)</f>
        <v>WOMPI CENTRO</v>
      </c>
      <c r="R181" s="31">
        <f>VLOOKUP(P181,'BASE TARIFA 2025'!C:F,4,0)</f>
        <v>15709.5</v>
      </c>
    </row>
    <row r="182" spans="1:18" s="28" customFormat="1" ht="14.4" x14ac:dyDescent="0.3">
      <c r="A182" s="28">
        <v>61435</v>
      </c>
      <c r="B182" s="28" t="s">
        <v>1344</v>
      </c>
      <c r="C182" s="28">
        <v>1073502058</v>
      </c>
      <c r="D182" s="28" t="s">
        <v>1345</v>
      </c>
      <c r="E182" s="28" t="s">
        <v>1345</v>
      </c>
      <c r="F182" s="28" t="s">
        <v>1345</v>
      </c>
      <c r="G182" s="28" t="s">
        <v>1346</v>
      </c>
      <c r="H182" s="28" t="s">
        <v>1347</v>
      </c>
      <c r="I182" s="28" t="s">
        <v>1348</v>
      </c>
      <c r="J182" s="28" t="s">
        <v>70</v>
      </c>
      <c r="K182" s="28" t="s">
        <v>1333</v>
      </c>
      <c r="L182" s="28" t="s">
        <v>1333</v>
      </c>
      <c r="M182" s="28">
        <v>25878</v>
      </c>
      <c r="N182" s="29" t="s">
        <v>638</v>
      </c>
      <c r="O182" s="24" t="e">
        <f>VLOOKUP(A182,Hoja1!A:C,3,0)</f>
        <v>#N/A</v>
      </c>
      <c r="P182" s="30" t="str">
        <f>VLOOKUP(M182,[1]TIPOLOGIAS!$A:$F,4,0)</f>
        <v>BOGOTA</v>
      </c>
      <c r="Q182" s="30" t="str">
        <f>VLOOKUP(P182,'BASE TARIFA 2025'!C:D,2,0)</f>
        <v>WOMPI CENTRO</v>
      </c>
      <c r="R182" s="31">
        <f>VLOOKUP(P182,'BASE TARIFA 2025'!C:F,4,0)</f>
        <v>15709.5</v>
      </c>
    </row>
    <row r="183" spans="1:18" s="28" customFormat="1" ht="14.4" x14ac:dyDescent="0.3">
      <c r="A183" s="28">
        <v>54941</v>
      </c>
      <c r="B183" s="28" t="s">
        <v>1349</v>
      </c>
      <c r="C183" s="28">
        <v>1121861314</v>
      </c>
      <c r="D183" s="28" t="s">
        <v>1350</v>
      </c>
      <c r="E183" s="28" t="s">
        <v>1351</v>
      </c>
      <c r="F183" s="28" t="s">
        <v>1350</v>
      </c>
      <c r="G183" s="28" t="s">
        <v>1352</v>
      </c>
      <c r="H183" s="28" t="s">
        <v>1353</v>
      </c>
      <c r="I183" s="28" t="s">
        <v>1354</v>
      </c>
      <c r="J183" s="28" t="s">
        <v>70</v>
      </c>
      <c r="K183" s="28" t="s">
        <v>1333</v>
      </c>
      <c r="L183" s="28" t="s">
        <v>1333</v>
      </c>
      <c r="M183" s="28">
        <v>25878</v>
      </c>
      <c r="N183" s="29" t="s">
        <v>530</v>
      </c>
      <c r="O183" s="24">
        <f>VLOOKUP(A183,Hoja1!A:C,3,0)</f>
        <v>16</v>
      </c>
      <c r="P183" s="30" t="str">
        <f>VLOOKUP(M183,[1]TIPOLOGIAS!$A:$F,4,0)</f>
        <v>BOGOTA</v>
      </c>
      <c r="Q183" s="30" t="str">
        <f>VLOOKUP(P183,'BASE TARIFA 2025'!C:D,2,0)</f>
        <v>WOMPI CENTRO</v>
      </c>
      <c r="R183" s="31">
        <f>VLOOKUP(P183,'BASE TARIFA 2025'!C:F,4,0)</f>
        <v>15709.5</v>
      </c>
    </row>
    <row r="184" spans="1:18" s="28" customFormat="1" ht="14.4" x14ac:dyDescent="0.3">
      <c r="A184" s="28">
        <v>51901</v>
      </c>
      <c r="B184" s="28" t="s">
        <v>1355</v>
      </c>
      <c r="C184" s="28">
        <v>1121840733</v>
      </c>
      <c r="D184" s="28" t="s">
        <v>1356</v>
      </c>
      <c r="E184" s="28" t="s">
        <v>1356</v>
      </c>
      <c r="G184" s="28" t="s">
        <v>1357</v>
      </c>
      <c r="H184" s="28" t="s">
        <v>1358</v>
      </c>
      <c r="I184" s="28" t="s">
        <v>1359</v>
      </c>
      <c r="J184" s="28" t="s">
        <v>70</v>
      </c>
      <c r="K184" s="28" t="s">
        <v>153</v>
      </c>
      <c r="L184" s="28" t="s">
        <v>153</v>
      </c>
      <c r="M184" s="28">
        <v>25899</v>
      </c>
      <c r="N184" s="29" t="s">
        <v>1012</v>
      </c>
      <c r="O184" s="24">
        <f>VLOOKUP(A184,Hoja1!A:C,3,0)</f>
        <v>8</v>
      </c>
      <c r="P184" s="30" t="str">
        <f>VLOOKUP(M184,[1]TIPOLOGIAS!$A:$F,4,0)</f>
        <v>BOGOTA</v>
      </c>
      <c r="Q184" s="30" t="str">
        <f>VLOOKUP(P184,'BASE TARIFA 2025'!C:D,2,0)</f>
        <v>WOMPI CENTRO</v>
      </c>
      <c r="R184" s="31">
        <f>VLOOKUP(P184,'BASE TARIFA 2025'!C:F,4,0)</f>
        <v>15709.5</v>
      </c>
    </row>
    <row r="185" spans="1:18" s="28" customFormat="1" ht="14.4" x14ac:dyDescent="0.3">
      <c r="A185" s="28">
        <v>53198</v>
      </c>
      <c r="B185" s="28" t="s">
        <v>1360</v>
      </c>
      <c r="C185" s="28">
        <v>1121843999</v>
      </c>
      <c r="D185" s="28" t="s">
        <v>1361</v>
      </c>
      <c r="E185" s="28" t="s">
        <v>1361</v>
      </c>
      <c r="F185" s="28" t="s">
        <v>1361</v>
      </c>
      <c r="G185" s="28" t="s">
        <v>1362</v>
      </c>
      <c r="H185" s="28" t="s">
        <v>194</v>
      </c>
      <c r="I185" s="28" t="s">
        <v>195</v>
      </c>
      <c r="J185" s="28" t="s">
        <v>89</v>
      </c>
      <c r="K185" s="28" t="s">
        <v>155</v>
      </c>
      <c r="L185" s="28" t="s">
        <v>155</v>
      </c>
      <c r="M185" s="28">
        <v>41306</v>
      </c>
      <c r="N185" s="29" t="s">
        <v>716</v>
      </c>
      <c r="O185" s="24">
        <f>VLOOKUP(A185,Hoja1!A:C,3,0)</f>
        <v>8</v>
      </c>
      <c r="P185" s="30" t="str">
        <f>VLOOKUP(M185,[1]TIPOLOGIAS!$A:$F,4,0)</f>
        <v>NEIVA</v>
      </c>
      <c r="Q185" s="30" t="str">
        <f>VLOOKUP(P185,'BASE TARIFA 2025'!C:D,2,0)</f>
        <v>WOMPI ORIENTE</v>
      </c>
      <c r="R185" s="31">
        <f>VLOOKUP(P185,'BASE TARIFA 2025'!C:F,4,0)</f>
        <v>28277.100000000002</v>
      </c>
    </row>
    <row r="186" spans="1:18" s="28" customFormat="1" ht="14.4" x14ac:dyDescent="0.3">
      <c r="A186" s="28">
        <v>52928</v>
      </c>
      <c r="B186" s="28" t="s">
        <v>1363</v>
      </c>
      <c r="C186" s="28">
        <v>17336093</v>
      </c>
      <c r="D186" s="28" t="s">
        <v>1364</v>
      </c>
      <c r="E186" s="28" t="s">
        <v>69</v>
      </c>
      <c r="F186" s="28" t="s">
        <v>1364</v>
      </c>
      <c r="G186" s="28" t="s">
        <v>1365</v>
      </c>
      <c r="H186" s="28" t="s">
        <v>1366</v>
      </c>
      <c r="I186" s="28" t="s">
        <v>1367</v>
      </c>
      <c r="J186" s="28" t="s">
        <v>89</v>
      </c>
      <c r="K186" s="28" t="s">
        <v>155</v>
      </c>
      <c r="L186" s="28" t="s">
        <v>155</v>
      </c>
      <c r="M186" s="28">
        <v>41306</v>
      </c>
      <c r="N186" s="29" t="s">
        <v>716</v>
      </c>
      <c r="O186" s="24">
        <f>VLOOKUP(A186,Hoja1!A:C,3,0)</f>
        <v>16</v>
      </c>
      <c r="P186" s="30" t="str">
        <f>VLOOKUP(M186,[1]TIPOLOGIAS!$A:$F,4,0)</f>
        <v>NEIVA</v>
      </c>
      <c r="Q186" s="30" t="str">
        <f>VLOOKUP(P186,'BASE TARIFA 2025'!C:D,2,0)</f>
        <v>WOMPI ORIENTE</v>
      </c>
      <c r="R186" s="31">
        <f>VLOOKUP(P186,'BASE TARIFA 2025'!C:F,4,0)</f>
        <v>28277.100000000002</v>
      </c>
    </row>
    <row r="187" spans="1:18" s="28" customFormat="1" ht="14.4" x14ac:dyDescent="0.3">
      <c r="A187" s="28">
        <v>50586</v>
      </c>
      <c r="B187" s="28" t="s">
        <v>1368</v>
      </c>
      <c r="C187" s="28">
        <v>1121832493</v>
      </c>
      <c r="D187" s="28" t="s">
        <v>1369</v>
      </c>
      <c r="E187" s="28" t="s">
        <v>1369</v>
      </c>
      <c r="F187" s="28" t="s">
        <v>1369</v>
      </c>
      <c r="G187" s="28" t="s">
        <v>1370</v>
      </c>
      <c r="H187" s="28" t="s">
        <v>1371</v>
      </c>
      <c r="I187" s="28" t="s">
        <v>1372</v>
      </c>
      <c r="J187" s="28" t="s">
        <v>89</v>
      </c>
      <c r="K187" s="28" t="s">
        <v>155</v>
      </c>
      <c r="L187" s="28" t="s">
        <v>155</v>
      </c>
      <c r="M187" s="28">
        <v>41306</v>
      </c>
      <c r="N187" s="29" t="s">
        <v>716</v>
      </c>
      <c r="O187" s="24">
        <f>VLOOKUP(A187,Hoja1!A:C,3,0)</f>
        <v>16</v>
      </c>
      <c r="P187" s="30" t="str">
        <f>VLOOKUP(M187,[1]TIPOLOGIAS!$A:$F,4,0)</f>
        <v>NEIVA</v>
      </c>
      <c r="Q187" s="30" t="str">
        <f>VLOOKUP(P187,'BASE TARIFA 2025'!C:D,2,0)</f>
        <v>WOMPI ORIENTE</v>
      </c>
      <c r="R187" s="31">
        <f>VLOOKUP(P187,'BASE TARIFA 2025'!C:F,4,0)</f>
        <v>28277.100000000002</v>
      </c>
    </row>
    <row r="188" spans="1:18" s="28" customFormat="1" ht="14.4" x14ac:dyDescent="0.3">
      <c r="A188" s="28">
        <v>16203</v>
      </c>
      <c r="B188" s="28" t="s">
        <v>1373</v>
      </c>
      <c r="C188" s="28">
        <v>11379369</v>
      </c>
      <c r="D188" s="28" t="s">
        <v>1374</v>
      </c>
      <c r="E188" s="28" t="s">
        <v>1374</v>
      </c>
      <c r="G188" s="28" t="s">
        <v>1375</v>
      </c>
      <c r="H188" s="28" t="s">
        <v>1376</v>
      </c>
      <c r="I188" s="28" t="s">
        <v>1377</v>
      </c>
      <c r="J188" s="28" t="s">
        <v>89</v>
      </c>
      <c r="K188" s="28" t="s">
        <v>155</v>
      </c>
      <c r="L188" s="28" t="s">
        <v>155</v>
      </c>
      <c r="M188" s="28">
        <v>41306</v>
      </c>
      <c r="N188" s="29" t="s">
        <v>716</v>
      </c>
      <c r="O188" s="24" t="e">
        <f>VLOOKUP(A188,Hoja1!A:C,3,0)</f>
        <v>#N/A</v>
      </c>
      <c r="P188" s="30" t="str">
        <f>VLOOKUP(M188,[1]TIPOLOGIAS!$A:$F,4,0)</f>
        <v>NEIVA</v>
      </c>
      <c r="Q188" s="30" t="str">
        <f>VLOOKUP(P188,'BASE TARIFA 2025'!C:D,2,0)</f>
        <v>WOMPI ORIENTE</v>
      </c>
      <c r="R188" s="31">
        <f>VLOOKUP(P188,'BASE TARIFA 2025'!C:F,4,0)</f>
        <v>28277.100000000002</v>
      </c>
    </row>
    <row r="189" spans="1:18" s="28" customFormat="1" ht="14.4" x14ac:dyDescent="0.3">
      <c r="A189" s="28">
        <v>43051</v>
      </c>
      <c r="B189" s="28" t="s">
        <v>1378</v>
      </c>
      <c r="C189" s="28">
        <v>1069717168</v>
      </c>
      <c r="D189" s="28" t="s">
        <v>1379</v>
      </c>
      <c r="E189" s="28" t="s">
        <v>1379</v>
      </c>
      <c r="F189" s="28" t="s">
        <v>1379</v>
      </c>
      <c r="G189" s="28" t="s">
        <v>1380</v>
      </c>
      <c r="H189" s="28" t="s">
        <v>1381</v>
      </c>
      <c r="I189" s="28" t="s">
        <v>1382</v>
      </c>
      <c r="J189" s="28" t="s">
        <v>89</v>
      </c>
      <c r="K189" s="28" t="s">
        <v>155</v>
      </c>
      <c r="L189" s="28" t="s">
        <v>155</v>
      </c>
      <c r="M189" s="28">
        <v>41306</v>
      </c>
      <c r="N189" s="29" t="s">
        <v>716</v>
      </c>
      <c r="O189" s="24" t="e">
        <f>VLOOKUP(A189,Hoja1!A:C,3,0)</f>
        <v>#N/A</v>
      </c>
      <c r="P189" s="30" t="str">
        <f>VLOOKUP(M189,[1]TIPOLOGIAS!$A:$F,4,0)</f>
        <v>NEIVA</v>
      </c>
      <c r="Q189" s="30" t="str">
        <f>VLOOKUP(P189,'BASE TARIFA 2025'!C:D,2,0)</f>
        <v>WOMPI ORIENTE</v>
      </c>
      <c r="R189" s="31">
        <f>VLOOKUP(P189,'BASE TARIFA 2025'!C:F,4,0)</f>
        <v>28277.100000000002</v>
      </c>
    </row>
    <row r="190" spans="1:18" s="28" customFormat="1" ht="14.4" x14ac:dyDescent="0.3">
      <c r="A190" s="28">
        <v>71738</v>
      </c>
      <c r="B190" s="28" t="s">
        <v>1383</v>
      </c>
      <c r="C190" s="28">
        <v>900342127</v>
      </c>
      <c r="D190" s="28" t="s">
        <v>1384</v>
      </c>
      <c r="E190" s="28" t="s">
        <v>1385</v>
      </c>
      <c r="F190" s="28" t="s">
        <v>1384</v>
      </c>
      <c r="G190" s="28" t="s">
        <v>1386</v>
      </c>
      <c r="H190" s="28" t="s">
        <v>1387</v>
      </c>
      <c r="I190" s="28" t="s">
        <v>1388</v>
      </c>
      <c r="J190" s="28" t="s">
        <v>76</v>
      </c>
      <c r="K190" s="28" t="s">
        <v>119</v>
      </c>
      <c r="L190" s="28" t="s">
        <v>119</v>
      </c>
      <c r="M190" s="28">
        <v>50573</v>
      </c>
      <c r="N190" s="29" t="s">
        <v>530</v>
      </c>
      <c r="O190" s="24" t="e">
        <f>VLOOKUP(A190,Hoja1!A:C,3,0)</f>
        <v>#N/A</v>
      </c>
      <c r="P190" s="30" t="str">
        <f>VLOOKUP(M190,[1]TIPOLOGIAS!$A:$F,4,0)</f>
        <v>VILLAVICENCIO</v>
      </c>
      <c r="Q190" s="30" t="str">
        <f>VLOOKUP(P190,'BASE TARIFA 2025'!C:D,2,0)</f>
        <v>WOMPI ORIENTE</v>
      </c>
      <c r="R190" s="31">
        <f>VLOOKUP(P190,'BASE TARIFA 2025'!C:F,4,0)</f>
        <v>28277.100000000002</v>
      </c>
    </row>
    <row r="191" spans="1:18" s="28" customFormat="1" ht="14.4" x14ac:dyDescent="0.3">
      <c r="A191" s="28">
        <v>26464</v>
      </c>
      <c r="B191" s="28" t="s">
        <v>1389</v>
      </c>
      <c r="C191" s="28">
        <v>19341983</v>
      </c>
      <c r="D191" s="28" t="s">
        <v>1390</v>
      </c>
      <c r="E191" s="28" t="s">
        <v>1390</v>
      </c>
      <c r="F191" s="28" t="s">
        <v>1391</v>
      </c>
      <c r="G191" s="28" t="s">
        <v>1392</v>
      </c>
      <c r="H191" s="28" t="s">
        <v>1393</v>
      </c>
      <c r="I191" s="28" t="s">
        <v>1394</v>
      </c>
      <c r="J191" s="28" t="s">
        <v>76</v>
      </c>
      <c r="K191" s="28" t="s">
        <v>119</v>
      </c>
      <c r="L191" s="28" t="s">
        <v>119</v>
      </c>
      <c r="M191" s="28">
        <v>50573</v>
      </c>
      <c r="N191" s="29" t="s">
        <v>536</v>
      </c>
      <c r="O191" s="24" t="e">
        <f>VLOOKUP(A191,Hoja1!A:C,3,0)</f>
        <v>#N/A</v>
      </c>
      <c r="P191" s="30" t="str">
        <f>VLOOKUP(M191,[1]TIPOLOGIAS!$A:$F,4,0)</f>
        <v>VILLAVICENCIO</v>
      </c>
      <c r="Q191" s="30" t="str">
        <f>VLOOKUP(P191,'BASE TARIFA 2025'!C:D,2,0)</f>
        <v>WOMPI ORIENTE</v>
      </c>
      <c r="R191" s="31">
        <f>VLOOKUP(P191,'BASE TARIFA 2025'!C:F,4,0)</f>
        <v>28277.100000000002</v>
      </c>
    </row>
    <row r="192" spans="1:18" s="28" customFormat="1" ht="14.4" x14ac:dyDescent="0.3">
      <c r="A192" s="28">
        <v>50773</v>
      </c>
      <c r="B192" s="28" t="s">
        <v>1395</v>
      </c>
      <c r="C192" s="28">
        <v>30030782</v>
      </c>
      <c r="D192" s="28" t="s">
        <v>1396</v>
      </c>
      <c r="E192" s="28" t="s">
        <v>1397</v>
      </c>
      <c r="F192" s="28" t="s">
        <v>1397</v>
      </c>
      <c r="G192" s="28" t="s">
        <v>1398</v>
      </c>
      <c r="H192" s="28" t="s">
        <v>1399</v>
      </c>
      <c r="I192" s="28" t="s">
        <v>1400</v>
      </c>
      <c r="J192" s="28" t="s">
        <v>76</v>
      </c>
      <c r="K192" s="28" t="s">
        <v>119</v>
      </c>
      <c r="L192" s="28" t="s">
        <v>119</v>
      </c>
      <c r="M192" s="28">
        <v>50573</v>
      </c>
      <c r="N192" s="29" t="s">
        <v>536</v>
      </c>
      <c r="O192" s="24">
        <f>VLOOKUP(A192,Hoja1!A:C,3,0)</f>
        <v>16</v>
      </c>
      <c r="P192" s="30" t="str">
        <f>VLOOKUP(M192,[1]TIPOLOGIAS!$A:$F,4,0)</f>
        <v>VILLAVICENCIO</v>
      </c>
      <c r="Q192" s="30" t="str">
        <f>VLOOKUP(P192,'BASE TARIFA 2025'!C:D,2,0)</f>
        <v>WOMPI ORIENTE</v>
      </c>
      <c r="R192" s="31">
        <f>VLOOKUP(P192,'BASE TARIFA 2025'!C:F,4,0)</f>
        <v>28277.100000000002</v>
      </c>
    </row>
    <row r="193" spans="1:18" s="28" customFormat="1" ht="14.4" x14ac:dyDescent="0.3">
      <c r="A193" s="28">
        <v>49099</v>
      </c>
      <c r="B193" s="28" t="s">
        <v>1401</v>
      </c>
      <c r="C193" s="28">
        <v>900808260</v>
      </c>
      <c r="D193" s="28" t="s">
        <v>1402</v>
      </c>
      <c r="E193" s="28" t="s">
        <v>1402</v>
      </c>
      <c r="F193" s="28" t="s">
        <v>1402</v>
      </c>
      <c r="G193" s="28" t="s">
        <v>1403</v>
      </c>
      <c r="H193" s="28" t="s">
        <v>1404</v>
      </c>
      <c r="I193" s="28" t="s">
        <v>1405</v>
      </c>
      <c r="J193" s="28" t="s">
        <v>76</v>
      </c>
      <c r="K193" s="28" t="s">
        <v>119</v>
      </c>
      <c r="L193" s="28" t="s">
        <v>119</v>
      </c>
      <c r="M193" s="28">
        <v>50573</v>
      </c>
      <c r="N193" s="29" t="s">
        <v>530</v>
      </c>
      <c r="O193" s="24">
        <f>VLOOKUP(A193,Hoja1!A:C,3,0)</f>
        <v>8</v>
      </c>
      <c r="P193" s="30" t="str">
        <f>VLOOKUP(M193,[1]TIPOLOGIAS!$A:$F,4,0)</f>
        <v>VILLAVICENCIO</v>
      </c>
      <c r="Q193" s="30" t="str">
        <f>VLOOKUP(P193,'BASE TARIFA 2025'!C:D,2,0)</f>
        <v>WOMPI ORIENTE</v>
      </c>
      <c r="R193" s="31">
        <f>VLOOKUP(P193,'BASE TARIFA 2025'!C:F,4,0)</f>
        <v>28277.100000000002</v>
      </c>
    </row>
    <row r="194" spans="1:18" s="28" customFormat="1" ht="14.4" x14ac:dyDescent="0.3">
      <c r="A194" s="28">
        <v>50122</v>
      </c>
      <c r="B194" s="28" t="s">
        <v>1406</v>
      </c>
      <c r="C194" s="28">
        <v>40441051</v>
      </c>
      <c r="D194" s="28" t="s">
        <v>1407</v>
      </c>
      <c r="E194" s="28" t="s">
        <v>1407</v>
      </c>
      <c r="F194" s="28" t="s">
        <v>1408</v>
      </c>
      <c r="G194" s="28" t="s">
        <v>1409</v>
      </c>
      <c r="H194" s="28" t="s">
        <v>1410</v>
      </c>
      <c r="I194" s="28" t="s">
        <v>1411</v>
      </c>
      <c r="J194" s="28" t="s">
        <v>76</v>
      </c>
      <c r="K194" s="28" t="s">
        <v>119</v>
      </c>
      <c r="L194" s="28" t="s">
        <v>119</v>
      </c>
      <c r="M194" s="28">
        <v>50573</v>
      </c>
      <c r="N194" s="29" t="s">
        <v>536</v>
      </c>
      <c r="O194" s="24">
        <f>VLOOKUP(A194,Hoja1!A:C,3,0)</f>
        <v>8</v>
      </c>
      <c r="P194" s="30" t="str">
        <f>VLOOKUP(M194,[1]TIPOLOGIAS!$A:$F,4,0)</f>
        <v>VILLAVICENCIO</v>
      </c>
      <c r="Q194" s="30" t="str">
        <f>VLOOKUP(P194,'BASE TARIFA 2025'!C:D,2,0)</f>
        <v>WOMPI ORIENTE</v>
      </c>
      <c r="R194" s="31">
        <f>VLOOKUP(P194,'BASE TARIFA 2025'!C:F,4,0)</f>
        <v>28277.100000000002</v>
      </c>
    </row>
    <row r="195" spans="1:18" s="28" customFormat="1" ht="14.4" x14ac:dyDescent="0.3">
      <c r="A195" s="28">
        <v>76974</v>
      </c>
      <c r="B195" s="28" t="s">
        <v>1412</v>
      </c>
      <c r="C195" s="28">
        <v>19246761</v>
      </c>
      <c r="D195" s="28" t="s">
        <v>1391</v>
      </c>
      <c r="E195" s="28" t="s">
        <v>1413</v>
      </c>
      <c r="F195" s="28" t="s">
        <v>1414</v>
      </c>
      <c r="G195" s="28" t="s">
        <v>1415</v>
      </c>
      <c r="H195" s="28" t="s">
        <v>1416</v>
      </c>
      <c r="I195" s="28" t="s">
        <v>1417</v>
      </c>
      <c r="J195" s="28" t="s">
        <v>76</v>
      </c>
      <c r="K195" s="28" t="s">
        <v>119</v>
      </c>
      <c r="L195" s="28" t="s">
        <v>119</v>
      </c>
      <c r="M195" s="28">
        <v>50573</v>
      </c>
      <c r="N195" s="29" t="s">
        <v>530</v>
      </c>
      <c r="O195" s="24" t="e">
        <f>VLOOKUP(A195,Hoja1!A:C,3,0)</f>
        <v>#N/A</v>
      </c>
      <c r="P195" s="30" t="str">
        <f>VLOOKUP(M195,[1]TIPOLOGIAS!$A:$F,4,0)</f>
        <v>VILLAVICENCIO</v>
      </c>
      <c r="Q195" s="30" t="str">
        <f>VLOOKUP(P195,'BASE TARIFA 2025'!C:D,2,0)</f>
        <v>WOMPI ORIENTE</v>
      </c>
      <c r="R195" s="31">
        <f>VLOOKUP(P195,'BASE TARIFA 2025'!C:F,4,0)</f>
        <v>28277.100000000002</v>
      </c>
    </row>
    <row r="196" spans="1:18" s="28" customFormat="1" ht="14.4" x14ac:dyDescent="0.3">
      <c r="A196" s="28">
        <v>77611</v>
      </c>
      <c r="B196" s="28" t="s">
        <v>1418</v>
      </c>
      <c r="C196" s="28">
        <v>1007560187</v>
      </c>
      <c r="D196" s="28" t="s">
        <v>1419</v>
      </c>
      <c r="E196" s="28" t="s">
        <v>1420</v>
      </c>
      <c r="F196" s="28" t="s">
        <v>1420</v>
      </c>
      <c r="G196" s="28" t="s">
        <v>1421</v>
      </c>
      <c r="H196" s="28" t="s">
        <v>1422</v>
      </c>
      <c r="I196" s="28" t="s">
        <v>1423</v>
      </c>
      <c r="J196" s="28" t="s">
        <v>76</v>
      </c>
      <c r="K196" s="28" t="s">
        <v>119</v>
      </c>
      <c r="L196" s="28" t="s">
        <v>119</v>
      </c>
      <c r="M196" s="28">
        <v>50573</v>
      </c>
      <c r="N196" s="29" t="s">
        <v>530</v>
      </c>
      <c r="O196" s="24" t="e">
        <f>VLOOKUP(A196,Hoja1!A:C,3,0)</f>
        <v>#N/A</v>
      </c>
      <c r="P196" s="30" t="str">
        <f>VLOOKUP(M196,[1]TIPOLOGIAS!$A:$F,4,0)</f>
        <v>VILLAVICENCIO</v>
      </c>
      <c r="Q196" s="30" t="str">
        <f>VLOOKUP(P196,'BASE TARIFA 2025'!C:D,2,0)</f>
        <v>WOMPI ORIENTE</v>
      </c>
      <c r="R196" s="31">
        <f>VLOOKUP(P196,'BASE TARIFA 2025'!C:F,4,0)</f>
        <v>28277.100000000002</v>
      </c>
    </row>
    <row r="197" spans="1:18" s="28" customFormat="1" ht="14.4" x14ac:dyDescent="0.3">
      <c r="A197" s="28">
        <v>76919</v>
      </c>
      <c r="B197" s="28" t="s">
        <v>1424</v>
      </c>
      <c r="C197" s="28">
        <v>79535093</v>
      </c>
      <c r="D197" s="28" t="s">
        <v>1425</v>
      </c>
      <c r="E197" s="28" t="s">
        <v>1425</v>
      </c>
      <c r="F197" s="28" t="s">
        <v>1425</v>
      </c>
      <c r="G197" s="28" t="s">
        <v>1426</v>
      </c>
      <c r="H197" s="28" t="s">
        <v>1427</v>
      </c>
      <c r="I197" s="28" t="s">
        <v>1428</v>
      </c>
      <c r="J197" s="28" t="s">
        <v>76</v>
      </c>
      <c r="K197" s="28" t="s">
        <v>119</v>
      </c>
      <c r="L197" s="28" t="s">
        <v>119</v>
      </c>
      <c r="M197" s="28">
        <v>50573</v>
      </c>
      <c r="N197" s="29" t="s">
        <v>560</v>
      </c>
      <c r="O197" s="24" t="e">
        <f>VLOOKUP(A197,Hoja1!A:C,3,0)</f>
        <v>#N/A</v>
      </c>
      <c r="P197" s="30" t="str">
        <f>VLOOKUP(M197,[1]TIPOLOGIAS!$A:$F,4,0)</f>
        <v>VILLAVICENCIO</v>
      </c>
      <c r="Q197" s="30" t="str">
        <f>VLOOKUP(P197,'BASE TARIFA 2025'!C:D,2,0)</f>
        <v>WOMPI ORIENTE</v>
      </c>
      <c r="R197" s="31">
        <f>VLOOKUP(P197,'BASE TARIFA 2025'!C:F,4,0)</f>
        <v>28277.100000000002</v>
      </c>
    </row>
    <row r="198" spans="1:18" s="28" customFormat="1" ht="14.4" x14ac:dyDescent="0.3">
      <c r="A198" s="28">
        <v>75363</v>
      </c>
      <c r="B198" s="28" t="s">
        <v>1429</v>
      </c>
      <c r="C198" s="28">
        <v>52762521</v>
      </c>
      <c r="D198" s="28" t="s">
        <v>1430</v>
      </c>
      <c r="E198" s="28" t="s">
        <v>1430</v>
      </c>
      <c r="F198" s="28" t="s">
        <v>1430</v>
      </c>
      <c r="G198" s="28" t="s">
        <v>1431</v>
      </c>
      <c r="H198" s="28" t="s">
        <v>1432</v>
      </c>
      <c r="I198" s="28" t="s">
        <v>1433</v>
      </c>
      <c r="J198" s="28" t="s">
        <v>76</v>
      </c>
      <c r="K198" s="28" t="s">
        <v>119</v>
      </c>
      <c r="L198" s="28" t="s">
        <v>119</v>
      </c>
      <c r="M198" s="28">
        <v>50573</v>
      </c>
      <c r="N198" s="29" t="s">
        <v>560</v>
      </c>
      <c r="O198" s="24" t="e">
        <f>VLOOKUP(A198,Hoja1!A:C,3,0)</f>
        <v>#N/A</v>
      </c>
      <c r="P198" s="30" t="str">
        <f>VLOOKUP(M198,[1]TIPOLOGIAS!$A:$F,4,0)</f>
        <v>VILLAVICENCIO</v>
      </c>
      <c r="Q198" s="30" t="str">
        <f>VLOOKUP(P198,'BASE TARIFA 2025'!C:D,2,0)</f>
        <v>WOMPI ORIENTE</v>
      </c>
      <c r="R198" s="31">
        <f>VLOOKUP(P198,'BASE TARIFA 2025'!C:F,4,0)</f>
        <v>28277.100000000002</v>
      </c>
    </row>
    <row r="199" spans="1:18" s="28" customFormat="1" ht="14.4" x14ac:dyDescent="0.3">
      <c r="A199" s="28">
        <v>72703</v>
      </c>
      <c r="B199" s="28" t="s">
        <v>1434</v>
      </c>
      <c r="C199" s="28">
        <v>1012317448</v>
      </c>
      <c r="D199" s="28" t="s">
        <v>1435</v>
      </c>
      <c r="E199" s="28" t="s">
        <v>1435</v>
      </c>
      <c r="F199" s="28" t="s">
        <v>1435</v>
      </c>
      <c r="G199" s="28" t="s">
        <v>1436</v>
      </c>
      <c r="H199" s="28" t="s">
        <v>1437</v>
      </c>
      <c r="I199" s="28" t="s">
        <v>1438</v>
      </c>
      <c r="J199" s="28" t="s">
        <v>76</v>
      </c>
      <c r="K199" s="28" t="s">
        <v>119</v>
      </c>
      <c r="L199" s="28" t="s">
        <v>119</v>
      </c>
      <c r="M199" s="28">
        <v>50573</v>
      </c>
      <c r="N199" s="29" t="s">
        <v>536</v>
      </c>
      <c r="O199" s="24" t="e">
        <f>VLOOKUP(A199,Hoja1!A:C,3,0)</f>
        <v>#N/A</v>
      </c>
      <c r="P199" s="30" t="str">
        <f>VLOOKUP(M199,[1]TIPOLOGIAS!$A:$F,4,0)</f>
        <v>VILLAVICENCIO</v>
      </c>
      <c r="Q199" s="30" t="str">
        <f>VLOOKUP(P199,'BASE TARIFA 2025'!C:D,2,0)</f>
        <v>WOMPI ORIENTE</v>
      </c>
      <c r="R199" s="31">
        <f>VLOOKUP(P199,'BASE TARIFA 2025'!C:F,4,0)</f>
        <v>28277.100000000002</v>
      </c>
    </row>
    <row r="200" spans="1:18" s="28" customFormat="1" ht="14.4" x14ac:dyDescent="0.3">
      <c r="A200" s="28">
        <v>71902</v>
      </c>
      <c r="B200" s="28" t="s">
        <v>1439</v>
      </c>
      <c r="C200" s="28">
        <v>5885998</v>
      </c>
      <c r="D200" s="28" t="s">
        <v>1440</v>
      </c>
      <c r="E200" s="28" t="s">
        <v>1441</v>
      </c>
      <c r="F200" s="28" t="s">
        <v>1440</v>
      </c>
      <c r="G200" s="28" t="s">
        <v>1442</v>
      </c>
      <c r="H200" s="28" t="s">
        <v>1443</v>
      </c>
      <c r="I200" s="28" t="s">
        <v>1444</v>
      </c>
      <c r="J200" s="28" t="s">
        <v>76</v>
      </c>
      <c r="K200" s="28" t="s">
        <v>119</v>
      </c>
      <c r="L200" s="28" t="s">
        <v>119</v>
      </c>
      <c r="M200" s="28">
        <v>50573</v>
      </c>
      <c r="N200" s="29" t="s">
        <v>560</v>
      </c>
      <c r="O200" s="24" t="e">
        <f>VLOOKUP(A200,Hoja1!A:C,3,0)</f>
        <v>#N/A</v>
      </c>
      <c r="P200" s="30" t="str">
        <f>VLOOKUP(M200,[1]TIPOLOGIAS!$A:$F,4,0)</f>
        <v>VILLAVICENCIO</v>
      </c>
      <c r="Q200" s="30" t="str">
        <f>VLOOKUP(P200,'BASE TARIFA 2025'!C:D,2,0)</f>
        <v>WOMPI ORIENTE</v>
      </c>
      <c r="R200" s="31">
        <f>VLOOKUP(P200,'BASE TARIFA 2025'!C:F,4,0)</f>
        <v>28277.100000000002</v>
      </c>
    </row>
    <row r="201" spans="1:18" s="28" customFormat="1" ht="14.4" x14ac:dyDescent="0.3">
      <c r="A201" s="28">
        <v>72151</v>
      </c>
      <c r="B201" s="28" t="s">
        <v>1445</v>
      </c>
      <c r="C201" s="28">
        <v>52765416</v>
      </c>
      <c r="D201" s="28" t="s">
        <v>1408</v>
      </c>
      <c r="E201" s="28" t="s">
        <v>1408</v>
      </c>
      <c r="F201" s="28" t="s">
        <v>1407</v>
      </c>
      <c r="G201" s="28" t="s">
        <v>1446</v>
      </c>
      <c r="H201" s="28" t="s">
        <v>1447</v>
      </c>
      <c r="I201" s="28" t="s">
        <v>1448</v>
      </c>
      <c r="J201" s="28" t="s">
        <v>76</v>
      </c>
      <c r="K201" s="28" t="s">
        <v>119</v>
      </c>
      <c r="L201" s="28" t="s">
        <v>119</v>
      </c>
      <c r="M201" s="28">
        <v>50573</v>
      </c>
      <c r="N201" s="29" t="s">
        <v>560</v>
      </c>
      <c r="O201" s="24" t="e">
        <f>VLOOKUP(A201,Hoja1!A:C,3,0)</f>
        <v>#N/A</v>
      </c>
      <c r="P201" s="30" t="str">
        <f>VLOOKUP(M201,[1]TIPOLOGIAS!$A:$F,4,0)</f>
        <v>VILLAVICENCIO</v>
      </c>
      <c r="Q201" s="30" t="str">
        <f>VLOOKUP(P201,'BASE TARIFA 2025'!C:D,2,0)</f>
        <v>WOMPI ORIENTE</v>
      </c>
      <c r="R201" s="31">
        <f>VLOOKUP(P201,'BASE TARIFA 2025'!C:F,4,0)</f>
        <v>28277.100000000002</v>
      </c>
    </row>
    <row r="202" spans="1:18" s="28" customFormat="1" ht="14.4" x14ac:dyDescent="0.3">
      <c r="A202" s="28">
        <v>37333</v>
      </c>
      <c r="B202" s="28" t="s">
        <v>1449</v>
      </c>
      <c r="C202" s="28">
        <v>900609933</v>
      </c>
      <c r="D202" s="28" t="s">
        <v>1450</v>
      </c>
      <c r="E202" s="28" t="s">
        <v>1450</v>
      </c>
      <c r="F202" s="28" t="s">
        <v>1450</v>
      </c>
      <c r="G202" s="28" t="s">
        <v>1451</v>
      </c>
      <c r="H202" s="28" t="s">
        <v>1452</v>
      </c>
      <c r="I202" s="28" t="s">
        <v>1453</v>
      </c>
      <c r="J202" s="28" t="s">
        <v>144</v>
      </c>
      <c r="K202" s="28" t="s">
        <v>208</v>
      </c>
      <c r="L202" s="28" t="s">
        <v>208</v>
      </c>
      <c r="M202" s="28">
        <v>18610</v>
      </c>
      <c r="N202" s="29" t="s">
        <v>716</v>
      </c>
      <c r="O202" s="24">
        <f>VLOOKUP(A202,Hoja1!A:C,3,0)</f>
        <v>8</v>
      </c>
      <c r="P202" s="30" t="str">
        <f>VLOOKUP(M202,[1]TIPOLOGIAS!$A:$F,4,0)</f>
        <v>NEIVA</v>
      </c>
      <c r="Q202" s="30" t="str">
        <f>VLOOKUP(P202,'BASE TARIFA 2025'!C:D,2,0)</f>
        <v>WOMPI ORIENTE</v>
      </c>
      <c r="R202" s="31">
        <f>VLOOKUP(P202,'BASE TARIFA 2025'!C:F,4,0)</f>
        <v>28277.100000000002</v>
      </c>
    </row>
    <row r="203" spans="1:18" s="28" customFormat="1" ht="14.4" x14ac:dyDescent="0.3">
      <c r="A203" s="28">
        <v>39668</v>
      </c>
      <c r="B203" s="28" t="s">
        <v>1454</v>
      </c>
      <c r="C203" s="28">
        <v>51609377</v>
      </c>
      <c r="D203" s="28" t="s">
        <v>1455</v>
      </c>
      <c r="E203" s="28" t="s">
        <v>1455</v>
      </c>
      <c r="F203" s="28" t="s">
        <v>1455</v>
      </c>
      <c r="G203" s="28" t="s">
        <v>1456</v>
      </c>
      <c r="H203" s="28" t="s">
        <v>1457</v>
      </c>
      <c r="I203" s="28" t="s">
        <v>1458</v>
      </c>
      <c r="J203" s="28" t="s">
        <v>75</v>
      </c>
      <c r="K203" s="28" t="s">
        <v>209</v>
      </c>
      <c r="L203" s="28" t="s">
        <v>209</v>
      </c>
      <c r="M203" s="28">
        <v>19001</v>
      </c>
      <c r="N203" s="29" t="s">
        <v>722</v>
      </c>
      <c r="O203" s="24">
        <f>VLOOKUP(A203,Hoja1!A:C,3,0)</f>
        <v>8</v>
      </c>
      <c r="P203" s="30" t="str">
        <f>VLOOKUP(M203,[1]TIPOLOGIAS!$A:$F,4,0)</f>
        <v>CALI</v>
      </c>
      <c r="Q203" s="30" t="str">
        <f>VLOOKUP(P203,'BASE TARIFA 2025'!C:D,2,0)</f>
        <v>WOMPI SUROCCIDENTE</v>
      </c>
      <c r="R203" s="31">
        <f>VLOOKUP(P203,'BASE TARIFA 2025'!C:F,4,0)</f>
        <v>15709.5</v>
      </c>
    </row>
    <row r="204" spans="1:18" s="28" customFormat="1" ht="14.4" x14ac:dyDescent="0.3">
      <c r="A204" s="28">
        <v>34463</v>
      </c>
      <c r="B204" s="28" t="s">
        <v>1459</v>
      </c>
      <c r="C204" s="28">
        <v>40383825</v>
      </c>
      <c r="D204" s="28" t="s">
        <v>1460</v>
      </c>
      <c r="E204" s="28" t="s">
        <v>1460</v>
      </c>
      <c r="F204" s="28" t="s">
        <v>1460</v>
      </c>
      <c r="G204" s="28" t="s">
        <v>1461</v>
      </c>
      <c r="H204" s="28" t="s">
        <v>1462</v>
      </c>
      <c r="I204" s="28" t="s">
        <v>1463</v>
      </c>
      <c r="J204" s="28" t="s">
        <v>75</v>
      </c>
      <c r="K204" s="28" t="s">
        <v>209</v>
      </c>
      <c r="L204" s="28" t="s">
        <v>209</v>
      </c>
      <c r="M204" s="28">
        <v>19001</v>
      </c>
      <c r="N204" s="29" t="s">
        <v>722</v>
      </c>
      <c r="O204" s="24">
        <f>VLOOKUP(A204,Hoja1!A:C,3,0)</f>
        <v>16</v>
      </c>
      <c r="P204" s="30" t="str">
        <f>VLOOKUP(M204,[1]TIPOLOGIAS!$A:$F,4,0)</f>
        <v>CALI</v>
      </c>
      <c r="Q204" s="30" t="str">
        <f>VLOOKUP(P204,'BASE TARIFA 2025'!C:D,2,0)</f>
        <v>WOMPI SUROCCIDENTE</v>
      </c>
      <c r="R204" s="31">
        <f>VLOOKUP(P204,'BASE TARIFA 2025'!C:F,4,0)</f>
        <v>15709.5</v>
      </c>
    </row>
    <row r="205" spans="1:18" s="28" customFormat="1" ht="14.4" x14ac:dyDescent="0.3">
      <c r="A205" s="28">
        <v>29694</v>
      </c>
      <c r="B205" s="28" t="s">
        <v>1464</v>
      </c>
      <c r="C205" s="28">
        <v>3142415</v>
      </c>
      <c r="D205" s="28" t="s">
        <v>1465</v>
      </c>
      <c r="E205" s="28" t="s">
        <v>1465</v>
      </c>
      <c r="G205" s="28" t="s">
        <v>1466</v>
      </c>
      <c r="H205" s="28" t="s">
        <v>1467</v>
      </c>
      <c r="I205" s="28" t="s">
        <v>1468</v>
      </c>
      <c r="J205" s="28" t="s">
        <v>75</v>
      </c>
      <c r="K205" s="28" t="s">
        <v>209</v>
      </c>
      <c r="L205" s="28" t="s">
        <v>209</v>
      </c>
      <c r="M205" s="28">
        <v>19001</v>
      </c>
      <c r="N205" s="29" t="s">
        <v>722</v>
      </c>
      <c r="O205" s="24">
        <f>VLOOKUP(A205,Hoja1!A:C,3,0)</f>
        <v>8</v>
      </c>
      <c r="P205" s="30" t="str">
        <f>VLOOKUP(M205,[1]TIPOLOGIAS!$A:$F,4,0)</f>
        <v>CALI</v>
      </c>
      <c r="Q205" s="30" t="str">
        <f>VLOOKUP(P205,'BASE TARIFA 2025'!C:D,2,0)</f>
        <v>WOMPI SUROCCIDENTE</v>
      </c>
      <c r="R205" s="31">
        <f>VLOOKUP(P205,'BASE TARIFA 2025'!C:F,4,0)</f>
        <v>15709.5</v>
      </c>
    </row>
    <row r="206" spans="1:18" s="28" customFormat="1" ht="14.4" x14ac:dyDescent="0.3">
      <c r="A206" s="28">
        <v>30658</v>
      </c>
      <c r="B206" s="28" t="s">
        <v>1469</v>
      </c>
      <c r="C206" s="28">
        <v>3142415</v>
      </c>
      <c r="D206" s="28" t="s">
        <v>1470</v>
      </c>
      <c r="E206" s="28" t="s">
        <v>1470</v>
      </c>
      <c r="G206" s="28" t="s">
        <v>1471</v>
      </c>
      <c r="H206" s="28" t="s">
        <v>1472</v>
      </c>
      <c r="I206" s="28" t="s">
        <v>1473</v>
      </c>
      <c r="J206" s="28" t="s">
        <v>75</v>
      </c>
      <c r="K206" s="28" t="s">
        <v>209</v>
      </c>
      <c r="L206" s="28" t="s">
        <v>209</v>
      </c>
      <c r="M206" s="28">
        <v>19001</v>
      </c>
      <c r="N206" s="29" t="s">
        <v>722</v>
      </c>
      <c r="O206" s="24">
        <f>VLOOKUP(A206,Hoja1!A:C,3,0)</f>
        <v>8</v>
      </c>
      <c r="P206" s="30" t="str">
        <f>VLOOKUP(M206,[1]TIPOLOGIAS!$A:$F,4,0)</f>
        <v>CALI</v>
      </c>
      <c r="Q206" s="30" t="str">
        <f>VLOOKUP(P206,'BASE TARIFA 2025'!C:D,2,0)</f>
        <v>WOMPI SUROCCIDENTE</v>
      </c>
      <c r="R206" s="31">
        <f>VLOOKUP(P206,'BASE TARIFA 2025'!C:F,4,0)</f>
        <v>15709.5</v>
      </c>
    </row>
    <row r="207" spans="1:18" s="28" customFormat="1" ht="14.4" x14ac:dyDescent="0.3">
      <c r="A207" s="28">
        <v>34201</v>
      </c>
      <c r="B207" s="28" t="s">
        <v>1474</v>
      </c>
      <c r="C207" s="28">
        <v>17316426</v>
      </c>
      <c r="D207" s="28" t="s">
        <v>1475</v>
      </c>
      <c r="E207" s="28" t="s">
        <v>1476</v>
      </c>
      <c r="F207" s="28" t="s">
        <v>1476</v>
      </c>
      <c r="G207" s="28" t="s">
        <v>1477</v>
      </c>
      <c r="H207" s="28" t="s">
        <v>1478</v>
      </c>
      <c r="I207" s="28" t="s">
        <v>1479</v>
      </c>
      <c r="J207" s="28" t="s">
        <v>75</v>
      </c>
      <c r="K207" s="28" t="s">
        <v>209</v>
      </c>
      <c r="L207" s="28" t="s">
        <v>209</v>
      </c>
      <c r="M207" s="28">
        <v>19001</v>
      </c>
      <c r="N207" s="29" t="s">
        <v>553</v>
      </c>
      <c r="O207" s="24">
        <f>VLOOKUP(A207,Hoja1!A:C,3,0)</f>
        <v>16</v>
      </c>
      <c r="P207" s="30" t="str">
        <f>VLOOKUP(M207,[1]TIPOLOGIAS!$A:$F,4,0)</f>
        <v>CALI</v>
      </c>
      <c r="Q207" s="30" t="str">
        <f>VLOOKUP(P207,'BASE TARIFA 2025'!C:D,2,0)</f>
        <v>WOMPI SUROCCIDENTE</v>
      </c>
      <c r="R207" s="31">
        <f>VLOOKUP(P207,'BASE TARIFA 2025'!C:F,4,0)</f>
        <v>15709.5</v>
      </c>
    </row>
    <row r="208" spans="1:18" s="28" customFormat="1" ht="14.4" x14ac:dyDescent="0.3">
      <c r="A208" s="28">
        <v>33386</v>
      </c>
      <c r="B208" s="28" t="s">
        <v>1480</v>
      </c>
      <c r="C208" s="28">
        <v>40383825</v>
      </c>
      <c r="D208" s="28" t="s">
        <v>1481</v>
      </c>
      <c r="E208" s="28" t="s">
        <v>1481</v>
      </c>
      <c r="G208" s="28" t="s">
        <v>1482</v>
      </c>
      <c r="H208" s="28" t="s">
        <v>1483</v>
      </c>
      <c r="I208" s="28" t="s">
        <v>1484</v>
      </c>
      <c r="J208" s="28" t="s">
        <v>75</v>
      </c>
      <c r="K208" s="28" t="s">
        <v>209</v>
      </c>
      <c r="L208" s="28" t="s">
        <v>209</v>
      </c>
      <c r="M208" s="28">
        <v>19001</v>
      </c>
      <c r="N208" s="29" t="s">
        <v>722</v>
      </c>
      <c r="O208" s="24">
        <f>VLOOKUP(A208,Hoja1!A:C,3,0)</f>
        <v>8</v>
      </c>
      <c r="P208" s="30" t="str">
        <f>VLOOKUP(M208,[1]TIPOLOGIAS!$A:$F,4,0)</f>
        <v>CALI</v>
      </c>
      <c r="Q208" s="30" t="str">
        <f>VLOOKUP(P208,'BASE TARIFA 2025'!C:D,2,0)</f>
        <v>WOMPI SUROCCIDENTE</v>
      </c>
      <c r="R208" s="31">
        <f>VLOOKUP(P208,'BASE TARIFA 2025'!C:F,4,0)</f>
        <v>15709.5</v>
      </c>
    </row>
    <row r="209" spans="1:18" s="28" customFormat="1" ht="14.4" x14ac:dyDescent="0.3">
      <c r="A209" s="28">
        <v>31710</v>
      </c>
      <c r="B209" s="28" t="s">
        <v>1485</v>
      </c>
      <c r="C209" s="28">
        <v>21237279</v>
      </c>
      <c r="D209" s="28" t="s">
        <v>1486</v>
      </c>
      <c r="E209" s="28" t="s">
        <v>1486</v>
      </c>
      <c r="F209" s="28" t="s">
        <v>1486</v>
      </c>
      <c r="G209" s="28" t="s">
        <v>1487</v>
      </c>
      <c r="H209" s="28" t="s">
        <v>1488</v>
      </c>
      <c r="I209" s="28" t="s">
        <v>1489</v>
      </c>
      <c r="J209" s="28" t="s">
        <v>75</v>
      </c>
      <c r="K209" s="28" t="s">
        <v>209</v>
      </c>
      <c r="L209" s="28" t="s">
        <v>209</v>
      </c>
      <c r="M209" s="28">
        <v>19001</v>
      </c>
      <c r="N209" s="29" t="s">
        <v>716</v>
      </c>
      <c r="O209" s="24">
        <f>VLOOKUP(A209,Hoja1!A:C,3,0)</f>
        <v>8</v>
      </c>
      <c r="P209" s="30" t="str">
        <f>VLOOKUP(M209,[1]TIPOLOGIAS!$A:$F,4,0)</f>
        <v>CALI</v>
      </c>
      <c r="Q209" s="30" t="str">
        <f>VLOOKUP(P209,'BASE TARIFA 2025'!C:D,2,0)</f>
        <v>WOMPI SUROCCIDENTE</v>
      </c>
      <c r="R209" s="31">
        <f>VLOOKUP(P209,'BASE TARIFA 2025'!C:F,4,0)</f>
        <v>15709.5</v>
      </c>
    </row>
    <row r="210" spans="1:18" s="28" customFormat="1" ht="14.4" x14ac:dyDescent="0.3">
      <c r="A210" s="28">
        <v>66712</v>
      </c>
      <c r="B210" s="28" t="s">
        <v>1490</v>
      </c>
      <c r="C210" s="28">
        <v>1073700427</v>
      </c>
      <c r="D210" s="28" t="s">
        <v>1491</v>
      </c>
      <c r="E210" s="28" t="s">
        <v>1491</v>
      </c>
      <c r="F210" s="28" t="s">
        <v>1491</v>
      </c>
      <c r="G210" s="28" t="s">
        <v>1492</v>
      </c>
      <c r="H210" s="28" t="s">
        <v>1493</v>
      </c>
      <c r="I210" s="28" t="s">
        <v>1494</v>
      </c>
      <c r="J210" s="28" t="s">
        <v>75</v>
      </c>
      <c r="K210" s="28" t="s">
        <v>209</v>
      </c>
      <c r="L210" s="28" t="s">
        <v>209</v>
      </c>
      <c r="M210" s="28">
        <v>19001</v>
      </c>
      <c r="N210" s="29" t="s">
        <v>542</v>
      </c>
      <c r="O210" s="24" t="e">
        <f>VLOOKUP(A210,Hoja1!A:C,3,0)</f>
        <v>#N/A</v>
      </c>
      <c r="P210" s="30" t="str">
        <f>VLOOKUP(M210,[1]TIPOLOGIAS!$A:$F,4,0)</f>
        <v>CALI</v>
      </c>
      <c r="Q210" s="30" t="str">
        <f>VLOOKUP(P210,'BASE TARIFA 2025'!C:D,2,0)</f>
        <v>WOMPI SUROCCIDENTE</v>
      </c>
      <c r="R210" s="31">
        <f>VLOOKUP(P210,'BASE TARIFA 2025'!C:F,4,0)</f>
        <v>15709.5</v>
      </c>
    </row>
    <row r="211" spans="1:18" s="28" customFormat="1" ht="14.4" x14ac:dyDescent="0.3">
      <c r="A211" s="28">
        <v>68734</v>
      </c>
      <c r="B211" s="28" t="s">
        <v>1495</v>
      </c>
      <c r="C211" s="28">
        <v>1010191824</v>
      </c>
      <c r="D211" s="28" t="s">
        <v>154</v>
      </c>
      <c r="E211" s="28" t="s">
        <v>1496</v>
      </c>
      <c r="F211" s="28" t="s">
        <v>154</v>
      </c>
      <c r="G211" s="28" t="s">
        <v>1497</v>
      </c>
      <c r="H211" s="28" t="s">
        <v>1498</v>
      </c>
      <c r="I211" s="28" t="s">
        <v>1499</v>
      </c>
      <c r="J211" s="28" t="s">
        <v>70</v>
      </c>
      <c r="K211" s="28" t="s">
        <v>153</v>
      </c>
      <c r="L211" s="28" t="s">
        <v>153</v>
      </c>
      <c r="M211" s="28">
        <v>25899</v>
      </c>
      <c r="N211" s="29" t="s">
        <v>1012</v>
      </c>
      <c r="O211" s="24" t="e">
        <f>VLOOKUP(A211,Hoja1!A:C,3,0)</f>
        <v>#N/A</v>
      </c>
      <c r="P211" s="30" t="str">
        <f>VLOOKUP(M211,[1]TIPOLOGIAS!$A:$F,4,0)</f>
        <v>BOGOTA</v>
      </c>
      <c r="Q211" s="30" t="str">
        <f>VLOOKUP(P211,'BASE TARIFA 2025'!C:D,2,0)</f>
        <v>WOMPI CENTRO</v>
      </c>
      <c r="R211" s="31">
        <f>VLOOKUP(P211,'BASE TARIFA 2025'!C:F,4,0)</f>
        <v>15709.5</v>
      </c>
    </row>
    <row r="212" spans="1:18" s="28" customFormat="1" ht="14.4" x14ac:dyDescent="0.3">
      <c r="A212" s="28">
        <v>67120</v>
      </c>
      <c r="B212" s="28" t="s">
        <v>1500</v>
      </c>
      <c r="C212" s="28">
        <v>1012442224</v>
      </c>
      <c r="D212" s="28" t="s">
        <v>1501</v>
      </c>
      <c r="E212" s="28" t="s">
        <v>1501</v>
      </c>
      <c r="F212" s="28" t="s">
        <v>1501</v>
      </c>
      <c r="G212" s="28" t="s">
        <v>1502</v>
      </c>
      <c r="H212" s="28" t="s">
        <v>1503</v>
      </c>
      <c r="I212" s="28" t="s">
        <v>1504</v>
      </c>
      <c r="J212" s="28" t="s">
        <v>70</v>
      </c>
      <c r="K212" s="28" t="s">
        <v>153</v>
      </c>
      <c r="L212" s="28" t="s">
        <v>153</v>
      </c>
      <c r="M212" s="28">
        <v>25899</v>
      </c>
      <c r="N212" s="29" t="s">
        <v>655</v>
      </c>
      <c r="O212" s="24" t="e">
        <f>VLOOKUP(A212,Hoja1!A:C,3,0)</f>
        <v>#N/A</v>
      </c>
      <c r="P212" s="30" t="str">
        <f>VLOOKUP(M212,[1]TIPOLOGIAS!$A:$F,4,0)</f>
        <v>BOGOTA</v>
      </c>
      <c r="Q212" s="30" t="str">
        <f>VLOOKUP(P212,'BASE TARIFA 2025'!C:D,2,0)</f>
        <v>WOMPI CENTRO</v>
      </c>
      <c r="R212" s="31">
        <f>VLOOKUP(P212,'BASE TARIFA 2025'!C:F,4,0)</f>
        <v>15709.5</v>
      </c>
    </row>
    <row r="213" spans="1:18" s="28" customFormat="1" ht="14.4" x14ac:dyDescent="0.3">
      <c r="A213" s="28">
        <v>67275</v>
      </c>
      <c r="B213" s="28" t="s">
        <v>1505</v>
      </c>
      <c r="C213" s="28">
        <v>80901565</v>
      </c>
      <c r="D213" s="28" t="s">
        <v>1506</v>
      </c>
      <c r="E213" s="28" t="s">
        <v>1507</v>
      </c>
      <c r="F213" s="28" t="s">
        <v>1506</v>
      </c>
      <c r="G213" s="28" t="s">
        <v>1508</v>
      </c>
      <c r="H213" s="28" t="s">
        <v>1509</v>
      </c>
      <c r="I213" s="28" t="s">
        <v>1510</v>
      </c>
      <c r="J213" s="28" t="s">
        <v>70</v>
      </c>
      <c r="K213" s="28" t="s">
        <v>153</v>
      </c>
      <c r="L213" s="28" t="s">
        <v>153</v>
      </c>
      <c r="M213" s="28">
        <v>25899</v>
      </c>
      <c r="N213" s="29" t="s">
        <v>1012</v>
      </c>
      <c r="O213" s="24" t="e">
        <f>VLOOKUP(A213,Hoja1!A:C,3,0)</f>
        <v>#N/A</v>
      </c>
      <c r="P213" s="30" t="str">
        <f>VLOOKUP(M213,[1]TIPOLOGIAS!$A:$F,4,0)</f>
        <v>BOGOTA</v>
      </c>
      <c r="Q213" s="30" t="str">
        <f>VLOOKUP(P213,'BASE TARIFA 2025'!C:D,2,0)</f>
        <v>WOMPI CENTRO</v>
      </c>
      <c r="R213" s="31">
        <f>VLOOKUP(P213,'BASE TARIFA 2025'!C:F,4,0)</f>
        <v>15709.5</v>
      </c>
    </row>
    <row r="214" spans="1:18" s="28" customFormat="1" ht="14.4" x14ac:dyDescent="0.3">
      <c r="A214" s="28">
        <v>64547</v>
      </c>
      <c r="B214" s="28" t="s">
        <v>1511</v>
      </c>
      <c r="C214" s="28">
        <v>80723993</v>
      </c>
      <c r="D214" s="28" t="s">
        <v>1512</v>
      </c>
      <c r="E214" s="28" t="s">
        <v>262</v>
      </c>
      <c r="F214" s="28" t="s">
        <v>1513</v>
      </c>
      <c r="G214" s="28" t="s">
        <v>263</v>
      </c>
      <c r="H214" s="28" t="s">
        <v>264</v>
      </c>
      <c r="I214" s="28" t="s">
        <v>265</v>
      </c>
      <c r="J214" s="28" t="s">
        <v>89</v>
      </c>
      <c r="K214" s="28" t="s">
        <v>30</v>
      </c>
      <c r="L214" s="28" t="s">
        <v>30</v>
      </c>
      <c r="M214" s="28">
        <v>41001</v>
      </c>
      <c r="N214" s="29" t="s">
        <v>744</v>
      </c>
      <c r="O214" s="24" t="e">
        <f>VLOOKUP(A214,Hoja1!A:C,3,0)</f>
        <v>#N/A</v>
      </c>
      <c r="P214" s="30" t="str">
        <f>VLOOKUP(M214,[1]TIPOLOGIAS!$A:$F,4,0)</f>
        <v>NEIVA</v>
      </c>
      <c r="Q214" s="30" t="str">
        <f>VLOOKUP(P214,'BASE TARIFA 2025'!C:D,2,0)</f>
        <v>WOMPI ORIENTE</v>
      </c>
      <c r="R214" s="31">
        <f>VLOOKUP(P214,'BASE TARIFA 2025'!C:F,4,0)</f>
        <v>28277.100000000002</v>
      </c>
    </row>
    <row r="215" spans="1:18" s="28" customFormat="1" ht="14.4" x14ac:dyDescent="0.3">
      <c r="A215" s="28">
        <v>27074</v>
      </c>
      <c r="B215" s="28" t="s">
        <v>1514</v>
      </c>
      <c r="C215" s="28">
        <v>20781621</v>
      </c>
      <c r="D215" s="28" t="s">
        <v>274</v>
      </c>
      <c r="E215" s="28" t="s">
        <v>274</v>
      </c>
      <c r="F215" s="28" t="s">
        <v>274</v>
      </c>
      <c r="G215" s="28" t="s">
        <v>275</v>
      </c>
      <c r="H215" s="28" t="s">
        <v>276</v>
      </c>
      <c r="I215" s="28" t="s">
        <v>277</v>
      </c>
      <c r="J215" s="28" t="s">
        <v>89</v>
      </c>
      <c r="K215" s="28" t="s">
        <v>30</v>
      </c>
      <c r="L215" s="28" t="s">
        <v>30</v>
      </c>
      <c r="M215" s="28">
        <v>41001</v>
      </c>
      <c r="N215" s="29" t="s">
        <v>638</v>
      </c>
      <c r="O215" s="24">
        <f>VLOOKUP(A215,Hoja1!A:C,3,0)</f>
        <v>16</v>
      </c>
      <c r="P215" s="30" t="str">
        <f>VLOOKUP(M215,[1]TIPOLOGIAS!$A:$F,4,0)</f>
        <v>NEIVA</v>
      </c>
      <c r="Q215" s="30" t="str">
        <f>VLOOKUP(P215,'BASE TARIFA 2025'!C:D,2,0)</f>
        <v>WOMPI ORIENTE</v>
      </c>
      <c r="R215" s="31">
        <f>VLOOKUP(P215,'BASE TARIFA 2025'!C:F,4,0)</f>
        <v>28277.100000000002</v>
      </c>
    </row>
    <row r="216" spans="1:18" s="28" customFormat="1" ht="14.4" x14ac:dyDescent="0.3">
      <c r="A216" s="28">
        <v>27884</v>
      </c>
      <c r="B216" s="28" t="s">
        <v>1515</v>
      </c>
      <c r="C216" s="28">
        <v>1076326760</v>
      </c>
      <c r="D216" s="28" t="s">
        <v>278</v>
      </c>
      <c r="E216" s="28" t="s">
        <v>278</v>
      </c>
      <c r="G216" s="28" t="s">
        <v>279</v>
      </c>
      <c r="H216" s="28" t="s">
        <v>280</v>
      </c>
      <c r="I216" s="28" t="s">
        <v>281</v>
      </c>
      <c r="J216" s="28" t="s">
        <v>89</v>
      </c>
      <c r="K216" s="28" t="s">
        <v>30</v>
      </c>
      <c r="L216" s="28" t="s">
        <v>30</v>
      </c>
      <c r="M216" s="28">
        <v>41001</v>
      </c>
      <c r="N216" s="29" t="s">
        <v>638</v>
      </c>
      <c r="O216" s="24">
        <f>VLOOKUP(A216,Hoja1!A:C,3,0)</f>
        <v>8</v>
      </c>
      <c r="P216" s="30" t="str">
        <f>VLOOKUP(M216,[1]TIPOLOGIAS!$A:$F,4,0)</f>
        <v>NEIVA</v>
      </c>
      <c r="Q216" s="30" t="str">
        <f>VLOOKUP(P216,'BASE TARIFA 2025'!C:D,2,0)</f>
        <v>WOMPI ORIENTE</v>
      </c>
      <c r="R216" s="31">
        <f>VLOOKUP(P216,'BASE TARIFA 2025'!C:F,4,0)</f>
        <v>28277.100000000002</v>
      </c>
    </row>
    <row r="217" spans="1:18" s="28" customFormat="1" ht="14.4" x14ac:dyDescent="0.3">
      <c r="A217" s="28">
        <v>31187</v>
      </c>
      <c r="B217" s="28" t="s">
        <v>1516</v>
      </c>
      <c r="C217" s="28">
        <v>40436796</v>
      </c>
      <c r="D217" s="28" t="s">
        <v>1517</v>
      </c>
      <c r="E217" s="28" t="s">
        <v>1518</v>
      </c>
      <c r="F217" s="28" t="s">
        <v>1517</v>
      </c>
      <c r="G217" s="28" t="s">
        <v>1519</v>
      </c>
      <c r="H217" s="28" t="s">
        <v>1520</v>
      </c>
      <c r="I217" s="28" t="s">
        <v>1521</v>
      </c>
      <c r="J217" s="28" t="s">
        <v>75</v>
      </c>
      <c r="K217" s="28" t="s">
        <v>209</v>
      </c>
      <c r="L217" s="28" t="s">
        <v>209</v>
      </c>
      <c r="M217" s="28">
        <v>19001</v>
      </c>
      <c r="N217" s="29" t="s">
        <v>542</v>
      </c>
      <c r="O217" s="24">
        <f>VLOOKUP(A217,Hoja1!A:C,3,0)</f>
        <v>8</v>
      </c>
      <c r="P217" s="30" t="str">
        <f>VLOOKUP(M217,[1]TIPOLOGIAS!$A:$F,4,0)</f>
        <v>CALI</v>
      </c>
      <c r="Q217" s="30" t="str">
        <f>VLOOKUP(P217,'BASE TARIFA 2025'!C:D,2,0)</f>
        <v>WOMPI SUROCCIDENTE</v>
      </c>
      <c r="R217" s="31">
        <f>VLOOKUP(P217,'BASE TARIFA 2025'!C:F,4,0)</f>
        <v>15709.5</v>
      </c>
    </row>
    <row r="218" spans="1:18" s="28" customFormat="1" ht="14.4" x14ac:dyDescent="0.3">
      <c r="A218" s="28">
        <v>17743</v>
      </c>
      <c r="B218" s="28" t="s">
        <v>1522</v>
      </c>
      <c r="C218" s="28">
        <v>86088859</v>
      </c>
      <c r="D218" s="28" t="s">
        <v>1523</v>
      </c>
      <c r="E218" s="28" t="s">
        <v>1524</v>
      </c>
      <c r="F218" s="28" t="s">
        <v>1523</v>
      </c>
      <c r="G218" s="28" t="s">
        <v>1525</v>
      </c>
      <c r="H218" s="28" t="s">
        <v>1526</v>
      </c>
      <c r="I218" s="28" t="s">
        <v>1527</v>
      </c>
      <c r="J218" s="28" t="s">
        <v>75</v>
      </c>
      <c r="K218" s="28" t="s">
        <v>209</v>
      </c>
      <c r="L218" s="28" t="s">
        <v>209</v>
      </c>
      <c r="M218" s="28">
        <v>19001</v>
      </c>
      <c r="N218" s="29" t="s">
        <v>542</v>
      </c>
      <c r="O218" s="24">
        <f>VLOOKUP(A218,Hoja1!A:C,3,0)</f>
        <v>8</v>
      </c>
      <c r="P218" s="30" t="str">
        <f>VLOOKUP(M218,[1]TIPOLOGIAS!$A:$F,4,0)</f>
        <v>CALI</v>
      </c>
      <c r="Q218" s="30" t="str">
        <f>VLOOKUP(P218,'BASE TARIFA 2025'!C:D,2,0)</f>
        <v>WOMPI SUROCCIDENTE</v>
      </c>
      <c r="R218" s="31">
        <f>VLOOKUP(P218,'BASE TARIFA 2025'!C:F,4,0)</f>
        <v>15709.5</v>
      </c>
    </row>
    <row r="219" spans="1:18" s="28" customFormat="1" ht="14.4" x14ac:dyDescent="0.3">
      <c r="A219" s="28">
        <v>27075</v>
      </c>
      <c r="B219" s="28" t="s">
        <v>1528</v>
      </c>
      <c r="C219" s="28">
        <v>20781621</v>
      </c>
      <c r="D219" s="28" t="s">
        <v>1529</v>
      </c>
      <c r="E219" s="28" t="s">
        <v>1529</v>
      </c>
      <c r="G219" s="28" t="s">
        <v>1530</v>
      </c>
      <c r="H219" s="28" t="s">
        <v>1531</v>
      </c>
      <c r="I219" s="28" t="s">
        <v>1532</v>
      </c>
      <c r="J219" s="28" t="s">
        <v>76</v>
      </c>
      <c r="K219" s="28" t="s">
        <v>120</v>
      </c>
      <c r="L219" s="28" t="s">
        <v>120</v>
      </c>
      <c r="M219" s="28">
        <v>50606</v>
      </c>
      <c r="N219" s="29" t="s">
        <v>790</v>
      </c>
      <c r="O219" s="24">
        <f>VLOOKUP(A219,Hoja1!A:C,3,0)</f>
        <v>16</v>
      </c>
      <c r="P219" s="30" t="str">
        <f>VLOOKUP(M219,[1]TIPOLOGIAS!$A:$F,4,0)</f>
        <v>VILLAVICENCIO</v>
      </c>
      <c r="Q219" s="30" t="str">
        <f>VLOOKUP(P219,'BASE TARIFA 2025'!C:D,2,0)</f>
        <v>WOMPI ORIENTE</v>
      </c>
      <c r="R219" s="31">
        <f>VLOOKUP(P219,'BASE TARIFA 2025'!C:F,4,0)</f>
        <v>28277.100000000002</v>
      </c>
    </row>
    <row r="220" spans="1:18" s="28" customFormat="1" ht="14.4" x14ac:dyDescent="0.3">
      <c r="A220" s="28">
        <v>29174</v>
      </c>
      <c r="B220" s="28" t="s">
        <v>1533</v>
      </c>
      <c r="C220" s="28">
        <v>1121831929</v>
      </c>
      <c r="D220" s="28" t="s">
        <v>1534</v>
      </c>
      <c r="E220" s="28" t="s">
        <v>1535</v>
      </c>
      <c r="F220" s="28" t="s">
        <v>1535</v>
      </c>
      <c r="G220" s="28" t="s">
        <v>1536</v>
      </c>
      <c r="H220" s="28" t="s">
        <v>1537</v>
      </c>
      <c r="I220" s="28" t="s">
        <v>1538</v>
      </c>
      <c r="J220" s="28" t="s">
        <v>74</v>
      </c>
      <c r="K220" s="28" t="s">
        <v>122</v>
      </c>
      <c r="L220" s="28" t="s">
        <v>122</v>
      </c>
      <c r="M220" s="28">
        <v>52411</v>
      </c>
      <c r="N220" s="29" t="s">
        <v>716</v>
      </c>
      <c r="O220" s="24">
        <f>VLOOKUP(A220,Hoja1!A:C,3,0)</f>
        <v>8</v>
      </c>
      <c r="P220" s="30" t="str">
        <f>VLOOKUP(M220,[1]TIPOLOGIAS!$A:$F,4,0)</f>
        <v>PASTO</v>
      </c>
      <c r="Q220" s="30" t="str">
        <f>VLOOKUP(P220,'BASE TARIFA 2025'!C:D,2,0)</f>
        <v>WOMPI SUROCCIDENTE</v>
      </c>
      <c r="R220" s="31">
        <f>VLOOKUP(P220,'BASE TARIFA 2025'!C:F,4,0)</f>
        <v>28277.100000000002</v>
      </c>
    </row>
    <row r="221" spans="1:18" s="28" customFormat="1" ht="14.4" x14ac:dyDescent="0.3">
      <c r="A221" s="28">
        <v>64082</v>
      </c>
      <c r="B221" s="28" t="s">
        <v>1539</v>
      </c>
      <c r="C221" s="28">
        <v>1024500036</v>
      </c>
      <c r="D221" s="28" t="s">
        <v>69</v>
      </c>
      <c r="E221" s="28" t="s">
        <v>1540</v>
      </c>
      <c r="F221" s="28" t="s">
        <v>1540</v>
      </c>
      <c r="G221" s="28" t="s">
        <v>1541</v>
      </c>
      <c r="H221" s="28" t="s">
        <v>1542</v>
      </c>
      <c r="I221" s="28" t="s">
        <v>1543</v>
      </c>
      <c r="J221" s="28" t="s">
        <v>74</v>
      </c>
      <c r="K221" s="28" t="s">
        <v>122</v>
      </c>
      <c r="L221" s="28" t="s">
        <v>122</v>
      </c>
      <c r="M221" s="28">
        <v>52411</v>
      </c>
      <c r="N221" s="29" t="s">
        <v>582</v>
      </c>
      <c r="O221" s="24" t="e">
        <f>VLOOKUP(A221,Hoja1!A:C,3,0)</f>
        <v>#N/A</v>
      </c>
      <c r="P221" s="30" t="str">
        <f>VLOOKUP(M221,[1]TIPOLOGIAS!$A:$F,4,0)</f>
        <v>PASTO</v>
      </c>
      <c r="Q221" s="30" t="str">
        <f>VLOOKUP(P221,'BASE TARIFA 2025'!C:D,2,0)</f>
        <v>WOMPI SUROCCIDENTE</v>
      </c>
      <c r="R221" s="31">
        <f>VLOOKUP(P221,'BASE TARIFA 2025'!C:F,4,0)</f>
        <v>28277.100000000002</v>
      </c>
    </row>
    <row r="222" spans="1:18" s="28" customFormat="1" ht="14.4" x14ac:dyDescent="0.3">
      <c r="A222" s="28">
        <v>57241</v>
      </c>
      <c r="B222" s="28" t="s">
        <v>1544</v>
      </c>
      <c r="C222" s="28">
        <v>1043848739</v>
      </c>
      <c r="D222" s="28" t="s">
        <v>1545</v>
      </c>
      <c r="E222" s="28" t="s">
        <v>1546</v>
      </c>
      <c r="F222" s="28" t="s">
        <v>1545</v>
      </c>
      <c r="G222" s="28" t="s">
        <v>1547</v>
      </c>
      <c r="H222" s="28" t="s">
        <v>1548</v>
      </c>
      <c r="I222" s="28" t="s">
        <v>1549</v>
      </c>
      <c r="J222" s="28" t="s">
        <v>74</v>
      </c>
      <c r="K222" s="28" t="s">
        <v>122</v>
      </c>
      <c r="L222" s="28" t="s">
        <v>122</v>
      </c>
      <c r="M222" s="28">
        <v>52411</v>
      </c>
      <c r="N222" s="29" t="s">
        <v>716</v>
      </c>
      <c r="O222" s="24" t="e">
        <f>VLOOKUP(A222,Hoja1!A:C,3,0)</f>
        <v>#N/A</v>
      </c>
      <c r="P222" s="30" t="str">
        <f>VLOOKUP(M222,[1]TIPOLOGIAS!$A:$F,4,0)</f>
        <v>PASTO</v>
      </c>
      <c r="Q222" s="30" t="str">
        <f>VLOOKUP(P222,'BASE TARIFA 2025'!C:D,2,0)</f>
        <v>WOMPI SUROCCIDENTE</v>
      </c>
      <c r="R222" s="31">
        <f>VLOOKUP(P222,'BASE TARIFA 2025'!C:F,4,0)</f>
        <v>28277.100000000002</v>
      </c>
    </row>
    <row r="223" spans="1:18" s="28" customFormat="1" ht="14.4" x14ac:dyDescent="0.3">
      <c r="A223" s="28">
        <v>48371</v>
      </c>
      <c r="B223" s="28" t="s">
        <v>1550</v>
      </c>
      <c r="C223" s="28">
        <v>1023881117</v>
      </c>
      <c r="D223" s="28" t="s">
        <v>1551</v>
      </c>
      <c r="E223" s="28" t="s">
        <v>1551</v>
      </c>
      <c r="F223" s="28" t="s">
        <v>1551</v>
      </c>
      <c r="G223" s="28" t="s">
        <v>1552</v>
      </c>
      <c r="H223" s="28" t="s">
        <v>1553</v>
      </c>
      <c r="I223" s="28" t="s">
        <v>1554</v>
      </c>
      <c r="J223" s="28" t="s">
        <v>92</v>
      </c>
      <c r="K223" s="28" t="s">
        <v>93</v>
      </c>
      <c r="L223" s="28" t="s">
        <v>93</v>
      </c>
      <c r="M223" s="28">
        <v>54261</v>
      </c>
      <c r="N223" s="29" t="s">
        <v>1012</v>
      </c>
      <c r="O223" s="24" t="e">
        <f>VLOOKUP(A223,Hoja1!A:C,3,0)</f>
        <v>#N/A</v>
      </c>
      <c r="P223" s="30" t="str">
        <f>VLOOKUP(M223,[1]TIPOLOGIAS!$A:$F,4,0)</f>
        <v>CUCUTA</v>
      </c>
      <c r="Q223" s="30" t="str">
        <f>VLOOKUP(P223,'BASE TARIFA 2025'!C:D,2,0)</f>
        <v>WOMPI SANTANDERES</v>
      </c>
      <c r="R223" s="31">
        <f>VLOOKUP(P223,'BASE TARIFA 2025'!C:F,4,0)</f>
        <v>28277.100000000002</v>
      </c>
    </row>
    <row r="224" spans="1:18" s="28" customFormat="1" ht="14.4" x14ac:dyDescent="0.3">
      <c r="A224" s="28">
        <v>49558</v>
      </c>
      <c r="B224" s="28" t="s">
        <v>1555</v>
      </c>
      <c r="C224" s="28">
        <v>52474006</v>
      </c>
      <c r="D224" s="28" t="s">
        <v>1556</v>
      </c>
      <c r="E224" s="28" t="s">
        <v>1556</v>
      </c>
      <c r="F224" s="28" t="s">
        <v>1556</v>
      </c>
      <c r="G224" s="28" t="s">
        <v>1557</v>
      </c>
      <c r="H224" s="28" t="s">
        <v>1558</v>
      </c>
      <c r="I224" s="28" t="s">
        <v>1559</v>
      </c>
      <c r="J224" s="28" t="s">
        <v>92</v>
      </c>
      <c r="K224" s="28" t="s">
        <v>93</v>
      </c>
      <c r="L224" s="28" t="s">
        <v>93</v>
      </c>
      <c r="M224" s="28">
        <v>54261</v>
      </c>
      <c r="N224" s="29" t="s">
        <v>1012</v>
      </c>
      <c r="O224" s="24" t="e">
        <f>VLOOKUP(A224,Hoja1!A:C,3,0)</f>
        <v>#N/A</v>
      </c>
      <c r="P224" s="30" t="str">
        <f>VLOOKUP(M224,[1]TIPOLOGIAS!$A:$F,4,0)</f>
        <v>CUCUTA</v>
      </c>
      <c r="Q224" s="30" t="str">
        <f>VLOOKUP(P224,'BASE TARIFA 2025'!C:D,2,0)</f>
        <v>WOMPI SANTANDERES</v>
      </c>
      <c r="R224" s="31">
        <f>VLOOKUP(P224,'BASE TARIFA 2025'!C:F,4,0)</f>
        <v>28277.100000000002</v>
      </c>
    </row>
    <row r="225" spans="1:18" s="28" customFormat="1" ht="14.4" x14ac:dyDescent="0.3">
      <c r="A225" s="28">
        <v>17974</v>
      </c>
      <c r="B225" s="28" t="s">
        <v>1560</v>
      </c>
      <c r="C225" s="28">
        <v>52427938</v>
      </c>
      <c r="D225" s="28" t="s">
        <v>1561</v>
      </c>
      <c r="E225" s="28" t="s">
        <v>1561</v>
      </c>
      <c r="F225" s="28" t="s">
        <v>1562</v>
      </c>
      <c r="G225" s="28" t="s">
        <v>1563</v>
      </c>
      <c r="H225" s="28" t="s">
        <v>1564</v>
      </c>
      <c r="I225" s="28" t="s">
        <v>1565</v>
      </c>
      <c r="J225" s="28" t="s">
        <v>92</v>
      </c>
      <c r="K225" s="28" t="s">
        <v>93</v>
      </c>
      <c r="L225" s="28" t="s">
        <v>93</v>
      </c>
      <c r="M225" s="28">
        <v>54261</v>
      </c>
      <c r="N225" s="29" t="s">
        <v>1012</v>
      </c>
      <c r="O225" s="24">
        <f>VLOOKUP(A225,Hoja1!A:C,3,0)</f>
        <v>8</v>
      </c>
      <c r="P225" s="30" t="str">
        <f>VLOOKUP(M225,[1]TIPOLOGIAS!$A:$F,4,0)</f>
        <v>CUCUTA</v>
      </c>
      <c r="Q225" s="30" t="str">
        <f>VLOOKUP(P225,'BASE TARIFA 2025'!C:D,2,0)</f>
        <v>WOMPI SANTANDERES</v>
      </c>
      <c r="R225" s="31">
        <f>VLOOKUP(P225,'BASE TARIFA 2025'!C:F,4,0)</f>
        <v>28277.100000000002</v>
      </c>
    </row>
    <row r="226" spans="1:18" s="28" customFormat="1" ht="14.4" x14ac:dyDescent="0.3">
      <c r="A226" s="28">
        <v>23433</v>
      </c>
      <c r="B226" s="28" t="s">
        <v>1566</v>
      </c>
      <c r="C226" s="28">
        <v>40333015</v>
      </c>
      <c r="D226" s="28" t="s">
        <v>282</v>
      </c>
      <c r="E226" s="28" t="s">
        <v>282</v>
      </c>
      <c r="G226" s="28" t="s">
        <v>283</v>
      </c>
      <c r="H226" s="28" t="s">
        <v>284</v>
      </c>
      <c r="I226" s="28" t="s">
        <v>285</v>
      </c>
      <c r="J226" s="28" t="s">
        <v>89</v>
      </c>
      <c r="K226" s="28" t="s">
        <v>30</v>
      </c>
      <c r="L226" s="28" t="s">
        <v>30</v>
      </c>
      <c r="M226" s="28">
        <v>41001</v>
      </c>
      <c r="N226" s="29" t="s">
        <v>638</v>
      </c>
      <c r="O226" s="24">
        <f>VLOOKUP(A226,Hoja1!A:C,3,0)</f>
        <v>16</v>
      </c>
      <c r="P226" s="30" t="str">
        <f>VLOOKUP(M226,[1]TIPOLOGIAS!$A:$F,4,0)</f>
        <v>NEIVA</v>
      </c>
      <c r="Q226" s="30" t="str">
        <f>VLOOKUP(P226,'BASE TARIFA 2025'!C:D,2,0)</f>
        <v>WOMPI ORIENTE</v>
      </c>
      <c r="R226" s="31">
        <f>VLOOKUP(P226,'BASE TARIFA 2025'!C:F,4,0)</f>
        <v>28277.100000000002</v>
      </c>
    </row>
    <row r="227" spans="1:18" s="28" customFormat="1" ht="14.4" x14ac:dyDescent="0.3">
      <c r="A227" s="28">
        <v>77136</v>
      </c>
      <c r="B227" s="28" t="s">
        <v>1567</v>
      </c>
      <c r="C227" s="28">
        <v>86014420</v>
      </c>
      <c r="D227" s="28" t="s">
        <v>1568</v>
      </c>
      <c r="E227" s="28" t="s">
        <v>1569</v>
      </c>
      <c r="F227" s="28" t="s">
        <v>1568</v>
      </c>
      <c r="G227" s="28" t="s">
        <v>1570</v>
      </c>
      <c r="H227" s="28" t="s">
        <v>1571</v>
      </c>
      <c r="I227" s="28" t="s">
        <v>1572</v>
      </c>
      <c r="J227" s="28" t="s">
        <v>89</v>
      </c>
      <c r="K227" s="28" t="s">
        <v>30</v>
      </c>
      <c r="L227" s="28" t="s">
        <v>30</v>
      </c>
      <c r="M227" s="28">
        <v>41001</v>
      </c>
      <c r="N227" s="29" t="s">
        <v>996</v>
      </c>
      <c r="O227" s="24" t="e">
        <f>VLOOKUP(A227,Hoja1!A:C,3,0)</f>
        <v>#N/A</v>
      </c>
      <c r="P227" s="30" t="str">
        <f>VLOOKUP(M227,[1]TIPOLOGIAS!$A:$F,4,0)</f>
        <v>NEIVA</v>
      </c>
      <c r="Q227" s="30" t="str">
        <f>VLOOKUP(P227,'BASE TARIFA 2025'!C:D,2,0)</f>
        <v>WOMPI ORIENTE</v>
      </c>
      <c r="R227" s="31">
        <f>VLOOKUP(P227,'BASE TARIFA 2025'!C:F,4,0)</f>
        <v>28277.100000000002</v>
      </c>
    </row>
    <row r="228" spans="1:18" s="28" customFormat="1" ht="14.4" x14ac:dyDescent="0.3">
      <c r="A228" s="28">
        <v>35979</v>
      </c>
      <c r="B228" s="28" t="s">
        <v>1573</v>
      </c>
      <c r="C228" s="28">
        <v>1073669849</v>
      </c>
      <c r="D228" s="28" t="s">
        <v>1574</v>
      </c>
      <c r="E228" s="28" t="s">
        <v>1574</v>
      </c>
      <c r="F228" s="28" t="s">
        <v>1574</v>
      </c>
      <c r="G228" s="28" t="s">
        <v>1575</v>
      </c>
      <c r="H228" s="28" t="s">
        <v>1576</v>
      </c>
      <c r="I228" s="28" t="s">
        <v>1577</v>
      </c>
      <c r="J228" s="28" t="s">
        <v>89</v>
      </c>
      <c r="K228" s="28" t="s">
        <v>30</v>
      </c>
      <c r="L228" s="28" t="s">
        <v>30</v>
      </c>
      <c r="M228" s="28">
        <v>41001</v>
      </c>
      <c r="N228" s="29" t="s">
        <v>996</v>
      </c>
      <c r="O228" s="24" t="e">
        <f>VLOOKUP(A228,Hoja1!A:C,3,0)</f>
        <v>#N/A</v>
      </c>
      <c r="P228" s="30" t="str">
        <f>VLOOKUP(M228,[1]TIPOLOGIAS!$A:$F,4,0)</f>
        <v>NEIVA</v>
      </c>
      <c r="Q228" s="30" t="str">
        <f>VLOOKUP(P228,'BASE TARIFA 2025'!C:D,2,0)</f>
        <v>WOMPI ORIENTE</v>
      </c>
      <c r="R228" s="31">
        <f>VLOOKUP(P228,'BASE TARIFA 2025'!C:F,4,0)</f>
        <v>28277.100000000002</v>
      </c>
    </row>
    <row r="229" spans="1:18" s="28" customFormat="1" ht="14.4" x14ac:dyDescent="0.3">
      <c r="A229" s="28">
        <v>27151</v>
      </c>
      <c r="B229" s="28" t="s">
        <v>1578</v>
      </c>
      <c r="C229" s="28">
        <v>1012427286</v>
      </c>
      <c r="D229" s="28" t="s">
        <v>270</v>
      </c>
      <c r="E229" s="28" t="s">
        <v>270</v>
      </c>
      <c r="F229" s="28" t="s">
        <v>270</v>
      </c>
      <c r="G229" s="28" t="s">
        <v>271</v>
      </c>
      <c r="H229" s="28" t="s">
        <v>272</v>
      </c>
      <c r="I229" s="28" t="s">
        <v>273</v>
      </c>
      <c r="J229" s="28" t="s">
        <v>89</v>
      </c>
      <c r="K229" s="28" t="s">
        <v>30</v>
      </c>
      <c r="L229" s="28" t="s">
        <v>30</v>
      </c>
      <c r="M229" s="28">
        <v>41001</v>
      </c>
      <c r="N229" s="29" t="s">
        <v>638</v>
      </c>
      <c r="O229" s="24" t="e">
        <f>VLOOKUP(A229,Hoja1!A:C,3,0)</f>
        <v>#N/A</v>
      </c>
      <c r="P229" s="30" t="str">
        <f>VLOOKUP(M229,[1]TIPOLOGIAS!$A:$F,4,0)</f>
        <v>NEIVA</v>
      </c>
      <c r="Q229" s="30" t="str">
        <f>VLOOKUP(P229,'BASE TARIFA 2025'!C:D,2,0)</f>
        <v>WOMPI ORIENTE</v>
      </c>
      <c r="R229" s="31">
        <f>VLOOKUP(P229,'BASE TARIFA 2025'!C:F,4,0)</f>
        <v>28277.100000000002</v>
      </c>
    </row>
    <row r="230" spans="1:18" s="28" customFormat="1" ht="14.4" x14ac:dyDescent="0.3">
      <c r="A230" s="28">
        <v>68124</v>
      </c>
      <c r="B230" s="28" t="s">
        <v>1579</v>
      </c>
      <c r="C230" s="28">
        <v>2000010749</v>
      </c>
      <c r="D230" s="28" t="s">
        <v>266</v>
      </c>
      <c r="E230" s="28" t="s">
        <v>266</v>
      </c>
      <c r="F230" s="28" t="s">
        <v>266</v>
      </c>
      <c r="G230" s="28" t="s">
        <v>267</v>
      </c>
      <c r="H230" s="28" t="s">
        <v>268</v>
      </c>
      <c r="I230" s="28" t="s">
        <v>269</v>
      </c>
      <c r="J230" s="28" t="s">
        <v>89</v>
      </c>
      <c r="K230" s="28" t="s">
        <v>30</v>
      </c>
      <c r="L230" s="28" t="s">
        <v>30</v>
      </c>
      <c r="M230" s="28">
        <v>41001</v>
      </c>
      <c r="N230" s="29" t="s">
        <v>638</v>
      </c>
      <c r="O230" s="24" t="e">
        <f>VLOOKUP(A230,Hoja1!A:C,3,0)</f>
        <v>#N/A</v>
      </c>
      <c r="P230" s="30" t="str">
        <f>VLOOKUP(M230,[1]TIPOLOGIAS!$A:$F,4,0)</f>
        <v>NEIVA</v>
      </c>
      <c r="Q230" s="30" t="str">
        <f>VLOOKUP(P230,'BASE TARIFA 2025'!C:D,2,0)</f>
        <v>WOMPI ORIENTE</v>
      </c>
      <c r="R230" s="31">
        <f>VLOOKUP(P230,'BASE TARIFA 2025'!C:F,4,0)</f>
        <v>28277.100000000002</v>
      </c>
    </row>
    <row r="231" spans="1:18" s="28" customFormat="1" ht="14.4" x14ac:dyDescent="0.3">
      <c r="A231" s="28">
        <v>68125</v>
      </c>
      <c r="B231" s="28" t="s">
        <v>1580</v>
      </c>
      <c r="C231" s="28">
        <v>2000010749</v>
      </c>
      <c r="D231" s="28" t="s">
        <v>1581</v>
      </c>
      <c r="E231" s="28" t="s">
        <v>1581</v>
      </c>
      <c r="F231" s="28" t="s">
        <v>1582</v>
      </c>
      <c r="G231" s="28" t="s">
        <v>1583</v>
      </c>
      <c r="H231" s="28" t="s">
        <v>1584</v>
      </c>
      <c r="I231" s="28" t="s">
        <v>1585</v>
      </c>
      <c r="J231" s="28" t="s">
        <v>89</v>
      </c>
      <c r="K231" s="28" t="s">
        <v>30</v>
      </c>
      <c r="L231" s="28" t="s">
        <v>30</v>
      </c>
      <c r="M231" s="28">
        <v>41001</v>
      </c>
      <c r="N231" s="29" t="s">
        <v>996</v>
      </c>
      <c r="O231" s="24" t="e">
        <f>VLOOKUP(A231,Hoja1!A:C,3,0)</f>
        <v>#N/A</v>
      </c>
      <c r="P231" s="30" t="str">
        <f>VLOOKUP(M231,[1]TIPOLOGIAS!$A:$F,4,0)</f>
        <v>NEIVA</v>
      </c>
      <c r="Q231" s="30" t="str">
        <f>VLOOKUP(P231,'BASE TARIFA 2025'!C:D,2,0)</f>
        <v>WOMPI ORIENTE</v>
      </c>
      <c r="R231" s="31">
        <f>VLOOKUP(P231,'BASE TARIFA 2025'!C:F,4,0)</f>
        <v>28277.100000000002</v>
      </c>
    </row>
    <row r="232" spans="1:18" s="28" customFormat="1" ht="14.4" x14ac:dyDescent="0.3">
      <c r="A232" s="28">
        <v>12800</v>
      </c>
      <c r="B232" s="28" t="s">
        <v>1586</v>
      </c>
      <c r="C232" s="28">
        <v>900576569</v>
      </c>
      <c r="D232" s="28" t="s">
        <v>1587</v>
      </c>
      <c r="E232" s="28" t="s">
        <v>1587</v>
      </c>
      <c r="F232" s="28" t="s">
        <v>1587</v>
      </c>
      <c r="G232" s="28" t="s">
        <v>1588</v>
      </c>
      <c r="H232" s="28" t="s">
        <v>1589</v>
      </c>
      <c r="I232" s="28" t="s">
        <v>1590</v>
      </c>
      <c r="J232" s="28" t="s">
        <v>89</v>
      </c>
      <c r="K232" s="28" t="s">
        <v>30</v>
      </c>
      <c r="L232" s="28" t="s">
        <v>30</v>
      </c>
      <c r="M232" s="28">
        <v>41001</v>
      </c>
      <c r="N232" s="29" t="s">
        <v>744</v>
      </c>
      <c r="O232" s="24">
        <f>VLOOKUP(A232,Hoja1!A:C,3,0)</f>
        <v>8</v>
      </c>
      <c r="P232" s="30" t="str">
        <f>VLOOKUP(M232,[1]TIPOLOGIAS!$A:$F,4,0)</f>
        <v>NEIVA</v>
      </c>
      <c r="Q232" s="30" t="str">
        <f>VLOOKUP(P232,'BASE TARIFA 2025'!C:D,2,0)</f>
        <v>WOMPI ORIENTE</v>
      </c>
      <c r="R232" s="31">
        <f>VLOOKUP(P232,'BASE TARIFA 2025'!C:F,4,0)</f>
        <v>28277.100000000002</v>
      </c>
    </row>
    <row r="233" spans="1:18" s="28" customFormat="1" ht="14.4" x14ac:dyDescent="0.3">
      <c r="A233" s="28">
        <v>79374</v>
      </c>
      <c r="B233" s="28" t="s">
        <v>1591</v>
      </c>
      <c r="C233" s="28">
        <v>901452181</v>
      </c>
      <c r="D233" s="28" t="s">
        <v>1592</v>
      </c>
      <c r="E233" s="28" t="s">
        <v>1593</v>
      </c>
      <c r="F233" s="28" t="s">
        <v>1592</v>
      </c>
      <c r="G233" s="28" t="s">
        <v>1594</v>
      </c>
      <c r="H233" s="28" t="s">
        <v>1595</v>
      </c>
      <c r="I233" s="28" t="s">
        <v>1596</v>
      </c>
      <c r="J233" s="28" t="s">
        <v>89</v>
      </c>
      <c r="K233" s="28" t="s">
        <v>30</v>
      </c>
      <c r="L233" s="28" t="s">
        <v>30</v>
      </c>
      <c r="M233" s="28">
        <v>41001</v>
      </c>
      <c r="N233" s="29" t="s">
        <v>744</v>
      </c>
      <c r="O233" s="24" t="e">
        <f>VLOOKUP(A233,Hoja1!A:C,3,0)</f>
        <v>#N/A</v>
      </c>
      <c r="P233" s="30" t="str">
        <f>VLOOKUP(M233,[1]TIPOLOGIAS!$A:$F,4,0)</f>
        <v>NEIVA</v>
      </c>
      <c r="Q233" s="30" t="str">
        <f>VLOOKUP(P233,'BASE TARIFA 2025'!C:D,2,0)</f>
        <v>WOMPI ORIENTE</v>
      </c>
      <c r="R233" s="31">
        <f>VLOOKUP(P233,'BASE TARIFA 2025'!C:F,4,0)</f>
        <v>28277.100000000002</v>
      </c>
    </row>
    <row r="234" spans="1:18" s="28" customFormat="1" ht="14.4" x14ac:dyDescent="0.3">
      <c r="A234" s="28">
        <v>77616</v>
      </c>
      <c r="B234" s="28" t="s">
        <v>1597</v>
      </c>
      <c r="C234" s="28">
        <v>91248525</v>
      </c>
      <c r="D234" s="28" t="s">
        <v>1598</v>
      </c>
      <c r="E234" s="28" t="s">
        <v>1598</v>
      </c>
      <c r="F234" s="28" t="s">
        <v>1598</v>
      </c>
      <c r="G234" s="28" t="s">
        <v>1599</v>
      </c>
      <c r="H234" s="28" t="s">
        <v>1600</v>
      </c>
      <c r="I234" s="28" t="s">
        <v>1601</v>
      </c>
      <c r="J234" s="28" t="s">
        <v>89</v>
      </c>
      <c r="K234" s="28" t="s">
        <v>30</v>
      </c>
      <c r="L234" s="28" t="s">
        <v>30</v>
      </c>
      <c r="M234" s="28">
        <v>41001</v>
      </c>
      <c r="N234" s="29" t="s">
        <v>996</v>
      </c>
      <c r="O234" s="24">
        <f>VLOOKUP(A234,Hoja1!A:C,3,0)</f>
        <v>8</v>
      </c>
      <c r="P234" s="30" t="str">
        <f>VLOOKUP(M234,[1]TIPOLOGIAS!$A:$F,4,0)</f>
        <v>NEIVA</v>
      </c>
      <c r="Q234" s="30" t="str">
        <f>VLOOKUP(P234,'BASE TARIFA 2025'!C:D,2,0)</f>
        <v>WOMPI ORIENTE</v>
      </c>
      <c r="R234" s="31">
        <f>VLOOKUP(P234,'BASE TARIFA 2025'!C:F,4,0)</f>
        <v>28277.100000000002</v>
      </c>
    </row>
    <row r="235" spans="1:18" s="28" customFormat="1" ht="14.4" x14ac:dyDescent="0.3">
      <c r="A235" s="28">
        <v>78377</v>
      </c>
      <c r="B235" s="28" t="s">
        <v>1602</v>
      </c>
      <c r="C235" s="28">
        <v>37292139</v>
      </c>
      <c r="D235" s="28" t="s">
        <v>1603</v>
      </c>
      <c r="E235" s="28" t="s">
        <v>1603</v>
      </c>
      <c r="F235" s="28" t="s">
        <v>1603</v>
      </c>
      <c r="G235" s="28" t="s">
        <v>1604</v>
      </c>
      <c r="H235" s="28" t="s">
        <v>1605</v>
      </c>
      <c r="I235" s="28" t="s">
        <v>1606</v>
      </c>
      <c r="J235" s="28" t="s">
        <v>89</v>
      </c>
      <c r="K235" s="28" t="s">
        <v>30</v>
      </c>
      <c r="L235" s="28" t="s">
        <v>30</v>
      </c>
      <c r="M235" s="28">
        <v>41001</v>
      </c>
      <c r="N235" s="29" t="s">
        <v>744</v>
      </c>
      <c r="O235" s="24">
        <f>VLOOKUP(A235,Hoja1!A:C,3,0)</f>
        <v>8</v>
      </c>
      <c r="P235" s="30" t="str">
        <f>VLOOKUP(M235,[1]TIPOLOGIAS!$A:$F,4,0)</f>
        <v>NEIVA</v>
      </c>
      <c r="Q235" s="30" t="str">
        <f>VLOOKUP(P235,'BASE TARIFA 2025'!C:D,2,0)</f>
        <v>WOMPI ORIENTE</v>
      </c>
      <c r="R235" s="31">
        <f>VLOOKUP(P235,'BASE TARIFA 2025'!C:F,4,0)</f>
        <v>28277.100000000002</v>
      </c>
    </row>
    <row r="236" spans="1:18" s="28" customFormat="1" ht="14.4" x14ac:dyDescent="0.3">
      <c r="A236" s="28">
        <v>78423</v>
      </c>
      <c r="B236" s="28" t="s">
        <v>1607</v>
      </c>
      <c r="C236" s="28">
        <v>901743549</v>
      </c>
      <c r="D236" s="28" t="s">
        <v>1608</v>
      </c>
      <c r="E236" s="28" t="s">
        <v>1608</v>
      </c>
      <c r="F236" s="28" t="s">
        <v>1608</v>
      </c>
      <c r="G236" s="28" t="s">
        <v>1609</v>
      </c>
      <c r="H236" s="28" t="s">
        <v>1610</v>
      </c>
      <c r="I236" s="28" t="s">
        <v>1611</v>
      </c>
      <c r="J236" s="28" t="s">
        <v>89</v>
      </c>
      <c r="K236" s="28" t="s">
        <v>30</v>
      </c>
      <c r="L236" s="28" t="s">
        <v>30</v>
      </c>
      <c r="M236" s="28">
        <v>41001</v>
      </c>
      <c r="N236" s="29" t="s">
        <v>1173</v>
      </c>
      <c r="O236" s="24">
        <f>VLOOKUP(A236,Hoja1!A:C,3,0)</f>
        <v>8</v>
      </c>
      <c r="P236" s="30" t="str">
        <f>VLOOKUP(M236,[1]TIPOLOGIAS!$A:$F,4,0)</f>
        <v>NEIVA</v>
      </c>
      <c r="Q236" s="30" t="str">
        <f>VLOOKUP(P236,'BASE TARIFA 2025'!C:D,2,0)</f>
        <v>WOMPI ORIENTE</v>
      </c>
      <c r="R236" s="31">
        <f>VLOOKUP(P236,'BASE TARIFA 2025'!C:F,4,0)</f>
        <v>28277.100000000002</v>
      </c>
    </row>
    <row r="237" spans="1:18" s="28" customFormat="1" ht="14.4" x14ac:dyDescent="0.3">
      <c r="A237" s="28">
        <v>78348</v>
      </c>
      <c r="B237" s="28" t="s">
        <v>1612</v>
      </c>
      <c r="C237" s="28">
        <v>1193479180</v>
      </c>
      <c r="D237" s="28" t="s">
        <v>1613</v>
      </c>
      <c r="E237" s="28" t="s">
        <v>1613</v>
      </c>
      <c r="F237" s="28" t="s">
        <v>1614</v>
      </c>
      <c r="G237" s="28" t="s">
        <v>1615</v>
      </c>
      <c r="H237" s="28" t="s">
        <v>1616</v>
      </c>
      <c r="I237" s="28" t="s">
        <v>1617</v>
      </c>
      <c r="J237" s="28" t="s">
        <v>89</v>
      </c>
      <c r="K237" s="28" t="s">
        <v>30</v>
      </c>
      <c r="L237" s="28" t="s">
        <v>30</v>
      </c>
      <c r="M237" s="28">
        <v>41001</v>
      </c>
      <c r="N237" s="29" t="s">
        <v>1173</v>
      </c>
      <c r="O237" s="24">
        <f>VLOOKUP(A237,Hoja1!A:C,3,0)</f>
        <v>8</v>
      </c>
      <c r="P237" s="30" t="str">
        <f>VLOOKUP(M237,[1]TIPOLOGIAS!$A:$F,4,0)</f>
        <v>NEIVA</v>
      </c>
      <c r="Q237" s="30" t="str">
        <f>VLOOKUP(P237,'BASE TARIFA 2025'!C:D,2,0)</f>
        <v>WOMPI ORIENTE</v>
      </c>
      <c r="R237" s="31">
        <f>VLOOKUP(P237,'BASE TARIFA 2025'!C:F,4,0)</f>
        <v>28277.100000000002</v>
      </c>
    </row>
    <row r="238" spans="1:18" s="28" customFormat="1" ht="14.4" x14ac:dyDescent="0.3">
      <c r="A238" s="28">
        <v>77958</v>
      </c>
      <c r="B238" s="28" t="s">
        <v>1618</v>
      </c>
      <c r="C238" s="28">
        <v>1127344093</v>
      </c>
      <c r="D238" s="28" t="s">
        <v>1619</v>
      </c>
      <c r="E238" s="28" t="s">
        <v>1619</v>
      </c>
      <c r="F238" s="28" t="s">
        <v>1619</v>
      </c>
      <c r="G238" s="28" t="s">
        <v>1620</v>
      </c>
      <c r="H238" s="28" t="s">
        <v>1621</v>
      </c>
      <c r="I238" s="28" t="s">
        <v>1622</v>
      </c>
      <c r="J238" s="28" t="s">
        <v>89</v>
      </c>
      <c r="K238" s="28" t="s">
        <v>30</v>
      </c>
      <c r="L238" s="28" t="s">
        <v>30</v>
      </c>
      <c r="M238" s="28">
        <v>41001</v>
      </c>
      <c r="N238" s="29" t="s">
        <v>1173</v>
      </c>
      <c r="O238" s="24">
        <f>VLOOKUP(A238,Hoja1!A:C,3,0)</f>
        <v>8</v>
      </c>
      <c r="P238" s="30" t="str">
        <f>VLOOKUP(M238,[1]TIPOLOGIAS!$A:$F,4,0)</f>
        <v>NEIVA</v>
      </c>
      <c r="Q238" s="30" t="str">
        <f>VLOOKUP(P238,'BASE TARIFA 2025'!C:D,2,0)</f>
        <v>WOMPI ORIENTE</v>
      </c>
      <c r="R238" s="31">
        <f>VLOOKUP(P238,'BASE TARIFA 2025'!C:F,4,0)</f>
        <v>28277.100000000002</v>
      </c>
    </row>
    <row r="239" spans="1:18" s="28" customFormat="1" ht="14.4" x14ac:dyDescent="0.3">
      <c r="A239" s="28">
        <v>77664</v>
      </c>
      <c r="B239" s="28" t="s">
        <v>1623</v>
      </c>
      <c r="C239" s="28">
        <v>60364124</v>
      </c>
      <c r="E239" s="28" t="s">
        <v>1624</v>
      </c>
      <c r="F239" s="28" t="s">
        <v>1624</v>
      </c>
      <c r="G239" s="28" t="s">
        <v>1625</v>
      </c>
      <c r="H239" s="28" t="s">
        <v>1626</v>
      </c>
      <c r="I239" s="28" t="s">
        <v>1627</v>
      </c>
      <c r="J239" s="28" t="s">
        <v>75</v>
      </c>
      <c r="K239" s="28" t="s">
        <v>209</v>
      </c>
      <c r="L239" s="28" t="s">
        <v>209</v>
      </c>
      <c r="M239" s="28">
        <v>19001</v>
      </c>
      <c r="N239" s="29" t="s">
        <v>790</v>
      </c>
      <c r="O239" s="24">
        <f>VLOOKUP(A239,Hoja1!A:C,3,0)</f>
        <v>8</v>
      </c>
      <c r="P239" s="30" t="str">
        <f>VLOOKUP(M239,[1]TIPOLOGIAS!$A:$F,4,0)</f>
        <v>CALI</v>
      </c>
      <c r="Q239" s="30" t="str">
        <f>VLOOKUP(P239,'BASE TARIFA 2025'!C:D,2,0)</f>
        <v>WOMPI SUROCCIDENTE</v>
      </c>
      <c r="R239" s="31">
        <f>VLOOKUP(P239,'BASE TARIFA 2025'!C:F,4,0)</f>
        <v>15709.5</v>
      </c>
    </row>
    <row r="240" spans="1:18" s="28" customFormat="1" ht="14.4" x14ac:dyDescent="0.3">
      <c r="A240" s="28">
        <v>31689</v>
      </c>
      <c r="B240" s="28" t="s">
        <v>1628</v>
      </c>
      <c r="C240" s="28">
        <v>1030550769</v>
      </c>
      <c r="E240" s="28" t="s">
        <v>1629</v>
      </c>
      <c r="F240" s="28" t="s">
        <v>1629</v>
      </c>
      <c r="G240" s="28" t="s">
        <v>1630</v>
      </c>
      <c r="H240" s="28" t="s">
        <v>1631</v>
      </c>
      <c r="I240" s="28" t="s">
        <v>1632</v>
      </c>
      <c r="J240" s="28" t="s">
        <v>75</v>
      </c>
      <c r="K240" s="28" t="s">
        <v>209</v>
      </c>
      <c r="L240" s="28" t="s">
        <v>209</v>
      </c>
      <c r="M240" s="28">
        <v>19001</v>
      </c>
      <c r="N240" s="29" t="s">
        <v>542</v>
      </c>
      <c r="O240" s="24">
        <f>VLOOKUP(A240,Hoja1!A:C,3,0)</f>
        <v>16</v>
      </c>
      <c r="P240" s="30" t="str">
        <f>VLOOKUP(M240,[1]TIPOLOGIAS!$A:$F,4,0)</f>
        <v>CALI</v>
      </c>
      <c r="Q240" s="30" t="str">
        <f>VLOOKUP(P240,'BASE TARIFA 2025'!C:D,2,0)</f>
        <v>WOMPI SUROCCIDENTE</v>
      </c>
      <c r="R240" s="31">
        <f>VLOOKUP(P240,'BASE TARIFA 2025'!C:F,4,0)</f>
        <v>15709.5</v>
      </c>
    </row>
    <row r="241" spans="1:18" s="28" customFormat="1" ht="14.4" x14ac:dyDescent="0.3">
      <c r="A241" s="28">
        <v>50461</v>
      </c>
      <c r="B241" s="28" t="s">
        <v>1633</v>
      </c>
      <c r="C241" s="28">
        <v>1079869</v>
      </c>
      <c r="D241" s="28" t="s">
        <v>1634</v>
      </c>
      <c r="E241" s="28" t="s">
        <v>1635</v>
      </c>
      <c r="F241" s="28" t="s">
        <v>1635</v>
      </c>
      <c r="G241" s="28" t="s">
        <v>1636</v>
      </c>
      <c r="H241" s="28" t="s">
        <v>1637</v>
      </c>
      <c r="I241" s="28" t="s">
        <v>1638</v>
      </c>
      <c r="J241" s="28" t="s">
        <v>70</v>
      </c>
      <c r="K241" s="28" t="s">
        <v>1639</v>
      </c>
      <c r="L241" s="28" t="s">
        <v>1639</v>
      </c>
      <c r="M241" s="28">
        <v>25260</v>
      </c>
      <c r="N241" s="29" t="s">
        <v>530</v>
      </c>
      <c r="O241" s="24" t="e">
        <f>VLOOKUP(A241,Hoja1!A:C,3,0)</f>
        <v>#N/A</v>
      </c>
      <c r="P241" s="30" t="str">
        <f>VLOOKUP(M241,[1]TIPOLOGIAS!$A:$F,4,0)</f>
        <v>BOGOTA</v>
      </c>
      <c r="Q241" s="30" t="str">
        <f>VLOOKUP(P241,'BASE TARIFA 2025'!C:D,2,0)</f>
        <v>WOMPI CENTRO</v>
      </c>
      <c r="R241" s="31">
        <f>VLOOKUP(P241,'BASE TARIFA 2025'!C:F,4,0)</f>
        <v>15709.5</v>
      </c>
    </row>
    <row r="242" spans="1:18" s="28" customFormat="1" ht="14.4" x14ac:dyDescent="0.3">
      <c r="A242" s="28">
        <v>34783</v>
      </c>
      <c r="B242" s="28" t="s">
        <v>1640</v>
      </c>
      <c r="C242" s="28">
        <v>901064892</v>
      </c>
      <c r="E242" s="28" t="s">
        <v>1641</v>
      </c>
      <c r="F242" s="28" t="s">
        <v>1641</v>
      </c>
      <c r="G242" s="28" t="s">
        <v>1642</v>
      </c>
      <c r="H242" s="28" t="s">
        <v>1643</v>
      </c>
      <c r="I242" s="28" t="s">
        <v>1644</v>
      </c>
      <c r="J242" s="28" t="s">
        <v>70</v>
      </c>
      <c r="K242" s="28" t="s">
        <v>1639</v>
      </c>
      <c r="L242" s="28" t="s">
        <v>1639</v>
      </c>
      <c r="M242" s="28">
        <v>25260</v>
      </c>
      <c r="N242" s="29" t="s">
        <v>530</v>
      </c>
      <c r="O242" s="24" t="e">
        <f>VLOOKUP(A242,Hoja1!A:C,3,0)</f>
        <v>#N/A</v>
      </c>
      <c r="P242" s="30" t="str">
        <f>VLOOKUP(M242,[1]TIPOLOGIAS!$A:$F,4,0)</f>
        <v>BOGOTA</v>
      </c>
      <c r="Q242" s="30" t="str">
        <f>VLOOKUP(P242,'BASE TARIFA 2025'!C:D,2,0)</f>
        <v>WOMPI CENTRO</v>
      </c>
      <c r="R242" s="31">
        <f>VLOOKUP(P242,'BASE TARIFA 2025'!C:F,4,0)</f>
        <v>15709.5</v>
      </c>
    </row>
    <row r="243" spans="1:18" s="28" customFormat="1" ht="14.4" x14ac:dyDescent="0.3">
      <c r="A243" s="28">
        <v>65867</v>
      </c>
      <c r="B243" s="28" t="s">
        <v>1645</v>
      </c>
      <c r="C243" s="28">
        <v>1056799210</v>
      </c>
      <c r="D243" s="28" t="s">
        <v>69</v>
      </c>
      <c r="E243" s="28" t="s">
        <v>1646</v>
      </c>
      <c r="F243" s="28" t="s">
        <v>1647</v>
      </c>
      <c r="G243" s="28" t="s">
        <v>1648</v>
      </c>
      <c r="H243" s="28" t="s">
        <v>1649</v>
      </c>
      <c r="I243" s="28" t="s">
        <v>1650</v>
      </c>
      <c r="J243" s="28" t="s">
        <v>70</v>
      </c>
      <c r="K243" s="28" t="s">
        <v>192</v>
      </c>
      <c r="L243" s="28" t="s">
        <v>192</v>
      </c>
      <c r="M243" s="28">
        <v>25797</v>
      </c>
      <c r="N243" s="29" t="s">
        <v>1173</v>
      </c>
      <c r="O243" s="24" t="e">
        <f>VLOOKUP(A243,Hoja1!A:C,3,0)</f>
        <v>#N/A</v>
      </c>
      <c r="P243" s="30" t="str">
        <f>VLOOKUP(M243,[1]TIPOLOGIAS!$A:$F,4,0)</f>
        <v>BOGOTA</v>
      </c>
      <c r="Q243" s="30" t="str">
        <f>VLOOKUP(P243,'BASE TARIFA 2025'!C:D,2,0)</f>
        <v>WOMPI CENTRO</v>
      </c>
      <c r="R243" s="31">
        <f>VLOOKUP(P243,'BASE TARIFA 2025'!C:F,4,0)</f>
        <v>15709.5</v>
      </c>
    </row>
    <row r="244" spans="1:18" s="28" customFormat="1" ht="14.4" x14ac:dyDescent="0.3">
      <c r="A244" s="28">
        <v>71002</v>
      </c>
      <c r="B244" s="28" t="s">
        <v>1651</v>
      </c>
      <c r="C244" s="28">
        <v>1052397766</v>
      </c>
      <c r="D244" s="28" t="s">
        <v>1652</v>
      </c>
      <c r="E244" s="28" t="s">
        <v>1653</v>
      </c>
      <c r="F244" s="28" t="s">
        <v>1653</v>
      </c>
      <c r="G244" s="28" t="s">
        <v>1654</v>
      </c>
      <c r="H244" s="28" t="s">
        <v>1655</v>
      </c>
      <c r="I244" s="28" t="s">
        <v>1656</v>
      </c>
      <c r="J244" s="28" t="s">
        <v>70</v>
      </c>
      <c r="K244" s="28" t="s">
        <v>1657</v>
      </c>
      <c r="L244" s="28" t="s">
        <v>1657</v>
      </c>
      <c r="M244" s="28">
        <v>25862</v>
      </c>
      <c r="N244" s="29" t="s">
        <v>756</v>
      </c>
      <c r="O244" s="24" t="e">
        <f>VLOOKUP(A244,Hoja1!A:C,3,0)</f>
        <v>#N/A</v>
      </c>
      <c r="P244" s="30" t="str">
        <f>VLOOKUP(M244,[1]TIPOLOGIAS!$A:$F,4,0)</f>
        <v>BOGOTA</v>
      </c>
      <c r="Q244" s="30" t="str">
        <f>VLOOKUP(P244,'BASE TARIFA 2025'!C:D,2,0)</f>
        <v>WOMPI CENTRO</v>
      </c>
      <c r="R244" s="31">
        <f>VLOOKUP(P244,'BASE TARIFA 2025'!C:F,4,0)</f>
        <v>15709.5</v>
      </c>
    </row>
    <row r="245" spans="1:18" s="28" customFormat="1" ht="14.4" x14ac:dyDescent="0.3">
      <c r="A245" s="28">
        <v>55146</v>
      </c>
      <c r="B245" s="28" t="s">
        <v>1658</v>
      </c>
      <c r="C245" s="28">
        <v>901471813</v>
      </c>
      <c r="D245" s="28" t="s">
        <v>69</v>
      </c>
      <c r="E245" s="28" t="s">
        <v>1659</v>
      </c>
      <c r="F245" s="28" t="s">
        <v>1659</v>
      </c>
      <c r="G245" s="28" t="s">
        <v>1660</v>
      </c>
      <c r="H245" s="28" t="s">
        <v>1661</v>
      </c>
      <c r="I245" s="28" t="s">
        <v>1662</v>
      </c>
      <c r="J245" s="28" t="s">
        <v>70</v>
      </c>
      <c r="K245" s="28" t="s">
        <v>1657</v>
      </c>
      <c r="L245" s="28" t="s">
        <v>1657</v>
      </c>
      <c r="M245" s="28">
        <v>25862</v>
      </c>
      <c r="N245" s="29" t="s">
        <v>756</v>
      </c>
      <c r="O245" s="24" t="e">
        <f>VLOOKUP(A245,Hoja1!A:C,3,0)</f>
        <v>#N/A</v>
      </c>
      <c r="P245" s="30" t="str">
        <f>VLOOKUP(M245,[1]TIPOLOGIAS!$A:$F,4,0)</f>
        <v>BOGOTA</v>
      </c>
      <c r="Q245" s="30" t="str">
        <f>VLOOKUP(P245,'BASE TARIFA 2025'!C:D,2,0)</f>
        <v>WOMPI CENTRO</v>
      </c>
      <c r="R245" s="31">
        <f>VLOOKUP(P245,'BASE TARIFA 2025'!C:F,4,0)</f>
        <v>15709.5</v>
      </c>
    </row>
    <row r="246" spans="1:18" s="28" customFormat="1" ht="14.4" x14ac:dyDescent="0.3">
      <c r="A246" s="28">
        <v>81175</v>
      </c>
      <c r="B246" s="28" t="s">
        <v>1663</v>
      </c>
      <c r="C246" s="28">
        <v>7180978</v>
      </c>
      <c r="D246" s="28" t="s">
        <v>69</v>
      </c>
      <c r="E246" s="28" t="s">
        <v>1664</v>
      </c>
      <c r="F246" s="28" t="s">
        <v>1664</v>
      </c>
      <c r="G246" s="28" t="s">
        <v>1665</v>
      </c>
      <c r="H246" s="28" t="s">
        <v>1666</v>
      </c>
      <c r="I246" s="28" t="s">
        <v>1667</v>
      </c>
      <c r="J246" s="28" t="s">
        <v>70</v>
      </c>
      <c r="K246" s="28" t="s">
        <v>1657</v>
      </c>
      <c r="L246" s="28" t="s">
        <v>1657</v>
      </c>
      <c r="M246" s="28">
        <v>25862</v>
      </c>
      <c r="N246" s="29" t="s">
        <v>756</v>
      </c>
      <c r="O246" s="24" t="e">
        <f>VLOOKUP(A246,Hoja1!A:C,3,0)</f>
        <v>#N/A</v>
      </c>
      <c r="P246" s="30" t="str">
        <f>VLOOKUP(M246,[1]TIPOLOGIAS!$A:$F,4,0)</f>
        <v>BOGOTA</v>
      </c>
      <c r="Q246" s="30" t="str">
        <f>VLOOKUP(P246,'BASE TARIFA 2025'!C:D,2,0)</f>
        <v>WOMPI CENTRO</v>
      </c>
      <c r="R246" s="31">
        <f>VLOOKUP(P246,'BASE TARIFA 2025'!C:F,4,0)</f>
        <v>15709.5</v>
      </c>
    </row>
    <row r="247" spans="1:18" s="28" customFormat="1" ht="14.4" x14ac:dyDescent="0.3">
      <c r="A247" s="28">
        <v>74779</v>
      </c>
      <c r="B247" s="28" t="s">
        <v>1668</v>
      </c>
      <c r="C247" s="28">
        <v>1092357348</v>
      </c>
      <c r="D247" s="28" t="s">
        <v>69</v>
      </c>
      <c r="E247" s="28" t="s">
        <v>1669</v>
      </c>
      <c r="F247" s="28" t="s">
        <v>1670</v>
      </c>
      <c r="G247" s="28" t="s">
        <v>1671</v>
      </c>
      <c r="H247" s="28" t="s">
        <v>1672</v>
      </c>
      <c r="I247" s="28" t="s">
        <v>1673</v>
      </c>
      <c r="J247" s="28" t="s">
        <v>70</v>
      </c>
      <c r="K247" s="28" t="s">
        <v>1657</v>
      </c>
      <c r="L247" s="28" t="s">
        <v>1657</v>
      </c>
      <c r="M247" s="28">
        <v>25862</v>
      </c>
      <c r="N247" s="29" t="s">
        <v>756</v>
      </c>
      <c r="O247" s="24">
        <f>VLOOKUP(A247,Hoja1!A:C,3,0)</f>
        <v>8</v>
      </c>
      <c r="P247" s="30" t="str">
        <f>VLOOKUP(M247,[1]TIPOLOGIAS!$A:$F,4,0)</f>
        <v>BOGOTA</v>
      </c>
      <c r="Q247" s="30" t="str">
        <f>VLOOKUP(P247,'BASE TARIFA 2025'!C:D,2,0)</f>
        <v>WOMPI CENTRO</v>
      </c>
      <c r="R247" s="31">
        <f>VLOOKUP(P247,'BASE TARIFA 2025'!C:F,4,0)</f>
        <v>15709.5</v>
      </c>
    </row>
    <row r="248" spans="1:18" s="28" customFormat="1" ht="14.4" x14ac:dyDescent="0.3">
      <c r="A248" s="28">
        <v>13693</v>
      </c>
      <c r="B248" s="28" t="s">
        <v>1674</v>
      </c>
      <c r="C248" s="28">
        <v>1051820090</v>
      </c>
      <c r="D248" s="28" t="s">
        <v>1675</v>
      </c>
      <c r="E248" s="28" t="s">
        <v>1675</v>
      </c>
      <c r="F248" s="28" t="s">
        <v>1675</v>
      </c>
      <c r="G248" s="28" t="s">
        <v>1676</v>
      </c>
      <c r="H248" s="28" t="s">
        <v>1677</v>
      </c>
      <c r="I248" s="28" t="s">
        <v>1678</v>
      </c>
      <c r="J248" s="28" t="s">
        <v>70</v>
      </c>
      <c r="K248" s="28" t="s">
        <v>1657</v>
      </c>
      <c r="L248" s="28" t="s">
        <v>1657</v>
      </c>
      <c r="M248" s="28">
        <v>25862</v>
      </c>
      <c r="N248" s="29" t="s">
        <v>756</v>
      </c>
      <c r="O248" s="24">
        <f>VLOOKUP(A248,Hoja1!A:C,3,0)</f>
        <v>8</v>
      </c>
      <c r="P248" s="30" t="str">
        <f>VLOOKUP(M248,[1]TIPOLOGIAS!$A:$F,4,0)</f>
        <v>BOGOTA</v>
      </c>
      <c r="Q248" s="30" t="str">
        <f>VLOOKUP(P248,'BASE TARIFA 2025'!C:D,2,0)</f>
        <v>WOMPI CENTRO</v>
      </c>
      <c r="R248" s="31">
        <f>VLOOKUP(P248,'BASE TARIFA 2025'!C:F,4,0)</f>
        <v>15709.5</v>
      </c>
    </row>
    <row r="249" spans="1:18" s="28" customFormat="1" ht="14.4" x14ac:dyDescent="0.3">
      <c r="A249" s="28">
        <v>74337</v>
      </c>
      <c r="B249" s="28" t="s">
        <v>1679</v>
      </c>
      <c r="C249" s="28">
        <v>901584620</v>
      </c>
      <c r="D249" s="28" t="s">
        <v>1680</v>
      </c>
      <c r="E249" s="28" t="s">
        <v>1681</v>
      </c>
      <c r="F249" s="28" t="s">
        <v>1681</v>
      </c>
      <c r="G249" s="28" t="s">
        <v>1682</v>
      </c>
      <c r="H249" s="28" t="s">
        <v>1683</v>
      </c>
      <c r="I249" s="28" t="s">
        <v>1684</v>
      </c>
      <c r="J249" s="28" t="s">
        <v>89</v>
      </c>
      <c r="K249" s="28" t="s">
        <v>1685</v>
      </c>
      <c r="L249" s="28" t="s">
        <v>1685</v>
      </c>
      <c r="M249" s="28">
        <v>41016</v>
      </c>
      <c r="N249" s="29" t="s">
        <v>589</v>
      </c>
      <c r="O249" s="24">
        <f>VLOOKUP(A249,Hoja1!A:C,3,0)</f>
        <v>8</v>
      </c>
      <c r="P249" s="30" t="str">
        <f>VLOOKUP(M249,[1]TIPOLOGIAS!$A:$F,4,0)</f>
        <v>NEIVA</v>
      </c>
      <c r="Q249" s="30" t="str">
        <f>VLOOKUP(P249,'BASE TARIFA 2025'!C:D,2,0)</f>
        <v>WOMPI ORIENTE</v>
      </c>
      <c r="R249" s="31">
        <f>VLOOKUP(P249,'BASE TARIFA 2025'!C:F,4,0)</f>
        <v>28277.100000000002</v>
      </c>
    </row>
    <row r="250" spans="1:18" s="28" customFormat="1" ht="14.4" x14ac:dyDescent="0.3">
      <c r="A250" s="28">
        <v>74281</v>
      </c>
      <c r="B250" s="28" t="s">
        <v>1686</v>
      </c>
      <c r="C250" s="28">
        <v>1092350546</v>
      </c>
      <c r="D250" s="28" t="s">
        <v>1687</v>
      </c>
      <c r="E250" s="28" t="s">
        <v>1688</v>
      </c>
      <c r="F250" s="28" t="s">
        <v>1688</v>
      </c>
      <c r="G250" s="28" t="s">
        <v>1689</v>
      </c>
      <c r="H250" s="28" t="s">
        <v>1690</v>
      </c>
      <c r="I250" s="28" t="s">
        <v>1691</v>
      </c>
      <c r="J250" s="28" t="s">
        <v>89</v>
      </c>
      <c r="K250" s="28" t="s">
        <v>1685</v>
      </c>
      <c r="L250" s="28" t="s">
        <v>1685</v>
      </c>
      <c r="M250" s="28">
        <v>41016</v>
      </c>
      <c r="N250" s="29" t="s">
        <v>589</v>
      </c>
      <c r="O250" s="24">
        <f>VLOOKUP(A250,Hoja1!A:C,3,0)</f>
        <v>8</v>
      </c>
      <c r="P250" s="30" t="str">
        <f>VLOOKUP(M250,[1]TIPOLOGIAS!$A:$F,4,0)</f>
        <v>NEIVA</v>
      </c>
      <c r="Q250" s="30" t="str">
        <f>VLOOKUP(P250,'BASE TARIFA 2025'!C:D,2,0)</f>
        <v>WOMPI ORIENTE</v>
      </c>
      <c r="R250" s="31">
        <f>VLOOKUP(P250,'BASE TARIFA 2025'!C:F,4,0)</f>
        <v>28277.100000000002</v>
      </c>
    </row>
    <row r="251" spans="1:18" s="28" customFormat="1" ht="14.4" x14ac:dyDescent="0.3">
      <c r="A251" s="28">
        <v>23039</v>
      </c>
      <c r="B251" s="28" t="s">
        <v>1692</v>
      </c>
      <c r="C251" s="28">
        <v>9396871</v>
      </c>
      <c r="D251" s="28" t="s">
        <v>1693</v>
      </c>
      <c r="E251" s="28" t="s">
        <v>1693</v>
      </c>
      <c r="F251" s="28" t="s">
        <v>1693</v>
      </c>
      <c r="G251" s="28" t="s">
        <v>1694</v>
      </c>
      <c r="H251" s="28" t="s">
        <v>1695</v>
      </c>
      <c r="I251" s="28" t="s">
        <v>1696</v>
      </c>
      <c r="J251" s="28" t="s">
        <v>89</v>
      </c>
      <c r="K251" s="28" t="s">
        <v>1685</v>
      </c>
      <c r="L251" s="28" t="s">
        <v>1685</v>
      </c>
      <c r="M251" s="28">
        <v>41016</v>
      </c>
      <c r="N251" s="29" t="s">
        <v>589</v>
      </c>
      <c r="O251" s="24" t="e">
        <f>VLOOKUP(A251,Hoja1!A:C,3,0)</f>
        <v>#N/A</v>
      </c>
      <c r="P251" s="30" t="str">
        <f>VLOOKUP(M251,[1]TIPOLOGIAS!$A:$F,4,0)</f>
        <v>NEIVA</v>
      </c>
      <c r="Q251" s="30" t="str">
        <f>VLOOKUP(P251,'BASE TARIFA 2025'!C:D,2,0)</f>
        <v>WOMPI ORIENTE</v>
      </c>
      <c r="R251" s="31">
        <f>VLOOKUP(P251,'BASE TARIFA 2025'!C:F,4,0)</f>
        <v>28277.100000000002</v>
      </c>
    </row>
    <row r="252" spans="1:18" s="28" customFormat="1" ht="14.4" x14ac:dyDescent="0.3">
      <c r="A252" s="28">
        <v>78618</v>
      </c>
      <c r="B252" s="28" t="s">
        <v>1697</v>
      </c>
      <c r="C252" s="28">
        <v>1007343084</v>
      </c>
      <c r="D252" s="28" t="s">
        <v>1698</v>
      </c>
      <c r="E252" s="28" t="s">
        <v>1698</v>
      </c>
      <c r="G252" s="28" t="s">
        <v>1699</v>
      </c>
      <c r="H252" s="28" t="s">
        <v>1700</v>
      </c>
      <c r="I252" s="28" t="s">
        <v>1701</v>
      </c>
      <c r="J252" s="28" t="s">
        <v>89</v>
      </c>
      <c r="K252" s="28" t="s">
        <v>193</v>
      </c>
      <c r="L252" s="28" t="s">
        <v>193</v>
      </c>
      <c r="M252" s="28">
        <v>41020</v>
      </c>
      <c r="N252" s="29" t="s">
        <v>790</v>
      </c>
      <c r="O252" s="24" t="e">
        <f>VLOOKUP(A252,Hoja1!A:C,3,0)</f>
        <v>#N/A</v>
      </c>
      <c r="P252" s="30" t="str">
        <f>VLOOKUP(M252,[1]TIPOLOGIAS!$A:$F,4,0)</f>
        <v>NEIVA</v>
      </c>
      <c r="Q252" s="30" t="str">
        <f>VLOOKUP(P252,'BASE TARIFA 2025'!C:D,2,0)</f>
        <v>WOMPI ORIENTE</v>
      </c>
      <c r="R252" s="31">
        <f>VLOOKUP(P252,'BASE TARIFA 2025'!C:F,4,0)</f>
        <v>28277.100000000002</v>
      </c>
    </row>
    <row r="253" spans="1:18" s="28" customFormat="1" ht="14.4" x14ac:dyDescent="0.3">
      <c r="A253" s="28">
        <v>53829</v>
      </c>
      <c r="B253" s="28" t="s">
        <v>1702</v>
      </c>
      <c r="C253" s="28">
        <v>900624919</v>
      </c>
      <c r="D253" s="28" t="s">
        <v>1703</v>
      </c>
      <c r="E253" s="28" t="s">
        <v>1703</v>
      </c>
      <c r="F253" s="28" t="s">
        <v>1703</v>
      </c>
      <c r="G253" s="28" t="s">
        <v>1704</v>
      </c>
      <c r="H253" s="28" t="s">
        <v>1705</v>
      </c>
      <c r="I253" s="28" t="s">
        <v>1706</v>
      </c>
      <c r="J253" s="28" t="s">
        <v>89</v>
      </c>
      <c r="K253" s="28" t="s">
        <v>193</v>
      </c>
      <c r="L253" s="28" t="s">
        <v>193</v>
      </c>
      <c r="M253" s="28">
        <v>41020</v>
      </c>
      <c r="N253" s="29" t="s">
        <v>790</v>
      </c>
      <c r="O253" s="24" t="e">
        <f>VLOOKUP(A253,Hoja1!A:C,3,0)</f>
        <v>#N/A</v>
      </c>
      <c r="P253" s="30" t="str">
        <f>VLOOKUP(M253,[1]TIPOLOGIAS!$A:$F,4,0)</f>
        <v>NEIVA</v>
      </c>
      <c r="Q253" s="30" t="str">
        <f>VLOOKUP(P253,'BASE TARIFA 2025'!C:D,2,0)</f>
        <v>WOMPI ORIENTE</v>
      </c>
      <c r="R253" s="31">
        <f>VLOOKUP(P253,'BASE TARIFA 2025'!C:F,4,0)</f>
        <v>28277.100000000002</v>
      </c>
    </row>
    <row r="254" spans="1:18" s="28" customFormat="1" ht="14.4" x14ac:dyDescent="0.3">
      <c r="A254" s="28">
        <v>74275</v>
      </c>
      <c r="B254" s="28" t="s">
        <v>1707</v>
      </c>
      <c r="C254" s="28">
        <v>1128130814</v>
      </c>
      <c r="D254" s="28" t="s">
        <v>1708</v>
      </c>
      <c r="E254" s="28" t="s">
        <v>1708</v>
      </c>
      <c r="F254" s="28" t="s">
        <v>1708</v>
      </c>
      <c r="G254" s="28" t="s">
        <v>1709</v>
      </c>
      <c r="H254" s="28" t="s">
        <v>1710</v>
      </c>
      <c r="I254" s="28" t="s">
        <v>1711</v>
      </c>
      <c r="J254" s="28" t="s">
        <v>89</v>
      </c>
      <c r="K254" s="28" t="s">
        <v>193</v>
      </c>
      <c r="L254" s="28" t="s">
        <v>193</v>
      </c>
      <c r="M254" s="28">
        <v>41020</v>
      </c>
      <c r="N254" s="29" t="s">
        <v>790</v>
      </c>
      <c r="O254" s="24">
        <f>VLOOKUP(A254,Hoja1!A:C,3,0)</f>
        <v>8</v>
      </c>
      <c r="P254" s="30" t="str">
        <f>VLOOKUP(M254,[1]TIPOLOGIAS!$A:$F,4,0)</f>
        <v>NEIVA</v>
      </c>
      <c r="Q254" s="30" t="str">
        <f>VLOOKUP(P254,'BASE TARIFA 2025'!C:D,2,0)</f>
        <v>WOMPI ORIENTE</v>
      </c>
      <c r="R254" s="31">
        <f>VLOOKUP(P254,'BASE TARIFA 2025'!C:F,4,0)</f>
        <v>28277.100000000002</v>
      </c>
    </row>
    <row r="255" spans="1:18" s="28" customFormat="1" ht="14.4" x14ac:dyDescent="0.3">
      <c r="A255" s="28">
        <v>75193</v>
      </c>
      <c r="B255" s="28" t="s">
        <v>1712</v>
      </c>
      <c r="C255" s="28">
        <v>37511588</v>
      </c>
      <c r="D255" s="28" t="s">
        <v>1713</v>
      </c>
      <c r="E255" s="28" t="s">
        <v>1713</v>
      </c>
      <c r="F255" s="28" t="s">
        <v>1713</v>
      </c>
      <c r="G255" s="28" t="s">
        <v>1714</v>
      </c>
      <c r="H255" s="28" t="s">
        <v>1715</v>
      </c>
      <c r="I255" s="28" t="s">
        <v>1716</v>
      </c>
      <c r="J255" s="28" t="s">
        <v>89</v>
      </c>
      <c r="K255" s="28" t="s">
        <v>193</v>
      </c>
      <c r="L255" s="28" t="s">
        <v>193</v>
      </c>
      <c r="M255" s="28">
        <v>41020</v>
      </c>
      <c r="N255" s="29" t="s">
        <v>790</v>
      </c>
      <c r="O255" s="24">
        <f>VLOOKUP(A255,Hoja1!A:C,3,0)</f>
        <v>8</v>
      </c>
      <c r="P255" s="30" t="str">
        <f>VLOOKUP(M255,[1]TIPOLOGIAS!$A:$F,4,0)</f>
        <v>NEIVA</v>
      </c>
      <c r="Q255" s="30" t="str">
        <f>VLOOKUP(P255,'BASE TARIFA 2025'!C:D,2,0)</f>
        <v>WOMPI ORIENTE</v>
      </c>
      <c r="R255" s="31">
        <f>VLOOKUP(P255,'BASE TARIFA 2025'!C:F,4,0)</f>
        <v>28277.100000000002</v>
      </c>
    </row>
    <row r="256" spans="1:18" s="28" customFormat="1" ht="14.4" x14ac:dyDescent="0.3">
      <c r="A256" s="28">
        <v>72611</v>
      </c>
      <c r="B256" s="28" t="s">
        <v>1717</v>
      </c>
      <c r="C256" s="28">
        <v>37273830</v>
      </c>
      <c r="D256" s="28" t="s">
        <v>1718</v>
      </c>
      <c r="E256" s="28" t="s">
        <v>1718</v>
      </c>
      <c r="F256" s="28" t="s">
        <v>1718</v>
      </c>
      <c r="G256" s="28" t="s">
        <v>1719</v>
      </c>
      <c r="H256" s="28" t="s">
        <v>1720</v>
      </c>
      <c r="I256" s="28" t="s">
        <v>1721</v>
      </c>
      <c r="J256" s="28" t="s">
        <v>76</v>
      </c>
      <c r="K256" s="28" t="s">
        <v>77</v>
      </c>
      <c r="L256" s="28" t="s">
        <v>77</v>
      </c>
      <c r="M256" s="28">
        <v>50680</v>
      </c>
      <c r="N256" s="29" t="s">
        <v>716</v>
      </c>
      <c r="O256" s="24">
        <f>VLOOKUP(A256,Hoja1!A:C,3,0)</f>
        <v>8</v>
      </c>
      <c r="P256" s="30" t="str">
        <f>VLOOKUP(M256,[1]TIPOLOGIAS!$A:$F,4,0)</f>
        <v>VILLAVICENCIO</v>
      </c>
      <c r="Q256" s="30" t="str">
        <f>VLOOKUP(P256,'BASE TARIFA 2025'!C:D,2,0)</f>
        <v>WOMPI ORIENTE</v>
      </c>
      <c r="R256" s="31">
        <f>VLOOKUP(P256,'BASE TARIFA 2025'!C:F,4,0)</f>
        <v>28277.100000000002</v>
      </c>
    </row>
    <row r="257" spans="1:18" s="28" customFormat="1" ht="14.4" x14ac:dyDescent="0.3">
      <c r="A257" s="28">
        <v>72612</v>
      </c>
      <c r="B257" s="28" t="s">
        <v>1722</v>
      </c>
      <c r="C257" s="28">
        <v>60402106</v>
      </c>
      <c r="D257" s="28" t="s">
        <v>1723</v>
      </c>
      <c r="E257" s="28" t="s">
        <v>1724</v>
      </c>
      <c r="F257" s="28" t="s">
        <v>1723</v>
      </c>
      <c r="G257" s="28" t="s">
        <v>1725</v>
      </c>
      <c r="H257" s="28" t="s">
        <v>1726</v>
      </c>
      <c r="I257" s="28" t="s">
        <v>1727</v>
      </c>
      <c r="J257" s="28" t="s">
        <v>76</v>
      </c>
      <c r="K257" s="28" t="s">
        <v>77</v>
      </c>
      <c r="L257" s="28" t="s">
        <v>77</v>
      </c>
      <c r="M257" s="28">
        <v>50680</v>
      </c>
      <c r="N257" s="29" t="s">
        <v>716</v>
      </c>
      <c r="O257" s="24">
        <f>VLOOKUP(A257,Hoja1!A:C,3,0)</f>
        <v>8</v>
      </c>
      <c r="P257" s="30" t="str">
        <f>VLOOKUP(M257,[1]TIPOLOGIAS!$A:$F,4,0)</f>
        <v>VILLAVICENCIO</v>
      </c>
      <c r="Q257" s="30" t="str">
        <f>VLOOKUP(P257,'BASE TARIFA 2025'!C:D,2,0)</f>
        <v>WOMPI ORIENTE</v>
      </c>
      <c r="R257" s="31">
        <f>VLOOKUP(P257,'BASE TARIFA 2025'!C:F,4,0)</f>
        <v>28277.100000000002</v>
      </c>
    </row>
    <row r="258" spans="1:18" s="28" customFormat="1" ht="14.4" x14ac:dyDescent="0.3">
      <c r="A258" s="28">
        <v>53870</v>
      </c>
      <c r="B258" s="28" t="s">
        <v>1728</v>
      </c>
      <c r="C258" s="28">
        <v>1065853944</v>
      </c>
      <c r="D258" s="28" t="s">
        <v>1729</v>
      </c>
      <c r="E258" s="28" t="s">
        <v>1729</v>
      </c>
      <c r="F258" s="28" t="s">
        <v>1730</v>
      </c>
      <c r="G258" s="28" t="s">
        <v>1731</v>
      </c>
      <c r="H258" s="28" t="s">
        <v>1732</v>
      </c>
      <c r="I258" s="28" t="s">
        <v>1733</v>
      </c>
      <c r="J258" s="28" t="s">
        <v>76</v>
      </c>
      <c r="K258" s="28" t="s">
        <v>77</v>
      </c>
      <c r="L258" s="28" t="s">
        <v>77</v>
      </c>
      <c r="M258" s="28">
        <v>50680</v>
      </c>
      <c r="N258" s="29" t="s">
        <v>716</v>
      </c>
      <c r="O258" s="24" t="e">
        <f>VLOOKUP(A258,Hoja1!A:C,3,0)</f>
        <v>#N/A</v>
      </c>
      <c r="P258" s="30" t="str">
        <f>VLOOKUP(M258,[1]TIPOLOGIAS!$A:$F,4,0)</f>
        <v>VILLAVICENCIO</v>
      </c>
      <c r="Q258" s="30" t="str">
        <f>VLOOKUP(P258,'BASE TARIFA 2025'!C:D,2,0)</f>
        <v>WOMPI ORIENTE</v>
      </c>
      <c r="R258" s="31">
        <f>VLOOKUP(P258,'BASE TARIFA 2025'!C:F,4,0)</f>
        <v>28277.100000000002</v>
      </c>
    </row>
    <row r="259" spans="1:18" s="28" customFormat="1" ht="14.4" x14ac:dyDescent="0.3">
      <c r="A259" s="28">
        <v>55432</v>
      </c>
      <c r="B259" s="28" t="s">
        <v>1734</v>
      </c>
      <c r="C259" s="28">
        <v>1065853944</v>
      </c>
      <c r="D259" s="28" t="s">
        <v>1735</v>
      </c>
      <c r="E259" s="28" t="s">
        <v>1736</v>
      </c>
      <c r="F259" s="28" t="s">
        <v>1737</v>
      </c>
      <c r="G259" s="28" t="s">
        <v>1738</v>
      </c>
      <c r="H259" s="28" t="s">
        <v>1739</v>
      </c>
      <c r="I259" s="28" t="s">
        <v>1740</v>
      </c>
      <c r="J259" s="28" t="s">
        <v>76</v>
      </c>
      <c r="K259" s="28" t="s">
        <v>77</v>
      </c>
      <c r="L259" s="28" t="s">
        <v>77</v>
      </c>
      <c r="M259" s="28">
        <v>50680</v>
      </c>
      <c r="N259" s="29" t="s">
        <v>1173</v>
      </c>
      <c r="O259" s="24" t="e">
        <f>VLOOKUP(A259,Hoja1!A:C,3,0)</f>
        <v>#N/A</v>
      </c>
      <c r="P259" s="30" t="str">
        <f>VLOOKUP(M259,[1]TIPOLOGIAS!$A:$F,4,0)</f>
        <v>VILLAVICENCIO</v>
      </c>
      <c r="Q259" s="30" t="str">
        <f>VLOOKUP(P259,'BASE TARIFA 2025'!C:D,2,0)</f>
        <v>WOMPI ORIENTE</v>
      </c>
      <c r="R259" s="31">
        <f>VLOOKUP(P259,'BASE TARIFA 2025'!C:F,4,0)</f>
        <v>28277.100000000002</v>
      </c>
    </row>
    <row r="260" spans="1:18" s="28" customFormat="1" ht="14.4" x14ac:dyDescent="0.3">
      <c r="A260" s="28">
        <v>50296</v>
      </c>
      <c r="B260" s="28" t="s">
        <v>1741</v>
      </c>
      <c r="C260" s="28">
        <v>9396871</v>
      </c>
      <c r="D260" s="28" t="s">
        <v>1742</v>
      </c>
      <c r="E260" s="28" t="s">
        <v>1742</v>
      </c>
      <c r="F260" s="28" t="s">
        <v>1743</v>
      </c>
      <c r="G260" s="28" t="s">
        <v>1744</v>
      </c>
      <c r="H260" s="28" t="s">
        <v>1745</v>
      </c>
      <c r="I260" s="28" t="s">
        <v>1746</v>
      </c>
      <c r="J260" s="28" t="s">
        <v>76</v>
      </c>
      <c r="K260" s="28" t="s">
        <v>77</v>
      </c>
      <c r="L260" s="28" t="s">
        <v>77</v>
      </c>
      <c r="M260" s="28">
        <v>50680</v>
      </c>
      <c r="N260" s="29" t="s">
        <v>1173</v>
      </c>
      <c r="O260" s="24" t="e">
        <f>VLOOKUP(A260,Hoja1!A:C,3,0)</f>
        <v>#N/A</v>
      </c>
      <c r="P260" s="30" t="str">
        <f>VLOOKUP(M260,[1]TIPOLOGIAS!$A:$F,4,0)</f>
        <v>VILLAVICENCIO</v>
      </c>
      <c r="Q260" s="30" t="str">
        <f>VLOOKUP(P260,'BASE TARIFA 2025'!C:D,2,0)</f>
        <v>WOMPI ORIENTE</v>
      </c>
      <c r="R260" s="31">
        <f>VLOOKUP(P260,'BASE TARIFA 2025'!C:F,4,0)</f>
        <v>28277.100000000002</v>
      </c>
    </row>
    <row r="261" spans="1:18" s="28" customFormat="1" ht="14.4" x14ac:dyDescent="0.3">
      <c r="A261" s="28">
        <v>47020</v>
      </c>
      <c r="B261" s="28" t="s">
        <v>1747</v>
      </c>
      <c r="C261" s="28">
        <v>51911307</v>
      </c>
      <c r="D261" s="28" t="s">
        <v>1748</v>
      </c>
      <c r="E261" s="28" t="s">
        <v>1749</v>
      </c>
      <c r="F261" s="28" t="s">
        <v>1748</v>
      </c>
      <c r="G261" s="28" t="s">
        <v>1750</v>
      </c>
      <c r="H261" s="28" t="s">
        <v>1751</v>
      </c>
      <c r="I261" s="28" t="s">
        <v>1752</v>
      </c>
      <c r="J261" s="28" t="s">
        <v>74</v>
      </c>
      <c r="K261" s="28" t="s">
        <v>1753</v>
      </c>
      <c r="L261" s="28" t="s">
        <v>1753</v>
      </c>
      <c r="M261" s="28">
        <v>52385</v>
      </c>
      <c r="N261" s="29" t="s">
        <v>716</v>
      </c>
      <c r="O261" s="24">
        <f>VLOOKUP(A261,Hoja1!A:C,3,0)</f>
        <v>16</v>
      </c>
      <c r="P261" s="30" t="str">
        <f>VLOOKUP(M261,[1]TIPOLOGIAS!$A:$F,4,0)</f>
        <v>PASTO</v>
      </c>
      <c r="Q261" s="30" t="str">
        <f>VLOOKUP(P261,'BASE TARIFA 2025'!C:D,2,0)</f>
        <v>WOMPI SUROCCIDENTE</v>
      </c>
      <c r="R261" s="31">
        <f>VLOOKUP(P261,'BASE TARIFA 2025'!C:F,4,0)</f>
        <v>28277.100000000002</v>
      </c>
    </row>
    <row r="262" spans="1:18" s="28" customFormat="1" ht="14.4" x14ac:dyDescent="0.3">
      <c r="A262" s="28">
        <v>72904</v>
      </c>
      <c r="B262" s="28" t="s">
        <v>1754</v>
      </c>
      <c r="C262" s="28">
        <v>88267282</v>
      </c>
      <c r="D262" s="28" t="s">
        <v>1755</v>
      </c>
      <c r="E262" s="28" t="s">
        <v>1756</v>
      </c>
      <c r="F262" s="28" t="s">
        <v>1755</v>
      </c>
      <c r="G262" s="28" t="s">
        <v>1757</v>
      </c>
      <c r="H262" s="28" t="s">
        <v>1758</v>
      </c>
      <c r="I262" s="28" t="s">
        <v>1759</v>
      </c>
      <c r="J262" s="28" t="s">
        <v>74</v>
      </c>
      <c r="K262" s="28" t="s">
        <v>1753</v>
      </c>
      <c r="L262" s="28" t="s">
        <v>1753</v>
      </c>
      <c r="M262" s="28">
        <v>52385</v>
      </c>
      <c r="N262" s="29" t="s">
        <v>716</v>
      </c>
      <c r="O262" s="24">
        <f>VLOOKUP(A262,Hoja1!A:C,3,0)</f>
        <v>8</v>
      </c>
      <c r="P262" s="30" t="str">
        <f>VLOOKUP(M262,[1]TIPOLOGIAS!$A:$F,4,0)</f>
        <v>PASTO</v>
      </c>
      <c r="Q262" s="30" t="str">
        <f>VLOOKUP(P262,'BASE TARIFA 2025'!C:D,2,0)</f>
        <v>WOMPI SUROCCIDENTE</v>
      </c>
      <c r="R262" s="31">
        <f>VLOOKUP(P262,'BASE TARIFA 2025'!C:F,4,0)</f>
        <v>28277.100000000002</v>
      </c>
    </row>
    <row r="263" spans="1:18" s="28" customFormat="1" ht="14.4" x14ac:dyDescent="0.3">
      <c r="A263" s="28">
        <v>72058</v>
      </c>
      <c r="B263" s="28" t="s">
        <v>1760</v>
      </c>
      <c r="C263" s="28">
        <v>88263528</v>
      </c>
      <c r="D263" s="28" t="s">
        <v>1761</v>
      </c>
      <c r="E263" s="28" t="s">
        <v>1762</v>
      </c>
      <c r="F263" s="28" t="s">
        <v>1762</v>
      </c>
      <c r="G263" s="28" t="s">
        <v>1763</v>
      </c>
      <c r="H263" s="28" t="s">
        <v>1764</v>
      </c>
      <c r="I263" s="28" t="s">
        <v>1765</v>
      </c>
      <c r="J263" s="28" t="s">
        <v>92</v>
      </c>
      <c r="K263" s="28" t="s">
        <v>183</v>
      </c>
      <c r="L263" s="28" t="s">
        <v>183</v>
      </c>
      <c r="M263" s="28">
        <v>54405</v>
      </c>
      <c r="N263" s="29" t="s">
        <v>655</v>
      </c>
      <c r="O263" s="24">
        <f>VLOOKUP(A263,Hoja1!A:C,3,0)</f>
        <v>8</v>
      </c>
      <c r="P263" s="30" t="str">
        <f>VLOOKUP(M263,[1]TIPOLOGIAS!$A:$F,4,0)</f>
        <v>CUCUTA</v>
      </c>
      <c r="Q263" s="30" t="str">
        <f>VLOOKUP(P263,'BASE TARIFA 2025'!C:D,2,0)</f>
        <v>WOMPI SANTANDERES</v>
      </c>
      <c r="R263" s="31">
        <f>VLOOKUP(P263,'BASE TARIFA 2025'!C:F,4,0)</f>
        <v>28277.100000000002</v>
      </c>
    </row>
    <row r="264" spans="1:18" s="28" customFormat="1" ht="14.4" x14ac:dyDescent="0.3">
      <c r="A264" s="28">
        <v>71336</v>
      </c>
      <c r="B264" s="28" t="s">
        <v>1766</v>
      </c>
      <c r="C264" s="28">
        <v>91429851</v>
      </c>
      <c r="D264" s="28" t="s">
        <v>1767</v>
      </c>
      <c r="E264" s="28" t="s">
        <v>1767</v>
      </c>
      <c r="F264" s="28" t="s">
        <v>1767</v>
      </c>
      <c r="G264" s="28" t="s">
        <v>1768</v>
      </c>
      <c r="H264" s="28" t="s">
        <v>1769</v>
      </c>
      <c r="I264" s="28" t="s">
        <v>1770</v>
      </c>
      <c r="J264" s="28" t="s">
        <v>92</v>
      </c>
      <c r="K264" s="28" t="s">
        <v>183</v>
      </c>
      <c r="L264" s="28" t="s">
        <v>183</v>
      </c>
      <c r="M264" s="28">
        <v>54405</v>
      </c>
      <c r="N264" s="29" t="s">
        <v>744</v>
      </c>
      <c r="O264" s="24">
        <f>VLOOKUP(A264,Hoja1!A:C,3,0)</f>
        <v>16</v>
      </c>
      <c r="P264" s="30" t="str">
        <f>VLOOKUP(M264,[1]TIPOLOGIAS!$A:$F,4,0)</f>
        <v>CUCUTA</v>
      </c>
      <c r="Q264" s="30" t="str">
        <f>VLOOKUP(P264,'BASE TARIFA 2025'!C:D,2,0)</f>
        <v>WOMPI SANTANDERES</v>
      </c>
      <c r="R264" s="31">
        <f>VLOOKUP(P264,'BASE TARIFA 2025'!C:F,4,0)</f>
        <v>28277.100000000002</v>
      </c>
    </row>
    <row r="265" spans="1:18" s="28" customFormat="1" ht="14.4" x14ac:dyDescent="0.3">
      <c r="A265" s="28">
        <v>70841</v>
      </c>
      <c r="B265" s="28" t="s">
        <v>1771</v>
      </c>
      <c r="C265" s="28">
        <v>68296631</v>
      </c>
      <c r="D265" s="28" t="s">
        <v>1772</v>
      </c>
      <c r="E265" s="28" t="s">
        <v>1772</v>
      </c>
      <c r="F265" s="28" t="s">
        <v>1772</v>
      </c>
      <c r="G265" s="28" t="s">
        <v>1773</v>
      </c>
      <c r="H265" s="28" t="s">
        <v>1774</v>
      </c>
      <c r="I265" s="28" t="s">
        <v>1775</v>
      </c>
      <c r="J265" s="28" t="s">
        <v>92</v>
      </c>
      <c r="K265" s="28" t="s">
        <v>183</v>
      </c>
      <c r="L265" s="28" t="s">
        <v>183</v>
      </c>
      <c r="M265" s="28">
        <v>54405</v>
      </c>
      <c r="N265" s="29" t="s">
        <v>1012</v>
      </c>
      <c r="O265" s="24">
        <f>VLOOKUP(A265,Hoja1!A:C,3,0)</f>
        <v>8</v>
      </c>
      <c r="P265" s="30" t="str">
        <f>VLOOKUP(M265,[1]TIPOLOGIAS!$A:$F,4,0)</f>
        <v>CUCUTA</v>
      </c>
      <c r="Q265" s="30" t="str">
        <f>VLOOKUP(P265,'BASE TARIFA 2025'!C:D,2,0)</f>
        <v>WOMPI SANTANDERES</v>
      </c>
      <c r="R265" s="31">
        <f>VLOOKUP(P265,'BASE TARIFA 2025'!C:F,4,0)</f>
        <v>28277.100000000002</v>
      </c>
    </row>
    <row r="266" spans="1:18" s="28" customFormat="1" ht="14.4" x14ac:dyDescent="0.3">
      <c r="A266" s="28">
        <v>69176</v>
      </c>
      <c r="B266" s="28" t="s">
        <v>1776</v>
      </c>
      <c r="C266" s="28">
        <v>1090417626</v>
      </c>
      <c r="D266" s="28" t="s">
        <v>1777</v>
      </c>
      <c r="E266" s="28" t="s">
        <v>1777</v>
      </c>
      <c r="F266" s="28" t="s">
        <v>1778</v>
      </c>
      <c r="G266" s="28" t="s">
        <v>1779</v>
      </c>
      <c r="H266" s="28" t="s">
        <v>1780</v>
      </c>
      <c r="I266" s="28" t="s">
        <v>1781</v>
      </c>
      <c r="J266" s="28" t="s">
        <v>92</v>
      </c>
      <c r="K266" s="28" t="s">
        <v>183</v>
      </c>
      <c r="L266" s="28" t="s">
        <v>183</v>
      </c>
      <c r="M266" s="28">
        <v>54405</v>
      </c>
      <c r="N266" s="29" t="s">
        <v>536</v>
      </c>
      <c r="O266" s="24">
        <f>VLOOKUP(A266,Hoja1!A:C,3,0)</f>
        <v>8</v>
      </c>
      <c r="P266" s="30" t="str">
        <f>VLOOKUP(M266,[1]TIPOLOGIAS!$A:$F,4,0)</f>
        <v>CUCUTA</v>
      </c>
      <c r="Q266" s="30" t="str">
        <f>VLOOKUP(P266,'BASE TARIFA 2025'!C:D,2,0)</f>
        <v>WOMPI SANTANDERES</v>
      </c>
      <c r="R266" s="31">
        <f>VLOOKUP(P266,'BASE TARIFA 2025'!C:F,4,0)</f>
        <v>28277.100000000002</v>
      </c>
    </row>
    <row r="267" spans="1:18" s="28" customFormat="1" ht="14.4" x14ac:dyDescent="0.3">
      <c r="A267" s="28">
        <v>69231</v>
      </c>
      <c r="B267" s="28" t="s">
        <v>1782</v>
      </c>
      <c r="C267" s="28">
        <v>1090417626</v>
      </c>
      <c r="D267" s="28" t="s">
        <v>72</v>
      </c>
      <c r="E267" s="28" t="s">
        <v>1783</v>
      </c>
      <c r="F267" s="28" t="s">
        <v>1784</v>
      </c>
      <c r="G267" s="28" t="s">
        <v>1785</v>
      </c>
      <c r="H267" s="28" t="s">
        <v>1786</v>
      </c>
      <c r="I267" s="28" t="s">
        <v>1787</v>
      </c>
      <c r="J267" s="28" t="s">
        <v>89</v>
      </c>
      <c r="K267" s="28" t="s">
        <v>30</v>
      </c>
      <c r="L267" s="28" t="s">
        <v>30</v>
      </c>
      <c r="M267" s="28">
        <v>41001</v>
      </c>
      <c r="N267" s="29" t="s">
        <v>655</v>
      </c>
      <c r="O267" s="24">
        <f>VLOOKUP(A267,Hoja1!A:C,3,0)</f>
        <v>8</v>
      </c>
      <c r="P267" s="30" t="str">
        <f>VLOOKUP(M267,[1]TIPOLOGIAS!$A:$F,4,0)</f>
        <v>NEIVA</v>
      </c>
      <c r="Q267" s="30" t="str">
        <f>VLOOKUP(P267,'BASE TARIFA 2025'!C:D,2,0)</f>
        <v>WOMPI ORIENTE</v>
      </c>
      <c r="R267" s="31">
        <f>VLOOKUP(P267,'BASE TARIFA 2025'!C:F,4,0)</f>
        <v>28277.100000000002</v>
      </c>
    </row>
    <row r="268" spans="1:18" s="28" customFormat="1" ht="14.4" x14ac:dyDescent="0.3">
      <c r="A268" s="28">
        <v>69908</v>
      </c>
      <c r="B268" s="28" t="s">
        <v>1788</v>
      </c>
      <c r="C268" s="28">
        <v>88250291</v>
      </c>
      <c r="D268" s="28" t="s">
        <v>1789</v>
      </c>
      <c r="E268" s="28" t="s">
        <v>1790</v>
      </c>
      <c r="F268" s="28" t="s">
        <v>1790</v>
      </c>
      <c r="G268" s="28" t="s">
        <v>1791</v>
      </c>
      <c r="H268" s="28" t="s">
        <v>1792</v>
      </c>
      <c r="I268" s="28" t="s">
        <v>1793</v>
      </c>
      <c r="J268" s="28" t="s">
        <v>89</v>
      </c>
      <c r="K268" s="28" t="s">
        <v>30</v>
      </c>
      <c r="L268" s="28" t="s">
        <v>30</v>
      </c>
      <c r="M268" s="28">
        <v>41001</v>
      </c>
      <c r="N268" s="29" t="s">
        <v>655</v>
      </c>
      <c r="O268" s="24">
        <f>VLOOKUP(A268,Hoja1!A:C,3,0)</f>
        <v>8</v>
      </c>
      <c r="P268" s="30" t="str">
        <f>VLOOKUP(M268,[1]TIPOLOGIAS!$A:$F,4,0)</f>
        <v>NEIVA</v>
      </c>
      <c r="Q268" s="30" t="str">
        <f>VLOOKUP(P268,'BASE TARIFA 2025'!C:D,2,0)</f>
        <v>WOMPI ORIENTE</v>
      </c>
      <c r="R268" s="31">
        <f>VLOOKUP(P268,'BASE TARIFA 2025'!C:F,4,0)</f>
        <v>28277.100000000002</v>
      </c>
    </row>
    <row r="269" spans="1:18" s="28" customFormat="1" ht="14.4" x14ac:dyDescent="0.3">
      <c r="A269" s="28">
        <v>75085</v>
      </c>
      <c r="B269" s="28" t="s">
        <v>1794</v>
      </c>
      <c r="C269" s="28">
        <v>1084221711</v>
      </c>
      <c r="D269" s="28" t="s">
        <v>1795</v>
      </c>
      <c r="E269" s="28" t="s">
        <v>1796</v>
      </c>
      <c r="F269" s="28" t="s">
        <v>1797</v>
      </c>
      <c r="G269" s="28" t="s">
        <v>1798</v>
      </c>
      <c r="H269" s="28" t="s">
        <v>1799</v>
      </c>
      <c r="I269" s="28" t="s">
        <v>1800</v>
      </c>
      <c r="J269" s="28" t="s">
        <v>89</v>
      </c>
      <c r="K269" s="28" t="s">
        <v>30</v>
      </c>
      <c r="L269" s="28" t="s">
        <v>30</v>
      </c>
      <c r="M269" s="28">
        <v>41001</v>
      </c>
      <c r="N269" s="29" t="s">
        <v>655</v>
      </c>
      <c r="O269" s="24" t="e">
        <f>VLOOKUP(A269,Hoja1!A:C,3,0)</f>
        <v>#N/A</v>
      </c>
      <c r="P269" s="30" t="str">
        <f>VLOOKUP(M269,[1]TIPOLOGIAS!$A:$F,4,0)</f>
        <v>NEIVA</v>
      </c>
      <c r="Q269" s="30" t="str">
        <f>VLOOKUP(P269,'BASE TARIFA 2025'!C:D,2,0)</f>
        <v>WOMPI ORIENTE</v>
      </c>
      <c r="R269" s="31">
        <f>VLOOKUP(P269,'BASE TARIFA 2025'!C:F,4,0)</f>
        <v>28277.100000000002</v>
      </c>
    </row>
    <row r="270" spans="1:18" s="28" customFormat="1" ht="14.4" x14ac:dyDescent="0.3">
      <c r="A270" s="28">
        <v>42903</v>
      </c>
      <c r="B270" s="28" t="s">
        <v>1801</v>
      </c>
      <c r="C270" s="28">
        <v>901088792</v>
      </c>
      <c r="D270" s="28" t="s">
        <v>1802</v>
      </c>
      <c r="E270" s="28" t="s">
        <v>1803</v>
      </c>
      <c r="F270" s="28" t="s">
        <v>1803</v>
      </c>
      <c r="G270" s="28" t="s">
        <v>1804</v>
      </c>
      <c r="H270" s="28" t="s">
        <v>1805</v>
      </c>
      <c r="I270" s="28" t="s">
        <v>1806</v>
      </c>
      <c r="J270" s="28" t="s">
        <v>89</v>
      </c>
      <c r="K270" s="28" t="s">
        <v>30</v>
      </c>
      <c r="L270" s="28" t="s">
        <v>30</v>
      </c>
      <c r="M270" s="28">
        <v>41001</v>
      </c>
      <c r="N270" s="29" t="s">
        <v>655</v>
      </c>
      <c r="O270" s="24" t="e">
        <f>VLOOKUP(A270,Hoja1!A:C,3,0)</f>
        <v>#N/A</v>
      </c>
      <c r="P270" s="30" t="str">
        <f>VLOOKUP(M270,[1]TIPOLOGIAS!$A:$F,4,0)</f>
        <v>NEIVA</v>
      </c>
      <c r="Q270" s="30" t="str">
        <f>VLOOKUP(P270,'BASE TARIFA 2025'!C:D,2,0)</f>
        <v>WOMPI ORIENTE</v>
      </c>
      <c r="R270" s="31">
        <f>VLOOKUP(P270,'BASE TARIFA 2025'!C:F,4,0)</f>
        <v>28277.100000000002</v>
      </c>
    </row>
    <row r="271" spans="1:18" s="28" customFormat="1" ht="14.4" x14ac:dyDescent="0.3">
      <c r="A271" s="28">
        <v>33450</v>
      </c>
      <c r="B271" s="28" t="s">
        <v>1807</v>
      </c>
      <c r="C271" s="28">
        <v>1065853944</v>
      </c>
      <c r="D271" s="28" t="s">
        <v>1808</v>
      </c>
      <c r="E271" s="28" t="s">
        <v>1808</v>
      </c>
      <c r="G271" s="28" t="s">
        <v>1809</v>
      </c>
      <c r="H271" s="28" t="s">
        <v>1810</v>
      </c>
      <c r="I271" s="28" t="s">
        <v>1811</v>
      </c>
      <c r="J271" s="28" t="s">
        <v>92</v>
      </c>
      <c r="K271" s="28" t="s">
        <v>183</v>
      </c>
      <c r="L271" s="28" t="s">
        <v>183</v>
      </c>
      <c r="M271" s="28">
        <v>54405</v>
      </c>
      <c r="N271" s="29" t="s">
        <v>744</v>
      </c>
      <c r="O271" s="24" t="e">
        <f>VLOOKUP(A271,Hoja1!A:C,3,0)</f>
        <v>#N/A</v>
      </c>
      <c r="P271" s="30" t="str">
        <f>VLOOKUP(M271,[1]TIPOLOGIAS!$A:$F,4,0)</f>
        <v>CUCUTA</v>
      </c>
      <c r="Q271" s="30" t="str">
        <f>VLOOKUP(P271,'BASE TARIFA 2025'!C:D,2,0)</f>
        <v>WOMPI SANTANDERES</v>
      </c>
      <c r="R271" s="31">
        <f>VLOOKUP(P271,'BASE TARIFA 2025'!C:F,4,0)</f>
        <v>28277.100000000002</v>
      </c>
    </row>
    <row r="272" spans="1:18" s="28" customFormat="1" ht="14.4" x14ac:dyDescent="0.3">
      <c r="A272" s="28">
        <v>22633</v>
      </c>
      <c r="B272" s="28" t="s">
        <v>1812</v>
      </c>
      <c r="C272" s="28">
        <v>1052385991</v>
      </c>
      <c r="D272" s="28" t="s">
        <v>1813</v>
      </c>
      <c r="E272" s="28" t="s">
        <v>1814</v>
      </c>
      <c r="F272" s="28" t="s">
        <v>1814</v>
      </c>
      <c r="G272" s="28" t="s">
        <v>1815</v>
      </c>
      <c r="H272" s="28" t="s">
        <v>1816</v>
      </c>
      <c r="I272" s="28" t="s">
        <v>1817</v>
      </c>
      <c r="J272" s="28" t="s">
        <v>92</v>
      </c>
      <c r="K272" s="28" t="s">
        <v>183</v>
      </c>
      <c r="L272" s="28" t="s">
        <v>183</v>
      </c>
      <c r="M272" s="28">
        <v>54405</v>
      </c>
      <c r="N272" s="29" t="s">
        <v>1173</v>
      </c>
      <c r="O272" s="24" t="e">
        <f>VLOOKUP(A272,Hoja1!A:C,3,0)</f>
        <v>#N/A</v>
      </c>
      <c r="P272" s="30" t="str">
        <f>VLOOKUP(M272,[1]TIPOLOGIAS!$A:$F,4,0)</f>
        <v>CUCUTA</v>
      </c>
      <c r="Q272" s="30" t="str">
        <f>VLOOKUP(P272,'BASE TARIFA 2025'!C:D,2,0)</f>
        <v>WOMPI SANTANDERES</v>
      </c>
      <c r="R272" s="31">
        <f>VLOOKUP(P272,'BASE TARIFA 2025'!C:F,4,0)</f>
        <v>28277.100000000002</v>
      </c>
    </row>
    <row r="273" spans="1:18" s="28" customFormat="1" ht="14.4" x14ac:dyDescent="0.3">
      <c r="A273" s="28">
        <v>73272</v>
      </c>
      <c r="B273" s="28" t="s">
        <v>1818</v>
      </c>
      <c r="C273" s="28">
        <v>1057215949</v>
      </c>
      <c r="D273" s="28" t="s">
        <v>1819</v>
      </c>
      <c r="E273" s="28" t="s">
        <v>1820</v>
      </c>
      <c r="F273" s="28" t="s">
        <v>1820</v>
      </c>
      <c r="G273" s="28" t="s">
        <v>1821</v>
      </c>
      <c r="H273" s="28" t="s">
        <v>1822</v>
      </c>
      <c r="I273" s="28" t="s">
        <v>1823</v>
      </c>
      <c r="J273" s="28" t="s">
        <v>92</v>
      </c>
      <c r="K273" s="28" t="s">
        <v>183</v>
      </c>
      <c r="L273" s="28" t="s">
        <v>183</v>
      </c>
      <c r="M273" s="28">
        <v>54405</v>
      </c>
      <c r="N273" s="29" t="s">
        <v>589</v>
      </c>
      <c r="O273" s="24" t="e">
        <f>VLOOKUP(A273,Hoja1!A:C,3,0)</f>
        <v>#N/A</v>
      </c>
      <c r="P273" s="30" t="str">
        <f>VLOOKUP(M273,[1]TIPOLOGIAS!$A:$F,4,0)</f>
        <v>CUCUTA</v>
      </c>
      <c r="Q273" s="30" t="str">
        <f>VLOOKUP(P273,'BASE TARIFA 2025'!C:D,2,0)</f>
        <v>WOMPI SANTANDERES</v>
      </c>
      <c r="R273" s="31">
        <f>VLOOKUP(P273,'BASE TARIFA 2025'!C:F,4,0)</f>
        <v>28277.100000000002</v>
      </c>
    </row>
    <row r="274" spans="1:18" s="28" customFormat="1" ht="14.4" x14ac:dyDescent="0.3">
      <c r="A274" s="28">
        <v>76086</v>
      </c>
      <c r="B274" s="28" t="s">
        <v>1824</v>
      </c>
      <c r="C274" s="28">
        <v>1054095799</v>
      </c>
      <c r="D274" s="28" t="s">
        <v>1825</v>
      </c>
      <c r="E274" s="28" t="s">
        <v>1825</v>
      </c>
      <c r="F274" s="28" t="s">
        <v>1825</v>
      </c>
      <c r="G274" s="28" t="s">
        <v>1826</v>
      </c>
      <c r="H274" s="28" t="s">
        <v>1827</v>
      </c>
      <c r="I274" s="28" t="s">
        <v>1828</v>
      </c>
      <c r="J274" s="28" t="s">
        <v>92</v>
      </c>
      <c r="K274" s="28" t="s">
        <v>183</v>
      </c>
      <c r="L274" s="28" t="s">
        <v>183</v>
      </c>
      <c r="M274" s="28">
        <v>54405</v>
      </c>
      <c r="N274" s="29" t="s">
        <v>744</v>
      </c>
      <c r="O274" s="24" t="e">
        <f>VLOOKUP(A274,Hoja1!A:C,3,0)</f>
        <v>#N/A</v>
      </c>
      <c r="P274" s="30" t="str">
        <f>VLOOKUP(M274,[1]TIPOLOGIAS!$A:$F,4,0)</f>
        <v>CUCUTA</v>
      </c>
      <c r="Q274" s="30" t="str">
        <f>VLOOKUP(P274,'BASE TARIFA 2025'!C:D,2,0)</f>
        <v>WOMPI SANTANDERES</v>
      </c>
      <c r="R274" s="31">
        <f>VLOOKUP(P274,'BASE TARIFA 2025'!C:F,4,0)</f>
        <v>28277.100000000002</v>
      </c>
    </row>
    <row r="275" spans="1:18" s="28" customFormat="1" ht="14.4" x14ac:dyDescent="0.3">
      <c r="A275" s="28">
        <v>78071</v>
      </c>
      <c r="B275" s="28" t="s">
        <v>1829</v>
      </c>
      <c r="C275" s="28">
        <v>79976498</v>
      </c>
      <c r="D275" s="28" t="s">
        <v>1825</v>
      </c>
      <c r="E275" s="28" t="s">
        <v>1825</v>
      </c>
      <c r="F275" s="28" t="s">
        <v>1825</v>
      </c>
      <c r="G275" s="28" t="s">
        <v>1830</v>
      </c>
      <c r="H275" s="28" t="s">
        <v>1831</v>
      </c>
      <c r="I275" s="28" t="s">
        <v>1832</v>
      </c>
      <c r="J275" s="28" t="s">
        <v>92</v>
      </c>
      <c r="K275" s="28" t="s">
        <v>183</v>
      </c>
      <c r="L275" s="28" t="s">
        <v>183</v>
      </c>
      <c r="M275" s="28">
        <v>54405</v>
      </c>
      <c r="N275" s="29" t="s">
        <v>744</v>
      </c>
      <c r="O275" s="24" t="e">
        <f>VLOOKUP(A275,Hoja1!A:C,3,0)</f>
        <v>#N/A</v>
      </c>
      <c r="P275" s="30" t="str">
        <f>VLOOKUP(M275,[1]TIPOLOGIAS!$A:$F,4,0)</f>
        <v>CUCUTA</v>
      </c>
      <c r="Q275" s="30" t="str">
        <f>VLOOKUP(P275,'BASE TARIFA 2025'!C:D,2,0)</f>
        <v>WOMPI SANTANDERES</v>
      </c>
      <c r="R275" s="31">
        <f>VLOOKUP(P275,'BASE TARIFA 2025'!C:F,4,0)</f>
        <v>28277.100000000002</v>
      </c>
    </row>
    <row r="276" spans="1:18" s="28" customFormat="1" ht="14.4" x14ac:dyDescent="0.3">
      <c r="A276" s="28">
        <v>33823</v>
      </c>
      <c r="B276" s="28" t="s">
        <v>1833</v>
      </c>
      <c r="C276" s="28">
        <v>890807047</v>
      </c>
      <c r="D276" s="28" t="s">
        <v>1825</v>
      </c>
      <c r="E276" s="28" t="s">
        <v>1825</v>
      </c>
      <c r="F276" s="28" t="s">
        <v>1825</v>
      </c>
      <c r="G276" s="28" t="s">
        <v>1834</v>
      </c>
      <c r="H276" s="28" t="s">
        <v>1835</v>
      </c>
      <c r="I276" s="28" t="s">
        <v>1836</v>
      </c>
      <c r="J276" s="28" t="s">
        <v>92</v>
      </c>
      <c r="K276" s="28" t="s">
        <v>183</v>
      </c>
      <c r="L276" s="28" t="s">
        <v>183</v>
      </c>
      <c r="M276" s="28">
        <v>54405</v>
      </c>
      <c r="N276" s="29" t="s">
        <v>638</v>
      </c>
      <c r="O276" s="24" t="e">
        <f>VLOOKUP(A276,Hoja1!A:C,3,0)</f>
        <v>#N/A</v>
      </c>
      <c r="P276" s="30" t="str">
        <f>VLOOKUP(M276,[1]TIPOLOGIAS!$A:$F,4,0)</f>
        <v>CUCUTA</v>
      </c>
      <c r="Q276" s="30" t="str">
        <f>VLOOKUP(P276,'BASE TARIFA 2025'!C:D,2,0)</f>
        <v>WOMPI SANTANDERES</v>
      </c>
      <c r="R276" s="31">
        <f>VLOOKUP(P276,'BASE TARIFA 2025'!C:F,4,0)</f>
        <v>28277.100000000002</v>
      </c>
    </row>
    <row r="277" spans="1:18" s="28" customFormat="1" ht="14.4" x14ac:dyDescent="0.3">
      <c r="A277" s="28">
        <v>33112</v>
      </c>
      <c r="B277" s="28" t="s">
        <v>1837</v>
      </c>
      <c r="C277" s="28">
        <v>890807047</v>
      </c>
      <c r="D277" s="28" t="s">
        <v>1825</v>
      </c>
      <c r="E277" s="28" t="s">
        <v>1825</v>
      </c>
      <c r="F277" s="28" t="s">
        <v>1838</v>
      </c>
      <c r="G277" s="28" t="s">
        <v>1839</v>
      </c>
      <c r="H277" s="28" t="s">
        <v>1840</v>
      </c>
      <c r="I277" s="28" t="s">
        <v>1841</v>
      </c>
      <c r="J277" s="28" t="s">
        <v>92</v>
      </c>
      <c r="K277" s="28" t="s">
        <v>183</v>
      </c>
      <c r="L277" s="28" t="s">
        <v>183</v>
      </c>
      <c r="M277" s="28">
        <v>54405</v>
      </c>
      <c r="N277" s="29" t="s">
        <v>744</v>
      </c>
      <c r="O277" s="24" t="e">
        <f>VLOOKUP(A277,Hoja1!A:C,3,0)</f>
        <v>#N/A</v>
      </c>
      <c r="P277" s="30" t="str">
        <f>VLOOKUP(M277,[1]TIPOLOGIAS!$A:$F,4,0)</f>
        <v>CUCUTA</v>
      </c>
      <c r="Q277" s="30" t="str">
        <f>VLOOKUP(P277,'BASE TARIFA 2025'!C:D,2,0)</f>
        <v>WOMPI SANTANDERES</v>
      </c>
      <c r="R277" s="31">
        <f>VLOOKUP(P277,'BASE TARIFA 2025'!C:F,4,0)</f>
        <v>28277.100000000002</v>
      </c>
    </row>
    <row r="278" spans="1:18" s="28" customFormat="1" ht="14.4" x14ac:dyDescent="0.3">
      <c r="A278" s="28">
        <v>42416</v>
      </c>
      <c r="B278" s="28" t="s">
        <v>1842</v>
      </c>
      <c r="C278" s="28">
        <v>890306372</v>
      </c>
      <c r="D278" s="28" t="s">
        <v>69</v>
      </c>
      <c r="E278" s="28" t="s">
        <v>1843</v>
      </c>
      <c r="F278" s="28" t="s">
        <v>1843</v>
      </c>
      <c r="G278" s="28" t="s">
        <v>1844</v>
      </c>
      <c r="H278" s="28" t="s">
        <v>1845</v>
      </c>
      <c r="I278" s="28" t="s">
        <v>1846</v>
      </c>
      <c r="J278" s="28" t="s">
        <v>92</v>
      </c>
      <c r="K278" s="28" t="s">
        <v>183</v>
      </c>
      <c r="L278" s="28" t="s">
        <v>183</v>
      </c>
      <c r="M278" s="28">
        <v>54405</v>
      </c>
      <c r="N278" s="29" t="s">
        <v>655</v>
      </c>
      <c r="O278" s="24" t="e">
        <f>VLOOKUP(A278,Hoja1!A:C,3,0)</f>
        <v>#N/A</v>
      </c>
      <c r="P278" s="30" t="str">
        <f>VLOOKUP(M278,[1]TIPOLOGIAS!$A:$F,4,0)</f>
        <v>CUCUTA</v>
      </c>
      <c r="Q278" s="30" t="str">
        <f>VLOOKUP(P278,'BASE TARIFA 2025'!C:D,2,0)</f>
        <v>WOMPI SANTANDERES</v>
      </c>
      <c r="R278" s="31">
        <f>VLOOKUP(P278,'BASE TARIFA 2025'!C:F,4,0)</f>
        <v>28277.100000000002</v>
      </c>
    </row>
    <row r="279" spans="1:18" s="28" customFormat="1" ht="14.4" x14ac:dyDescent="0.3">
      <c r="A279" s="28">
        <v>67374</v>
      </c>
      <c r="B279" s="28" t="s">
        <v>1847</v>
      </c>
      <c r="C279" s="28">
        <v>37327907</v>
      </c>
      <c r="D279" s="28" t="s">
        <v>69</v>
      </c>
      <c r="E279" s="28" t="s">
        <v>1848</v>
      </c>
      <c r="F279" s="28" t="s">
        <v>1848</v>
      </c>
      <c r="G279" s="28" t="s">
        <v>1849</v>
      </c>
      <c r="H279" s="28" t="s">
        <v>1850</v>
      </c>
      <c r="I279" s="28" t="s">
        <v>1851</v>
      </c>
      <c r="J279" s="28" t="s">
        <v>92</v>
      </c>
      <c r="K279" s="28" t="s">
        <v>183</v>
      </c>
      <c r="L279" s="28" t="s">
        <v>183</v>
      </c>
      <c r="M279" s="28">
        <v>54405</v>
      </c>
      <c r="N279" s="29" t="s">
        <v>655</v>
      </c>
      <c r="O279" s="24">
        <f>VLOOKUP(A279,Hoja1!A:C,3,0)</f>
        <v>8</v>
      </c>
      <c r="P279" s="30" t="str">
        <f>VLOOKUP(M279,[1]TIPOLOGIAS!$A:$F,4,0)</f>
        <v>CUCUTA</v>
      </c>
      <c r="Q279" s="30" t="str">
        <f>VLOOKUP(P279,'BASE TARIFA 2025'!C:D,2,0)</f>
        <v>WOMPI SANTANDERES</v>
      </c>
      <c r="R279" s="31">
        <f>VLOOKUP(P279,'BASE TARIFA 2025'!C:F,4,0)</f>
        <v>28277.100000000002</v>
      </c>
    </row>
    <row r="280" spans="1:18" s="28" customFormat="1" ht="14.4" x14ac:dyDescent="0.3">
      <c r="A280" s="28">
        <v>15400</v>
      </c>
      <c r="B280" s="28" t="s">
        <v>1852</v>
      </c>
      <c r="C280" s="28">
        <v>70546407</v>
      </c>
      <c r="D280" s="28" t="s">
        <v>69</v>
      </c>
      <c r="E280" s="28" t="s">
        <v>1853</v>
      </c>
      <c r="F280" s="28" t="s">
        <v>1853</v>
      </c>
      <c r="G280" s="28" t="s">
        <v>1854</v>
      </c>
      <c r="H280" s="28" t="s">
        <v>1855</v>
      </c>
      <c r="I280" s="28" t="s">
        <v>1856</v>
      </c>
      <c r="J280" s="28" t="s">
        <v>92</v>
      </c>
      <c r="K280" s="28" t="s">
        <v>183</v>
      </c>
      <c r="L280" s="28" t="s">
        <v>183</v>
      </c>
      <c r="M280" s="28">
        <v>54405</v>
      </c>
      <c r="N280" s="29" t="s">
        <v>589</v>
      </c>
      <c r="O280" s="24">
        <f>VLOOKUP(A280,Hoja1!A:C,3,0)</f>
        <v>8</v>
      </c>
      <c r="P280" s="30" t="str">
        <f>VLOOKUP(M280,[1]TIPOLOGIAS!$A:$F,4,0)</f>
        <v>CUCUTA</v>
      </c>
      <c r="Q280" s="30" t="str">
        <f>VLOOKUP(P280,'BASE TARIFA 2025'!C:D,2,0)</f>
        <v>WOMPI SANTANDERES</v>
      </c>
      <c r="R280" s="31">
        <f>VLOOKUP(P280,'BASE TARIFA 2025'!C:F,4,0)</f>
        <v>28277.100000000002</v>
      </c>
    </row>
    <row r="281" spans="1:18" s="28" customFormat="1" ht="14.4" x14ac:dyDescent="0.3">
      <c r="A281" s="28">
        <v>80015</v>
      </c>
      <c r="B281" s="28" t="s">
        <v>1857</v>
      </c>
      <c r="C281" s="28">
        <v>17641131</v>
      </c>
      <c r="D281" s="28" t="s">
        <v>69</v>
      </c>
      <c r="E281" s="28" t="s">
        <v>1858</v>
      </c>
      <c r="F281" s="28" t="s">
        <v>1858</v>
      </c>
      <c r="G281" s="28" t="s">
        <v>1859</v>
      </c>
      <c r="H281" s="28" t="s">
        <v>1860</v>
      </c>
      <c r="I281" s="28" t="s">
        <v>1861</v>
      </c>
      <c r="J281" s="28" t="s">
        <v>92</v>
      </c>
      <c r="K281" s="28" t="s">
        <v>183</v>
      </c>
      <c r="L281" s="28" t="s">
        <v>183</v>
      </c>
      <c r="M281" s="28">
        <v>54405</v>
      </c>
      <c r="N281" s="29" t="s">
        <v>638</v>
      </c>
      <c r="O281" s="24">
        <f>VLOOKUP(A281,Hoja1!A:C,3,0)</f>
        <v>8</v>
      </c>
      <c r="P281" s="30" t="str">
        <f>VLOOKUP(M281,[1]TIPOLOGIAS!$A:$F,4,0)</f>
        <v>CUCUTA</v>
      </c>
      <c r="Q281" s="30" t="str">
        <f>VLOOKUP(P281,'BASE TARIFA 2025'!C:D,2,0)</f>
        <v>WOMPI SANTANDERES</v>
      </c>
      <c r="R281" s="31">
        <f>VLOOKUP(P281,'BASE TARIFA 2025'!C:F,4,0)</f>
        <v>28277.100000000002</v>
      </c>
    </row>
    <row r="282" spans="1:18" s="28" customFormat="1" ht="14.4" x14ac:dyDescent="0.3">
      <c r="A282" s="28">
        <v>63373</v>
      </c>
      <c r="B282" s="28" t="s">
        <v>1862</v>
      </c>
      <c r="C282" s="28">
        <v>37273830</v>
      </c>
      <c r="D282" s="28" t="s">
        <v>69</v>
      </c>
      <c r="E282" s="28" t="s">
        <v>1863</v>
      </c>
      <c r="F282" s="28" t="s">
        <v>1863</v>
      </c>
      <c r="G282" s="28" t="s">
        <v>1864</v>
      </c>
      <c r="H282" s="28" t="s">
        <v>1865</v>
      </c>
      <c r="I282" s="28" t="s">
        <v>1866</v>
      </c>
      <c r="J282" s="28" t="s">
        <v>92</v>
      </c>
      <c r="K282" s="28" t="s">
        <v>183</v>
      </c>
      <c r="L282" s="28" t="s">
        <v>183</v>
      </c>
      <c r="M282" s="28">
        <v>54405</v>
      </c>
      <c r="N282" s="29" t="s">
        <v>638</v>
      </c>
      <c r="O282" s="24">
        <f>VLOOKUP(A282,Hoja1!A:C,3,0)</f>
        <v>8</v>
      </c>
      <c r="P282" s="30" t="str">
        <f>VLOOKUP(M282,[1]TIPOLOGIAS!$A:$F,4,0)</f>
        <v>CUCUTA</v>
      </c>
      <c r="Q282" s="30" t="str">
        <f>VLOOKUP(P282,'BASE TARIFA 2025'!C:D,2,0)</f>
        <v>WOMPI SANTANDERES</v>
      </c>
      <c r="R282" s="31">
        <f>VLOOKUP(P282,'BASE TARIFA 2025'!C:F,4,0)</f>
        <v>28277.100000000002</v>
      </c>
    </row>
    <row r="283" spans="1:18" s="28" customFormat="1" ht="14.4" x14ac:dyDescent="0.3">
      <c r="A283" s="28">
        <v>63458</v>
      </c>
      <c r="B283" s="28" t="s">
        <v>1867</v>
      </c>
      <c r="C283" s="28">
        <v>60402106</v>
      </c>
      <c r="D283" s="28" t="s">
        <v>69</v>
      </c>
      <c r="E283" s="28" t="s">
        <v>69</v>
      </c>
      <c r="F283" s="28" t="s">
        <v>1838</v>
      </c>
      <c r="G283" s="28" t="s">
        <v>1868</v>
      </c>
      <c r="H283" s="28" t="s">
        <v>1869</v>
      </c>
      <c r="I283" s="28" t="s">
        <v>1870</v>
      </c>
      <c r="J283" s="28" t="s">
        <v>92</v>
      </c>
      <c r="K283" s="28" t="s">
        <v>183</v>
      </c>
      <c r="L283" s="28" t="s">
        <v>183</v>
      </c>
      <c r="M283" s="28">
        <v>54405</v>
      </c>
      <c r="N283" s="29" t="s">
        <v>589</v>
      </c>
      <c r="O283" s="24">
        <f>VLOOKUP(A283,Hoja1!A:C,3,0)</f>
        <v>16</v>
      </c>
      <c r="P283" s="30" t="str">
        <f>VLOOKUP(M283,[1]TIPOLOGIAS!$A:$F,4,0)</f>
        <v>CUCUTA</v>
      </c>
      <c r="Q283" s="30" t="str">
        <f>VLOOKUP(P283,'BASE TARIFA 2025'!C:D,2,0)</f>
        <v>WOMPI SANTANDERES</v>
      </c>
      <c r="R283" s="31">
        <f>VLOOKUP(P283,'BASE TARIFA 2025'!C:F,4,0)</f>
        <v>28277.100000000002</v>
      </c>
    </row>
    <row r="284" spans="1:18" s="28" customFormat="1" ht="14.4" x14ac:dyDescent="0.3">
      <c r="A284" s="28">
        <v>60852</v>
      </c>
      <c r="B284" s="28" t="s">
        <v>1871</v>
      </c>
      <c r="C284" s="28">
        <v>901309622</v>
      </c>
      <c r="D284" s="28" t="s">
        <v>1872</v>
      </c>
      <c r="E284" s="28" t="s">
        <v>1873</v>
      </c>
      <c r="F284" s="28" t="s">
        <v>1873</v>
      </c>
      <c r="G284" s="28" t="s">
        <v>1874</v>
      </c>
      <c r="H284" s="28" t="s">
        <v>1875</v>
      </c>
      <c r="I284" s="28" t="s">
        <v>1876</v>
      </c>
      <c r="J284" s="28" t="s">
        <v>92</v>
      </c>
      <c r="K284" s="28" t="s">
        <v>183</v>
      </c>
      <c r="L284" s="28" t="s">
        <v>183</v>
      </c>
      <c r="M284" s="28">
        <v>54405</v>
      </c>
      <c r="N284" s="29" t="s">
        <v>655</v>
      </c>
      <c r="O284" s="24">
        <f>VLOOKUP(A284,Hoja1!A:C,3,0)</f>
        <v>8</v>
      </c>
      <c r="P284" s="30" t="str">
        <f>VLOOKUP(M284,[1]TIPOLOGIAS!$A:$F,4,0)</f>
        <v>CUCUTA</v>
      </c>
      <c r="Q284" s="30" t="str">
        <f>VLOOKUP(P284,'BASE TARIFA 2025'!C:D,2,0)</f>
        <v>WOMPI SANTANDERES</v>
      </c>
      <c r="R284" s="31">
        <f>VLOOKUP(P284,'BASE TARIFA 2025'!C:F,4,0)</f>
        <v>28277.100000000002</v>
      </c>
    </row>
    <row r="285" spans="1:18" s="28" customFormat="1" ht="14.4" x14ac:dyDescent="0.3">
      <c r="A285" s="28">
        <v>60853</v>
      </c>
      <c r="B285" s="28" t="s">
        <v>1877</v>
      </c>
      <c r="C285" s="28">
        <v>901309622</v>
      </c>
      <c r="D285" s="28" t="s">
        <v>1878</v>
      </c>
      <c r="E285" s="28" t="s">
        <v>1879</v>
      </c>
      <c r="F285" s="28" t="s">
        <v>1879</v>
      </c>
      <c r="G285" s="28" t="s">
        <v>1880</v>
      </c>
      <c r="H285" s="28" t="s">
        <v>1881</v>
      </c>
      <c r="I285" s="28" t="s">
        <v>1882</v>
      </c>
      <c r="J285" s="28" t="s">
        <v>92</v>
      </c>
      <c r="K285" s="28" t="s">
        <v>183</v>
      </c>
      <c r="L285" s="28" t="s">
        <v>183</v>
      </c>
      <c r="M285" s="28">
        <v>54405</v>
      </c>
      <c r="N285" s="29" t="s">
        <v>638</v>
      </c>
      <c r="O285" s="24">
        <f>VLOOKUP(A285,Hoja1!A:C,3,0)</f>
        <v>8</v>
      </c>
      <c r="P285" s="30" t="str">
        <f>VLOOKUP(M285,[1]TIPOLOGIAS!$A:$F,4,0)</f>
        <v>CUCUTA</v>
      </c>
      <c r="Q285" s="30" t="str">
        <f>VLOOKUP(P285,'BASE TARIFA 2025'!C:D,2,0)</f>
        <v>WOMPI SANTANDERES</v>
      </c>
      <c r="R285" s="31">
        <f>VLOOKUP(P285,'BASE TARIFA 2025'!C:F,4,0)</f>
        <v>28277.100000000002</v>
      </c>
    </row>
    <row r="286" spans="1:18" s="28" customFormat="1" ht="14.4" x14ac:dyDescent="0.3">
      <c r="A286" s="28">
        <v>62336</v>
      </c>
      <c r="B286" s="28" t="s">
        <v>1883</v>
      </c>
      <c r="C286" s="28">
        <v>1093784505</v>
      </c>
      <c r="D286" s="28" t="s">
        <v>1884</v>
      </c>
      <c r="E286" s="28" t="s">
        <v>1885</v>
      </c>
      <c r="F286" s="28" t="s">
        <v>1885</v>
      </c>
      <c r="G286" s="28" t="s">
        <v>1886</v>
      </c>
      <c r="H286" s="28" t="s">
        <v>1887</v>
      </c>
      <c r="I286" s="28" t="s">
        <v>1888</v>
      </c>
      <c r="J286" s="28" t="s">
        <v>76</v>
      </c>
      <c r="K286" s="28" t="s">
        <v>1889</v>
      </c>
      <c r="L286" s="28" t="s">
        <v>1889</v>
      </c>
      <c r="M286" s="28">
        <v>50350</v>
      </c>
      <c r="N286" s="29" t="s">
        <v>655</v>
      </c>
      <c r="O286" s="24">
        <f>VLOOKUP(A286,Hoja1!A:C,3,0)</f>
        <v>8</v>
      </c>
      <c r="P286" s="30" t="str">
        <f>VLOOKUP(M286,[1]TIPOLOGIAS!$A:$F,4,0)</f>
        <v>VILLAVICENCIO</v>
      </c>
      <c r="Q286" s="30" t="str">
        <f>VLOOKUP(P286,'BASE TARIFA 2025'!C:D,2,0)</f>
        <v>WOMPI ORIENTE</v>
      </c>
      <c r="R286" s="31">
        <f>VLOOKUP(P286,'BASE TARIFA 2025'!C:F,4,0)</f>
        <v>28277.100000000002</v>
      </c>
    </row>
    <row r="287" spans="1:18" s="28" customFormat="1" ht="14.4" x14ac:dyDescent="0.3">
      <c r="A287" s="28">
        <v>61168</v>
      </c>
      <c r="B287" s="28" t="s">
        <v>1890</v>
      </c>
      <c r="C287" s="28">
        <v>900469704</v>
      </c>
      <c r="D287" s="28" t="s">
        <v>1891</v>
      </c>
      <c r="E287" s="28" t="s">
        <v>1892</v>
      </c>
      <c r="F287" s="28" t="s">
        <v>1892</v>
      </c>
      <c r="G287" s="28" t="s">
        <v>1893</v>
      </c>
      <c r="H287" s="28" t="s">
        <v>1894</v>
      </c>
      <c r="I287" s="28" t="s">
        <v>1895</v>
      </c>
      <c r="J287" s="28" t="s">
        <v>76</v>
      </c>
      <c r="K287" s="28" t="s">
        <v>1889</v>
      </c>
      <c r="L287" s="28" t="s">
        <v>1889</v>
      </c>
      <c r="M287" s="28">
        <v>50350</v>
      </c>
      <c r="N287" s="29" t="s">
        <v>1159</v>
      </c>
      <c r="O287" s="24">
        <f>VLOOKUP(A287,Hoja1!A:C,3,0)</f>
        <v>8</v>
      </c>
      <c r="P287" s="30" t="str">
        <f>VLOOKUP(M287,[1]TIPOLOGIAS!$A:$F,4,0)</f>
        <v>VILLAVICENCIO</v>
      </c>
      <c r="Q287" s="30" t="str">
        <f>VLOOKUP(P287,'BASE TARIFA 2025'!C:D,2,0)</f>
        <v>WOMPI ORIENTE</v>
      </c>
      <c r="R287" s="31">
        <f>VLOOKUP(P287,'BASE TARIFA 2025'!C:F,4,0)</f>
        <v>28277.100000000002</v>
      </c>
    </row>
    <row r="288" spans="1:18" s="28" customFormat="1" ht="14.4" x14ac:dyDescent="0.3">
      <c r="A288" s="28">
        <v>10276</v>
      </c>
      <c r="B288" s="28" t="s">
        <v>1896</v>
      </c>
      <c r="C288" s="28">
        <v>70165770</v>
      </c>
      <c r="D288" s="28" t="s">
        <v>1897</v>
      </c>
      <c r="E288" s="28" t="s">
        <v>1898</v>
      </c>
      <c r="F288" s="28" t="s">
        <v>1899</v>
      </c>
      <c r="G288" s="28" t="s">
        <v>1900</v>
      </c>
      <c r="H288" s="28" t="s">
        <v>1901</v>
      </c>
      <c r="I288" s="28" t="s">
        <v>1902</v>
      </c>
      <c r="J288" s="28" t="s">
        <v>76</v>
      </c>
      <c r="K288" s="28" t="s">
        <v>1889</v>
      </c>
      <c r="L288" s="28" t="s">
        <v>1889</v>
      </c>
      <c r="M288" s="28">
        <v>50350</v>
      </c>
      <c r="N288" s="29" t="s">
        <v>1173</v>
      </c>
      <c r="O288" s="24">
        <f>VLOOKUP(A288,Hoja1!A:C,3,0)</f>
        <v>16</v>
      </c>
      <c r="P288" s="30" t="str">
        <f>VLOOKUP(M288,[1]TIPOLOGIAS!$A:$F,4,0)</f>
        <v>VILLAVICENCIO</v>
      </c>
      <c r="Q288" s="30" t="str">
        <f>VLOOKUP(P288,'BASE TARIFA 2025'!C:D,2,0)</f>
        <v>WOMPI ORIENTE</v>
      </c>
      <c r="R288" s="31">
        <f>VLOOKUP(P288,'BASE TARIFA 2025'!C:F,4,0)</f>
        <v>28277.100000000002</v>
      </c>
    </row>
    <row r="289" spans="1:18" s="28" customFormat="1" ht="14.4" x14ac:dyDescent="0.3">
      <c r="A289" s="28">
        <v>13893</v>
      </c>
      <c r="B289" s="28" t="s">
        <v>1903</v>
      </c>
      <c r="C289" s="28">
        <v>43543460</v>
      </c>
      <c r="D289" s="28" t="s">
        <v>1897</v>
      </c>
      <c r="E289" s="28" t="s">
        <v>1898</v>
      </c>
      <c r="F289" s="28" t="s">
        <v>1899</v>
      </c>
      <c r="G289" s="28" t="s">
        <v>1904</v>
      </c>
      <c r="H289" s="28" t="s">
        <v>1905</v>
      </c>
      <c r="I289" s="28" t="s">
        <v>1906</v>
      </c>
      <c r="J289" s="28" t="s">
        <v>76</v>
      </c>
      <c r="K289" s="28" t="s">
        <v>1889</v>
      </c>
      <c r="L289" s="28" t="s">
        <v>1889</v>
      </c>
      <c r="M289" s="28">
        <v>50350</v>
      </c>
      <c r="N289" s="29" t="s">
        <v>1173</v>
      </c>
      <c r="O289" s="24">
        <f>VLOOKUP(A289,Hoja1!A:C,3,0)</f>
        <v>8</v>
      </c>
      <c r="P289" s="30" t="str">
        <f>VLOOKUP(M289,[1]TIPOLOGIAS!$A:$F,4,0)</f>
        <v>VILLAVICENCIO</v>
      </c>
      <c r="Q289" s="30" t="str">
        <f>VLOOKUP(P289,'BASE TARIFA 2025'!C:D,2,0)</f>
        <v>WOMPI ORIENTE</v>
      </c>
      <c r="R289" s="31">
        <f>VLOOKUP(P289,'BASE TARIFA 2025'!C:F,4,0)</f>
        <v>28277.100000000002</v>
      </c>
    </row>
    <row r="290" spans="1:18" s="28" customFormat="1" ht="14.4" x14ac:dyDescent="0.3">
      <c r="A290" s="28">
        <v>79675</v>
      </c>
      <c r="B290" s="28" t="s">
        <v>1907</v>
      </c>
      <c r="C290" s="28">
        <v>43988468</v>
      </c>
      <c r="E290" s="28" t="s">
        <v>1908</v>
      </c>
      <c r="F290" s="28" t="s">
        <v>1908</v>
      </c>
      <c r="G290" s="28" t="s">
        <v>1909</v>
      </c>
      <c r="H290" s="28" t="s">
        <v>1910</v>
      </c>
      <c r="I290" s="28" t="s">
        <v>1911</v>
      </c>
      <c r="J290" s="28" t="s">
        <v>76</v>
      </c>
      <c r="K290" s="28" t="s">
        <v>1889</v>
      </c>
      <c r="L290" s="28" t="s">
        <v>1889</v>
      </c>
      <c r="M290" s="28">
        <v>50350</v>
      </c>
      <c r="N290" s="29" t="s">
        <v>1173</v>
      </c>
      <c r="O290" s="24">
        <f>VLOOKUP(A290,Hoja1!A:C,3,0)</f>
        <v>8</v>
      </c>
      <c r="P290" s="30" t="str">
        <f>VLOOKUP(M290,[1]TIPOLOGIAS!$A:$F,4,0)</f>
        <v>VILLAVICENCIO</v>
      </c>
      <c r="Q290" s="30" t="str">
        <f>VLOOKUP(P290,'BASE TARIFA 2025'!C:D,2,0)</f>
        <v>WOMPI ORIENTE</v>
      </c>
      <c r="R290" s="31">
        <f>VLOOKUP(P290,'BASE TARIFA 2025'!C:F,4,0)</f>
        <v>28277.100000000002</v>
      </c>
    </row>
    <row r="291" spans="1:18" s="28" customFormat="1" ht="14.4" x14ac:dyDescent="0.3">
      <c r="A291" s="28">
        <v>59849</v>
      </c>
      <c r="B291" s="28" t="s">
        <v>1912</v>
      </c>
      <c r="C291" s="28">
        <v>1010108311</v>
      </c>
      <c r="D291" s="28" t="s">
        <v>69</v>
      </c>
      <c r="E291" s="28" t="s">
        <v>1913</v>
      </c>
      <c r="F291" s="28" t="s">
        <v>1913</v>
      </c>
      <c r="G291" s="28" t="s">
        <v>1914</v>
      </c>
      <c r="H291" s="28" t="s">
        <v>1915</v>
      </c>
      <c r="I291" s="28" t="s">
        <v>1916</v>
      </c>
      <c r="J291" s="28" t="s">
        <v>76</v>
      </c>
      <c r="K291" s="28" t="s">
        <v>1889</v>
      </c>
      <c r="L291" s="28" t="s">
        <v>1889</v>
      </c>
      <c r="M291" s="28">
        <v>50350</v>
      </c>
      <c r="N291" s="29" t="s">
        <v>655</v>
      </c>
      <c r="O291" s="24">
        <f>VLOOKUP(A291,Hoja1!A:C,3,0)</f>
        <v>8</v>
      </c>
      <c r="P291" s="30" t="str">
        <f>VLOOKUP(M291,[1]TIPOLOGIAS!$A:$F,4,0)</f>
        <v>VILLAVICENCIO</v>
      </c>
      <c r="Q291" s="30" t="str">
        <f>VLOOKUP(P291,'BASE TARIFA 2025'!C:D,2,0)</f>
        <v>WOMPI ORIENTE</v>
      </c>
      <c r="R291" s="31">
        <f>VLOOKUP(P291,'BASE TARIFA 2025'!C:F,4,0)</f>
        <v>28277.100000000002</v>
      </c>
    </row>
    <row r="292" spans="1:18" s="28" customFormat="1" ht="14.4" x14ac:dyDescent="0.3">
      <c r="A292" s="28">
        <v>61055</v>
      </c>
      <c r="B292" s="28" t="s">
        <v>1917</v>
      </c>
      <c r="C292" s="28">
        <v>901302092</v>
      </c>
      <c r="D292" s="28" t="s">
        <v>69</v>
      </c>
      <c r="E292" s="28" t="s">
        <v>1918</v>
      </c>
      <c r="F292" s="28" t="s">
        <v>1919</v>
      </c>
      <c r="G292" s="28" t="s">
        <v>1920</v>
      </c>
      <c r="H292" s="28" t="s">
        <v>1921</v>
      </c>
      <c r="I292" s="28" t="s">
        <v>1922</v>
      </c>
      <c r="J292" s="28" t="s">
        <v>76</v>
      </c>
      <c r="K292" s="28" t="s">
        <v>1889</v>
      </c>
      <c r="L292" s="28" t="s">
        <v>1889</v>
      </c>
      <c r="M292" s="28">
        <v>50350</v>
      </c>
      <c r="N292" s="29" t="s">
        <v>1173</v>
      </c>
      <c r="O292" s="24">
        <f>VLOOKUP(A292,Hoja1!A:C,3,0)</f>
        <v>8</v>
      </c>
      <c r="P292" s="30" t="str">
        <f>VLOOKUP(M292,[1]TIPOLOGIAS!$A:$F,4,0)</f>
        <v>VILLAVICENCIO</v>
      </c>
      <c r="Q292" s="30" t="str">
        <f>VLOOKUP(P292,'BASE TARIFA 2025'!C:D,2,0)</f>
        <v>WOMPI ORIENTE</v>
      </c>
      <c r="R292" s="31">
        <f>VLOOKUP(P292,'BASE TARIFA 2025'!C:F,4,0)</f>
        <v>28277.100000000002</v>
      </c>
    </row>
    <row r="293" spans="1:18" s="28" customFormat="1" ht="14.4" x14ac:dyDescent="0.3">
      <c r="A293" s="28">
        <v>57800</v>
      </c>
      <c r="B293" s="28" t="s">
        <v>1923</v>
      </c>
      <c r="C293" s="28">
        <v>88256139</v>
      </c>
      <c r="D293" s="28" t="s">
        <v>1924</v>
      </c>
      <c r="E293" s="28" t="s">
        <v>1925</v>
      </c>
      <c r="F293" s="28" t="s">
        <v>1925</v>
      </c>
      <c r="G293" s="28" t="s">
        <v>1926</v>
      </c>
      <c r="H293" s="28" t="s">
        <v>1927</v>
      </c>
      <c r="I293" s="28" t="s">
        <v>1928</v>
      </c>
      <c r="J293" s="28" t="s">
        <v>76</v>
      </c>
      <c r="K293" s="28" t="s">
        <v>1889</v>
      </c>
      <c r="L293" s="28" t="s">
        <v>1889</v>
      </c>
      <c r="M293" s="28">
        <v>50350</v>
      </c>
      <c r="N293" s="29" t="s">
        <v>1173</v>
      </c>
      <c r="O293" s="24">
        <f>VLOOKUP(A293,Hoja1!A:C,3,0)</f>
        <v>8</v>
      </c>
      <c r="P293" s="30" t="str">
        <f>VLOOKUP(M293,[1]TIPOLOGIAS!$A:$F,4,0)</f>
        <v>VILLAVICENCIO</v>
      </c>
      <c r="Q293" s="30" t="str">
        <f>VLOOKUP(P293,'BASE TARIFA 2025'!C:D,2,0)</f>
        <v>WOMPI ORIENTE</v>
      </c>
      <c r="R293" s="31">
        <f>VLOOKUP(P293,'BASE TARIFA 2025'!C:F,4,0)</f>
        <v>28277.100000000002</v>
      </c>
    </row>
    <row r="294" spans="1:18" s="28" customFormat="1" ht="14.4" x14ac:dyDescent="0.3">
      <c r="A294" s="28">
        <v>57801</v>
      </c>
      <c r="B294" s="28" t="s">
        <v>1929</v>
      </c>
      <c r="C294" s="28">
        <v>88267282</v>
      </c>
      <c r="D294" s="28" t="s">
        <v>1930</v>
      </c>
      <c r="E294" s="28" t="s">
        <v>1930</v>
      </c>
      <c r="F294" s="28" t="s">
        <v>1930</v>
      </c>
      <c r="G294" s="28" t="s">
        <v>1931</v>
      </c>
      <c r="H294" s="28" t="s">
        <v>1932</v>
      </c>
      <c r="I294" s="28" t="s">
        <v>1933</v>
      </c>
      <c r="J294" s="28" t="s">
        <v>76</v>
      </c>
      <c r="K294" s="28" t="s">
        <v>1889</v>
      </c>
      <c r="L294" s="28" t="s">
        <v>1889</v>
      </c>
      <c r="M294" s="28">
        <v>50350</v>
      </c>
      <c r="N294" s="29" t="s">
        <v>1173</v>
      </c>
      <c r="O294" s="24">
        <f>VLOOKUP(A294,Hoja1!A:C,3,0)</f>
        <v>8</v>
      </c>
      <c r="P294" s="30" t="str">
        <f>VLOOKUP(M294,[1]TIPOLOGIAS!$A:$F,4,0)</f>
        <v>VILLAVICENCIO</v>
      </c>
      <c r="Q294" s="30" t="str">
        <f>VLOOKUP(P294,'BASE TARIFA 2025'!C:D,2,0)</f>
        <v>WOMPI ORIENTE</v>
      </c>
      <c r="R294" s="31">
        <f>VLOOKUP(P294,'BASE TARIFA 2025'!C:F,4,0)</f>
        <v>28277.100000000002</v>
      </c>
    </row>
    <row r="295" spans="1:18" s="28" customFormat="1" ht="14.4" x14ac:dyDescent="0.3">
      <c r="A295" s="28">
        <v>56733</v>
      </c>
      <c r="B295" s="28" t="s">
        <v>1934</v>
      </c>
      <c r="C295" s="28">
        <v>17689210</v>
      </c>
      <c r="D295" s="28" t="s">
        <v>1935</v>
      </c>
      <c r="E295" s="28" t="s">
        <v>1935</v>
      </c>
      <c r="F295" s="28" t="s">
        <v>1935</v>
      </c>
      <c r="G295" s="28" t="s">
        <v>1936</v>
      </c>
      <c r="H295" s="28" t="s">
        <v>1937</v>
      </c>
      <c r="I295" s="28" t="s">
        <v>1938</v>
      </c>
      <c r="J295" s="28" t="s">
        <v>76</v>
      </c>
      <c r="K295" s="28" t="s">
        <v>1889</v>
      </c>
      <c r="L295" s="28" t="s">
        <v>1889</v>
      </c>
      <c r="M295" s="28">
        <v>50350</v>
      </c>
      <c r="N295" s="29" t="s">
        <v>655</v>
      </c>
      <c r="O295" s="24">
        <f>VLOOKUP(A295,Hoja1!A:C,3,0)</f>
        <v>8</v>
      </c>
      <c r="P295" s="30" t="str">
        <f>VLOOKUP(M295,[1]TIPOLOGIAS!$A:$F,4,0)</f>
        <v>VILLAVICENCIO</v>
      </c>
      <c r="Q295" s="30" t="str">
        <f>VLOOKUP(P295,'BASE TARIFA 2025'!C:D,2,0)</f>
        <v>WOMPI ORIENTE</v>
      </c>
      <c r="R295" s="31">
        <f>VLOOKUP(P295,'BASE TARIFA 2025'!C:F,4,0)</f>
        <v>28277.100000000002</v>
      </c>
    </row>
    <row r="296" spans="1:18" s="28" customFormat="1" ht="14.4" x14ac:dyDescent="0.3">
      <c r="A296" s="28">
        <v>57385</v>
      </c>
      <c r="B296" s="28" t="s">
        <v>1939</v>
      </c>
      <c r="C296" s="28">
        <v>1090405165</v>
      </c>
      <c r="D296" s="28" t="s">
        <v>1940</v>
      </c>
      <c r="E296" s="28" t="s">
        <v>1940</v>
      </c>
      <c r="F296" s="28" t="s">
        <v>1941</v>
      </c>
      <c r="G296" s="28" t="s">
        <v>1942</v>
      </c>
      <c r="H296" s="28" t="s">
        <v>1943</v>
      </c>
      <c r="I296" s="28" t="s">
        <v>1944</v>
      </c>
      <c r="J296" s="28" t="s">
        <v>92</v>
      </c>
      <c r="K296" s="28" t="s">
        <v>1945</v>
      </c>
      <c r="L296" s="28" t="s">
        <v>1945</v>
      </c>
      <c r="M296" s="28">
        <v>54673</v>
      </c>
      <c r="N296" s="29" t="s">
        <v>1012</v>
      </c>
      <c r="O296" s="24">
        <f>VLOOKUP(A296,Hoja1!A:C,3,0)</f>
        <v>8</v>
      </c>
      <c r="P296" s="30" t="str">
        <f>VLOOKUP(M296,[1]TIPOLOGIAS!$A:$F,4,0)</f>
        <v>CUCUTA</v>
      </c>
      <c r="Q296" s="30" t="str">
        <f>VLOOKUP(P296,'BASE TARIFA 2025'!C:D,2,0)</f>
        <v>WOMPI SANTANDERES</v>
      </c>
      <c r="R296" s="31">
        <f>VLOOKUP(P296,'BASE TARIFA 2025'!C:F,4,0)</f>
        <v>28277.100000000002</v>
      </c>
    </row>
    <row r="297" spans="1:18" s="28" customFormat="1" ht="14.4" x14ac:dyDescent="0.3">
      <c r="A297" s="28">
        <v>54462</v>
      </c>
      <c r="B297" s="28" t="s">
        <v>1946</v>
      </c>
      <c r="C297" s="28">
        <v>1090442723</v>
      </c>
      <c r="D297" s="28" t="s">
        <v>72</v>
      </c>
      <c r="E297" s="28" t="s">
        <v>1947</v>
      </c>
      <c r="F297" s="28" t="s">
        <v>1947</v>
      </c>
      <c r="G297" s="28" t="s">
        <v>1948</v>
      </c>
      <c r="H297" s="28" t="s">
        <v>1949</v>
      </c>
      <c r="I297" s="28" t="s">
        <v>1950</v>
      </c>
      <c r="J297" s="28" t="s">
        <v>94</v>
      </c>
      <c r="K297" s="28" t="s">
        <v>164</v>
      </c>
      <c r="L297" s="28" t="s">
        <v>164</v>
      </c>
      <c r="M297" s="28">
        <v>68190</v>
      </c>
      <c r="N297" s="29" t="s">
        <v>716</v>
      </c>
      <c r="O297" s="24">
        <f>VLOOKUP(A297,Hoja1!A:C,3,0)</f>
        <v>8</v>
      </c>
      <c r="P297" s="30" t="str">
        <f>VLOOKUP(M297,[1]TIPOLOGIAS!$A:$F,4,0)</f>
        <v>BUCARAMANGA</v>
      </c>
      <c r="Q297" s="30" t="str">
        <f>VLOOKUP(P297,'BASE TARIFA 2025'!C:D,2,0)</f>
        <v>WOMPI SANTANDERES</v>
      </c>
      <c r="R297" s="31">
        <f>VLOOKUP(P297,'BASE TARIFA 2025'!C:F,4,0)</f>
        <v>15709.5</v>
      </c>
    </row>
    <row r="298" spans="1:18" s="28" customFormat="1" ht="14.4" x14ac:dyDescent="0.3">
      <c r="A298" s="28">
        <v>14827</v>
      </c>
      <c r="B298" s="28" t="s">
        <v>1951</v>
      </c>
      <c r="C298" s="28">
        <v>900490352</v>
      </c>
      <c r="D298" s="28" t="s">
        <v>1952</v>
      </c>
      <c r="E298" s="28" t="s">
        <v>1952</v>
      </c>
      <c r="F298" s="28" t="s">
        <v>1952</v>
      </c>
      <c r="G298" s="28" t="s">
        <v>1953</v>
      </c>
      <c r="H298" s="28" t="s">
        <v>1954</v>
      </c>
      <c r="I298" s="28" t="s">
        <v>1955</v>
      </c>
      <c r="J298" s="28" t="s">
        <v>92</v>
      </c>
      <c r="K298" s="28" t="s">
        <v>93</v>
      </c>
      <c r="L298" s="28" t="s">
        <v>93</v>
      </c>
      <c r="M298" s="28">
        <v>54261</v>
      </c>
      <c r="N298" s="29" t="s">
        <v>1012</v>
      </c>
      <c r="O298" s="24">
        <f>VLOOKUP(A298,Hoja1!A:C,3,0)</f>
        <v>8</v>
      </c>
      <c r="P298" s="30" t="str">
        <f>VLOOKUP(M298,[1]TIPOLOGIAS!$A:$F,4,0)</f>
        <v>CUCUTA</v>
      </c>
      <c r="Q298" s="30" t="str">
        <f>VLOOKUP(P298,'BASE TARIFA 2025'!C:D,2,0)</f>
        <v>WOMPI SANTANDERES</v>
      </c>
      <c r="R298" s="31">
        <f>VLOOKUP(P298,'BASE TARIFA 2025'!C:F,4,0)</f>
        <v>28277.100000000002</v>
      </c>
    </row>
    <row r="299" spans="1:18" s="28" customFormat="1" ht="14.4" x14ac:dyDescent="0.3">
      <c r="A299" s="28">
        <v>79335</v>
      </c>
      <c r="B299" s="28" t="s">
        <v>1956</v>
      </c>
      <c r="C299" s="28">
        <v>1037610706</v>
      </c>
      <c r="D299" s="28" t="s">
        <v>1957</v>
      </c>
      <c r="E299" s="28" t="s">
        <v>1957</v>
      </c>
      <c r="F299" s="28" t="s">
        <v>1957</v>
      </c>
      <c r="G299" s="28" t="s">
        <v>1958</v>
      </c>
      <c r="H299" s="28" t="s">
        <v>1959</v>
      </c>
      <c r="I299" s="28" t="s">
        <v>1960</v>
      </c>
      <c r="J299" s="28" t="s">
        <v>92</v>
      </c>
      <c r="K299" s="28" t="s">
        <v>100</v>
      </c>
      <c r="L299" s="28" t="s">
        <v>100</v>
      </c>
      <c r="M299" s="28">
        <v>54518</v>
      </c>
      <c r="N299" s="29" t="s">
        <v>542</v>
      </c>
      <c r="O299" s="24">
        <f>VLOOKUP(A299,Hoja1!A:C,3,0)</f>
        <v>8</v>
      </c>
      <c r="P299" s="30" t="str">
        <f>VLOOKUP(M299,[1]TIPOLOGIAS!$A:$F,4,0)</f>
        <v>CUCUTA</v>
      </c>
      <c r="Q299" s="30" t="str">
        <f>VLOOKUP(P299,'BASE TARIFA 2025'!C:D,2,0)</f>
        <v>WOMPI SANTANDERES</v>
      </c>
      <c r="R299" s="31">
        <f>VLOOKUP(P299,'BASE TARIFA 2025'!C:F,4,0)</f>
        <v>28277.100000000002</v>
      </c>
    </row>
    <row r="300" spans="1:18" s="28" customFormat="1" ht="14.4" x14ac:dyDescent="0.3">
      <c r="A300" s="28">
        <v>76333</v>
      </c>
      <c r="B300" s="28" t="s">
        <v>1961</v>
      </c>
      <c r="C300" s="28">
        <v>1037975475</v>
      </c>
      <c r="D300" s="28" t="s">
        <v>1962</v>
      </c>
      <c r="E300" s="28" t="s">
        <v>1962</v>
      </c>
      <c r="F300" s="28" t="s">
        <v>1962</v>
      </c>
      <c r="G300" s="28" t="s">
        <v>1963</v>
      </c>
      <c r="H300" s="28" t="s">
        <v>1964</v>
      </c>
      <c r="I300" s="28" t="s">
        <v>1965</v>
      </c>
      <c r="J300" s="28" t="s">
        <v>92</v>
      </c>
      <c r="K300" s="28" t="s">
        <v>100</v>
      </c>
      <c r="L300" s="28" t="s">
        <v>100</v>
      </c>
      <c r="M300" s="28">
        <v>54518</v>
      </c>
      <c r="N300" s="29" t="s">
        <v>542</v>
      </c>
      <c r="O300" s="24">
        <f>VLOOKUP(A300,Hoja1!A:C,3,0)</f>
        <v>8</v>
      </c>
      <c r="P300" s="30" t="str">
        <f>VLOOKUP(M300,[1]TIPOLOGIAS!$A:$F,4,0)</f>
        <v>CUCUTA</v>
      </c>
      <c r="Q300" s="30" t="str">
        <f>VLOOKUP(P300,'BASE TARIFA 2025'!C:D,2,0)</f>
        <v>WOMPI SANTANDERES</v>
      </c>
      <c r="R300" s="31">
        <f>VLOOKUP(P300,'BASE TARIFA 2025'!C:F,4,0)</f>
        <v>28277.100000000002</v>
      </c>
    </row>
    <row r="301" spans="1:18" s="28" customFormat="1" ht="14.4" x14ac:dyDescent="0.3">
      <c r="A301" s="28">
        <v>76077</v>
      </c>
      <c r="B301" s="28" t="s">
        <v>1966</v>
      </c>
      <c r="C301" s="28">
        <v>901345153</v>
      </c>
      <c r="D301" s="28" t="s">
        <v>1967</v>
      </c>
      <c r="E301" s="28" t="s">
        <v>1967</v>
      </c>
      <c r="F301" s="28" t="s">
        <v>1967</v>
      </c>
      <c r="G301" s="28" t="s">
        <v>1968</v>
      </c>
      <c r="H301" s="28" t="s">
        <v>1969</v>
      </c>
      <c r="I301" s="28" t="s">
        <v>1970</v>
      </c>
      <c r="J301" s="28" t="s">
        <v>92</v>
      </c>
      <c r="K301" s="28" t="s">
        <v>100</v>
      </c>
      <c r="L301" s="28" t="s">
        <v>100</v>
      </c>
      <c r="M301" s="28">
        <v>54518</v>
      </c>
      <c r="N301" s="29" t="s">
        <v>542</v>
      </c>
      <c r="O301" s="24">
        <f>VLOOKUP(A301,Hoja1!A:C,3,0)</f>
        <v>8</v>
      </c>
      <c r="P301" s="30" t="str">
        <f>VLOOKUP(M301,[1]TIPOLOGIAS!$A:$F,4,0)</f>
        <v>CUCUTA</v>
      </c>
      <c r="Q301" s="30" t="str">
        <f>VLOOKUP(P301,'BASE TARIFA 2025'!C:D,2,0)</f>
        <v>WOMPI SANTANDERES</v>
      </c>
      <c r="R301" s="31">
        <f>VLOOKUP(P301,'BASE TARIFA 2025'!C:F,4,0)</f>
        <v>28277.100000000002</v>
      </c>
    </row>
    <row r="302" spans="1:18" s="28" customFormat="1" ht="14.4" x14ac:dyDescent="0.3">
      <c r="A302" s="28">
        <v>54085</v>
      </c>
      <c r="B302" s="28" t="s">
        <v>1971</v>
      </c>
      <c r="C302" s="28">
        <v>88264206</v>
      </c>
      <c r="D302" s="28" t="s">
        <v>1972</v>
      </c>
      <c r="E302" s="28" t="s">
        <v>1972</v>
      </c>
      <c r="F302" s="28" t="s">
        <v>1973</v>
      </c>
      <c r="G302" s="28" t="s">
        <v>1974</v>
      </c>
      <c r="H302" s="28" t="s">
        <v>1975</v>
      </c>
      <c r="I302" s="28" t="s">
        <v>1976</v>
      </c>
      <c r="J302" s="28" t="s">
        <v>106</v>
      </c>
      <c r="K302" s="28" t="s">
        <v>184</v>
      </c>
      <c r="L302" s="28" t="s">
        <v>184</v>
      </c>
      <c r="M302" s="28">
        <v>63130</v>
      </c>
      <c r="N302" s="29" t="s">
        <v>582</v>
      </c>
      <c r="O302" s="24">
        <f>VLOOKUP(A302,Hoja1!A:C,3,0)</f>
        <v>8</v>
      </c>
      <c r="P302" s="30" t="str">
        <f>VLOOKUP(M302,[1]TIPOLOGIAS!$A:$F,4,0)</f>
        <v>PEREIRA</v>
      </c>
      <c r="Q302" s="30" t="str">
        <f>VLOOKUP(P302,'BASE TARIFA 2025'!C:D,2,0)</f>
        <v>WOMPI EJE CAFETERO</v>
      </c>
      <c r="R302" s="31">
        <f>VLOOKUP(P302,'BASE TARIFA 2025'!C:F,4,0)</f>
        <v>15709.5</v>
      </c>
    </row>
    <row r="303" spans="1:18" s="28" customFormat="1" ht="14.4" x14ac:dyDescent="0.3">
      <c r="A303" s="28">
        <v>54090</v>
      </c>
      <c r="B303" s="28" t="s">
        <v>1977</v>
      </c>
      <c r="C303" s="28">
        <v>1093742309</v>
      </c>
      <c r="D303" s="28" t="s">
        <v>1978</v>
      </c>
      <c r="E303" s="28" t="s">
        <v>1978</v>
      </c>
      <c r="F303" s="28" t="s">
        <v>1978</v>
      </c>
      <c r="G303" s="28" t="s">
        <v>1979</v>
      </c>
      <c r="H303" s="28" t="s">
        <v>1980</v>
      </c>
      <c r="I303" s="28" t="s">
        <v>1981</v>
      </c>
      <c r="J303" s="28" t="s">
        <v>106</v>
      </c>
      <c r="K303" s="28" t="s">
        <v>184</v>
      </c>
      <c r="L303" s="28" t="s">
        <v>184</v>
      </c>
      <c r="M303" s="28">
        <v>63130</v>
      </c>
      <c r="N303" s="29" t="s">
        <v>582</v>
      </c>
      <c r="O303" s="24">
        <f>VLOOKUP(A303,Hoja1!A:C,3,0)</f>
        <v>8</v>
      </c>
      <c r="P303" s="30" t="str">
        <f>VLOOKUP(M303,[1]TIPOLOGIAS!$A:$F,4,0)</f>
        <v>PEREIRA</v>
      </c>
      <c r="Q303" s="30" t="str">
        <f>VLOOKUP(P303,'BASE TARIFA 2025'!C:D,2,0)</f>
        <v>WOMPI EJE CAFETERO</v>
      </c>
      <c r="R303" s="31">
        <f>VLOOKUP(P303,'BASE TARIFA 2025'!C:F,4,0)</f>
        <v>15709.5</v>
      </c>
    </row>
    <row r="304" spans="1:18" s="28" customFormat="1" ht="14.4" x14ac:dyDescent="0.3">
      <c r="A304" s="28">
        <v>53534</v>
      </c>
      <c r="B304" s="28" t="s">
        <v>1982</v>
      </c>
      <c r="C304" s="28">
        <v>1090476322</v>
      </c>
      <c r="D304" s="28" t="s">
        <v>1983</v>
      </c>
      <c r="E304" s="28" t="s">
        <v>1984</v>
      </c>
      <c r="F304" s="28" t="s">
        <v>1984</v>
      </c>
      <c r="G304" s="28" t="s">
        <v>1985</v>
      </c>
      <c r="H304" s="28" t="s">
        <v>1986</v>
      </c>
      <c r="I304" s="28" t="s">
        <v>1987</v>
      </c>
      <c r="J304" s="28" t="s">
        <v>94</v>
      </c>
      <c r="K304" s="28" t="s">
        <v>1988</v>
      </c>
      <c r="L304" s="28" t="s">
        <v>1988</v>
      </c>
      <c r="M304" s="28">
        <v>68235</v>
      </c>
      <c r="N304" s="29" t="s">
        <v>536</v>
      </c>
      <c r="O304" s="24">
        <f>VLOOKUP(A304,Hoja1!A:C,3,0)</f>
        <v>8</v>
      </c>
      <c r="P304" s="30" t="str">
        <f>VLOOKUP(M304,[1]TIPOLOGIAS!$A:$F,4,0)</f>
        <v>BUCARAMANGA</v>
      </c>
      <c r="Q304" s="30" t="str">
        <f>VLOOKUP(P304,'BASE TARIFA 2025'!C:D,2,0)</f>
        <v>WOMPI SANTANDERES</v>
      </c>
      <c r="R304" s="31">
        <f>VLOOKUP(P304,'BASE TARIFA 2025'!C:F,4,0)</f>
        <v>15709.5</v>
      </c>
    </row>
    <row r="305" spans="1:18" s="28" customFormat="1" ht="14.4" x14ac:dyDescent="0.3">
      <c r="A305" s="28">
        <v>53414</v>
      </c>
      <c r="B305" s="28" t="s">
        <v>1989</v>
      </c>
      <c r="C305" s="28">
        <v>1093803053</v>
      </c>
      <c r="D305" s="28" t="s">
        <v>211</v>
      </c>
      <c r="E305" s="28" t="s">
        <v>1990</v>
      </c>
      <c r="F305" s="28" t="s">
        <v>1990</v>
      </c>
      <c r="G305" s="28" t="s">
        <v>1991</v>
      </c>
      <c r="H305" s="28" t="s">
        <v>1992</v>
      </c>
      <c r="I305" s="28" t="s">
        <v>1993</v>
      </c>
      <c r="J305" s="28" t="s">
        <v>94</v>
      </c>
      <c r="K305" s="28" t="s">
        <v>1988</v>
      </c>
      <c r="L305" s="28" t="s">
        <v>1988</v>
      </c>
      <c r="M305" s="28">
        <v>68235</v>
      </c>
      <c r="N305" s="29" t="s">
        <v>536</v>
      </c>
      <c r="O305" s="24">
        <f>VLOOKUP(A305,Hoja1!A:C,3,0)</f>
        <v>16</v>
      </c>
      <c r="P305" s="30" t="str">
        <f>VLOOKUP(M305,[1]TIPOLOGIAS!$A:$F,4,0)</f>
        <v>BUCARAMANGA</v>
      </c>
      <c r="Q305" s="30" t="str">
        <f>VLOOKUP(P305,'BASE TARIFA 2025'!C:D,2,0)</f>
        <v>WOMPI SANTANDERES</v>
      </c>
      <c r="R305" s="31">
        <f>VLOOKUP(P305,'BASE TARIFA 2025'!C:F,4,0)</f>
        <v>15709.5</v>
      </c>
    </row>
    <row r="306" spans="1:18" s="28" customFormat="1" ht="14.4" x14ac:dyDescent="0.3">
      <c r="A306" s="28">
        <v>51430</v>
      </c>
      <c r="B306" s="28" t="s">
        <v>1994</v>
      </c>
      <c r="C306" s="28">
        <v>37277961</v>
      </c>
      <c r="D306" s="28" t="s">
        <v>200</v>
      </c>
      <c r="E306" s="28" t="s">
        <v>1995</v>
      </c>
      <c r="F306" s="28" t="s">
        <v>1995</v>
      </c>
      <c r="G306" s="28" t="s">
        <v>1996</v>
      </c>
      <c r="H306" s="28" t="s">
        <v>1997</v>
      </c>
      <c r="I306" s="28" t="s">
        <v>1998</v>
      </c>
      <c r="J306" s="28" t="s">
        <v>94</v>
      </c>
      <c r="K306" s="28" t="s">
        <v>1988</v>
      </c>
      <c r="L306" s="28" t="s">
        <v>1988</v>
      </c>
      <c r="M306" s="28">
        <v>68235</v>
      </c>
      <c r="N306" s="29" t="s">
        <v>722</v>
      </c>
      <c r="O306" s="24">
        <f>VLOOKUP(A306,Hoja1!A:C,3,0)</f>
        <v>8</v>
      </c>
      <c r="P306" s="30" t="str">
        <f>VLOOKUP(M306,[1]TIPOLOGIAS!$A:$F,4,0)</f>
        <v>BUCARAMANGA</v>
      </c>
      <c r="Q306" s="30" t="str">
        <f>VLOOKUP(P306,'BASE TARIFA 2025'!C:D,2,0)</f>
        <v>WOMPI SANTANDERES</v>
      </c>
      <c r="R306" s="31">
        <f>VLOOKUP(P306,'BASE TARIFA 2025'!C:F,4,0)</f>
        <v>15709.5</v>
      </c>
    </row>
    <row r="307" spans="1:18" s="28" customFormat="1" ht="14.4" x14ac:dyDescent="0.3">
      <c r="A307" s="28">
        <v>50858</v>
      </c>
      <c r="B307" s="28" t="s">
        <v>1999</v>
      </c>
      <c r="C307" s="28">
        <v>900576569</v>
      </c>
      <c r="D307" s="28" t="s">
        <v>2000</v>
      </c>
      <c r="E307" s="28" t="s">
        <v>2001</v>
      </c>
      <c r="F307" s="28" t="s">
        <v>2001</v>
      </c>
      <c r="G307" s="28" t="s">
        <v>2002</v>
      </c>
      <c r="H307" s="28" t="s">
        <v>2003</v>
      </c>
      <c r="I307" s="28" t="s">
        <v>2004</v>
      </c>
      <c r="J307" s="28" t="s">
        <v>94</v>
      </c>
      <c r="K307" s="28" t="s">
        <v>1988</v>
      </c>
      <c r="L307" s="28" t="s">
        <v>1988</v>
      </c>
      <c r="M307" s="28">
        <v>68235</v>
      </c>
      <c r="N307" s="29" t="s">
        <v>722</v>
      </c>
      <c r="O307" s="24">
        <f>VLOOKUP(A307,Hoja1!A:C,3,0)</f>
        <v>8</v>
      </c>
      <c r="P307" s="30" t="str">
        <f>VLOOKUP(M307,[1]TIPOLOGIAS!$A:$F,4,0)</f>
        <v>BUCARAMANGA</v>
      </c>
      <c r="Q307" s="30" t="str">
        <f>VLOOKUP(P307,'BASE TARIFA 2025'!C:D,2,0)</f>
        <v>WOMPI SANTANDERES</v>
      </c>
      <c r="R307" s="31">
        <f>VLOOKUP(P307,'BASE TARIFA 2025'!C:F,4,0)</f>
        <v>15709.5</v>
      </c>
    </row>
    <row r="308" spans="1:18" s="28" customFormat="1" ht="14.4" x14ac:dyDescent="0.3">
      <c r="A308" s="28">
        <v>73715</v>
      </c>
      <c r="B308" s="28" t="s">
        <v>2005</v>
      </c>
      <c r="C308" s="28">
        <v>8417090</v>
      </c>
      <c r="D308" s="28" t="s">
        <v>2006</v>
      </c>
      <c r="E308" s="28" t="s">
        <v>2007</v>
      </c>
      <c r="F308" s="28" t="s">
        <v>2007</v>
      </c>
      <c r="G308" s="28" t="s">
        <v>2008</v>
      </c>
      <c r="H308" s="28" t="s">
        <v>2009</v>
      </c>
      <c r="I308" s="28" t="s">
        <v>2010</v>
      </c>
      <c r="J308" s="28" t="s">
        <v>94</v>
      </c>
      <c r="K308" s="28" t="s">
        <v>1988</v>
      </c>
      <c r="L308" s="28" t="s">
        <v>1988</v>
      </c>
      <c r="M308" s="28">
        <v>68235</v>
      </c>
      <c r="N308" s="29" t="s">
        <v>536</v>
      </c>
      <c r="O308" s="24">
        <f>VLOOKUP(A308,Hoja1!A:C,3,0)</f>
        <v>8</v>
      </c>
      <c r="P308" s="30" t="str">
        <f>VLOOKUP(M308,[1]TIPOLOGIAS!$A:$F,4,0)</f>
        <v>BUCARAMANGA</v>
      </c>
      <c r="Q308" s="30" t="str">
        <f>VLOOKUP(P308,'BASE TARIFA 2025'!C:D,2,0)</f>
        <v>WOMPI SANTANDERES</v>
      </c>
      <c r="R308" s="31">
        <f>VLOOKUP(P308,'BASE TARIFA 2025'!C:F,4,0)</f>
        <v>15709.5</v>
      </c>
    </row>
    <row r="309" spans="1:18" s="28" customFormat="1" ht="14.4" x14ac:dyDescent="0.3">
      <c r="A309" s="28">
        <v>49789</v>
      </c>
      <c r="B309" s="28" t="s">
        <v>2011</v>
      </c>
      <c r="C309" s="28">
        <v>1004942973</v>
      </c>
      <c r="D309" s="28" t="s">
        <v>2012</v>
      </c>
      <c r="E309" s="28" t="s">
        <v>2012</v>
      </c>
      <c r="F309" s="28" t="s">
        <v>2013</v>
      </c>
      <c r="G309" s="28" t="s">
        <v>2014</v>
      </c>
      <c r="H309" s="28" t="s">
        <v>1992</v>
      </c>
      <c r="I309" s="28" t="s">
        <v>1993</v>
      </c>
      <c r="J309" s="28" t="s">
        <v>94</v>
      </c>
      <c r="K309" s="28" t="s">
        <v>1988</v>
      </c>
      <c r="L309" s="28" t="s">
        <v>1988</v>
      </c>
      <c r="M309" s="28">
        <v>68235</v>
      </c>
      <c r="N309" s="29" t="s">
        <v>722</v>
      </c>
      <c r="O309" s="24">
        <f>VLOOKUP(A309,Hoja1!A:C,3,0)</f>
        <v>8</v>
      </c>
      <c r="P309" s="30" t="str">
        <f>VLOOKUP(M309,[1]TIPOLOGIAS!$A:$F,4,0)</f>
        <v>BUCARAMANGA</v>
      </c>
      <c r="Q309" s="30" t="str">
        <f>VLOOKUP(P309,'BASE TARIFA 2025'!C:D,2,0)</f>
        <v>WOMPI SANTANDERES</v>
      </c>
      <c r="R309" s="31">
        <f>VLOOKUP(P309,'BASE TARIFA 2025'!C:F,4,0)</f>
        <v>15709.5</v>
      </c>
    </row>
    <row r="310" spans="1:18" s="28" customFormat="1" ht="14.4" x14ac:dyDescent="0.3">
      <c r="A310" s="28">
        <v>47310</v>
      </c>
      <c r="B310" s="28" t="s">
        <v>2015</v>
      </c>
      <c r="C310" s="28">
        <v>13338147</v>
      </c>
      <c r="D310" s="28" t="s">
        <v>2016</v>
      </c>
      <c r="E310" s="28" t="s">
        <v>2016</v>
      </c>
      <c r="F310" s="28" t="s">
        <v>2017</v>
      </c>
      <c r="G310" s="28" t="s">
        <v>2018</v>
      </c>
      <c r="H310" s="28" t="s">
        <v>2019</v>
      </c>
      <c r="I310" s="28" t="s">
        <v>2020</v>
      </c>
      <c r="J310" s="28" t="s">
        <v>94</v>
      </c>
      <c r="K310" s="28" t="s">
        <v>1988</v>
      </c>
      <c r="L310" s="28" t="s">
        <v>1988</v>
      </c>
      <c r="M310" s="28">
        <v>68235</v>
      </c>
      <c r="N310" s="29" t="s">
        <v>722</v>
      </c>
      <c r="O310" s="24">
        <f>VLOOKUP(A310,Hoja1!A:C,3,0)</f>
        <v>8</v>
      </c>
      <c r="P310" s="30" t="str">
        <f>VLOOKUP(M310,[1]TIPOLOGIAS!$A:$F,4,0)</f>
        <v>BUCARAMANGA</v>
      </c>
      <c r="Q310" s="30" t="str">
        <f>VLOOKUP(P310,'BASE TARIFA 2025'!C:D,2,0)</f>
        <v>WOMPI SANTANDERES</v>
      </c>
      <c r="R310" s="31">
        <f>VLOOKUP(P310,'BASE TARIFA 2025'!C:F,4,0)</f>
        <v>15709.5</v>
      </c>
    </row>
    <row r="311" spans="1:18" s="28" customFormat="1" ht="14.4" x14ac:dyDescent="0.3">
      <c r="A311" s="28">
        <v>46038</v>
      </c>
      <c r="B311" s="28" t="s">
        <v>2021</v>
      </c>
      <c r="C311" s="28">
        <v>901273287</v>
      </c>
      <c r="D311" s="28" t="s">
        <v>2022</v>
      </c>
      <c r="E311" s="28" t="s">
        <v>2023</v>
      </c>
      <c r="F311" s="28" t="s">
        <v>2024</v>
      </c>
      <c r="G311" s="28" t="s">
        <v>2025</v>
      </c>
      <c r="H311" s="28" t="s">
        <v>2026</v>
      </c>
      <c r="I311" s="28" t="s">
        <v>2027</v>
      </c>
      <c r="J311" s="28" t="s">
        <v>94</v>
      </c>
      <c r="K311" s="28" t="s">
        <v>2028</v>
      </c>
      <c r="L311" s="28" t="s">
        <v>2028</v>
      </c>
      <c r="M311" s="28">
        <v>68250</v>
      </c>
      <c r="N311" s="29" t="s">
        <v>560</v>
      </c>
      <c r="O311" s="24">
        <f>VLOOKUP(A311,Hoja1!A:C,3,0)</f>
        <v>8</v>
      </c>
      <c r="P311" s="30" t="str">
        <f>VLOOKUP(M311,[1]TIPOLOGIAS!$A:$F,4,0)</f>
        <v>BUCARAMANGA</v>
      </c>
      <c r="Q311" s="30" t="str">
        <f>VLOOKUP(P311,'BASE TARIFA 2025'!C:D,2,0)</f>
        <v>WOMPI SANTANDERES</v>
      </c>
      <c r="R311" s="31">
        <f>VLOOKUP(P311,'BASE TARIFA 2025'!C:F,4,0)</f>
        <v>15709.5</v>
      </c>
    </row>
    <row r="312" spans="1:18" s="28" customFormat="1" ht="14.4" x14ac:dyDescent="0.3">
      <c r="A312" s="28">
        <v>46410</v>
      </c>
      <c r="B312" s="28" t="s">
        <v>2029</v>
      </c>
      <c r="C312" s="28">
        <v>1090437851</v>
      </c>
      <c r="D312" s="28" t="s">
        <v>2030</v>
      </c>
      <c r="E312" s="28" t="s">
        <v>2031</v>
      </c>
      <c r="F312" s="28" t="s">
        <v>2031</v>
      </c>
      <c r="G312" s="28" t="s">
        <v>2032</v>
      </c>
      <c r="H312" s="28" t="s">
        <v>2033</v>
      </c>
      <c r="I312" s="28" t="s">
        <v>2034</v>
      </c>
      <c r="J312" s="28" t="s">
        <v>94</v>
      </c>
      <c r="K312" s="28" t="s">
        <v>2028</v>
      </c>
      <c r="L312" s="28" t="s">
        <v>2028</v>
      </c>
      <c r="M312" s="28">
        <v>68250</v>
      </c>
      <c r="N312" s="29" t="s">
        <v>560</v>
      </c>
      <c r="O312" s="24">
        <f>VLOOKUP(A312,Hoja1!A:C,3,0)</f>
        <v>8</v>
      </c>
      <c r="P312" s="30" t="str">
        <f>VLOOKUP(M312,[1]TIPOLOGIAS!$A:$F,4,0)</f>
        <v>BUCARAMANGA</v>
      </c>
      <c r="Q312" s="30" t="str">
        <f>VLOOKUP(P312,'BASE TARIFA 2025'!C:D,2,0)</f>
        <v>WOMPI SANTANDERES</v>
      </c>
      <c r="R312" s="31">
        <f>VLOOKUP(P312,'BASE TARIFA 2025'!C:F,4,0)</f>
        <v>15709.5</v>
      </c>
    </row>
    <row r="313" spans="1:18" s="28" customFormat="1" ht="14.4" x14ac:dyDescent="0.3">
      <c r="A313" s="28">
        <v>46237</v>
      </c>
      <c r="B313" s="28" t="s">
        <v>2035</v>
      </c>
      <c r="C313" s="28">
        <v>1090482642</v>
      </c>
      <c r="D313" s="28" t="s">
        <v>2036</v>
      </c>
      <c r="E313" s="28" t="s">
        <v>2036</v>
      </c>
      <c r="F313" s="28" t="s">
        <v>2036</v>
      </c>
      <c r="G313" s="28" t="s">
        <v>2037</v>
      </c>
      <c r="H313" s="28" t="s">
        <v>2038</v>
      </c>
      <c r="I313" s="28" t="s">
        <v>2039</v>
      </c>
      <c r="J313" s="28" t="s">
        <v>94</v>
      </c>
      <c r="K313" s="28" t="s">
        <v>203</v>
      </c>
      <c r="L313" s="28" t="s">
        <v>203</v>
      </c>
      <c r="M313" s="28">
        <v>68307</v>
      </c>
      <c r="N313" s="29" t="s">
        <v>1159</v>
      </c>
      <c r="O313" s="24">
        <f>VLOOKUP(A313,Hoja1!A:C,3,0)</f>
        <v>8</v>
      </c>
      <c r="P313" s="30" t="str">
        <f>VLOOKUP(M313,[1]TIPOLOGIAS!$A:$F,4,0)</f>
        <v>BUCARAMANGA</v>
      </c>
      <c r="Q313" s="30" t="str">
        <f>VLOOKUP(P313,'BASE TARIFA 2025'!C:D,2,0)</f>
        <v>WOMPI SANTANDERES</v>
      </c>
      <c r="R313" s="31">
        <f>VLOOKUP(P313,'BASE TARIFA 2025'!C:F,4,0)</f>
        <v>15709.5</v>
      </c>
    </row>
    <row r="314" spans="1:18" s="28" customFormat="1" ht="14.4" x14ac:dyDescent="0.3">
      <c r="A314" s="28">
        <v>73503</v>
      </c>
      <c r="B314" s="28" t="s">
        <v>2040</v>
      </c>
      <c r="C314" s="28">
        <v>901566263</v>
      </c>
      <c r="D314" s="28" t="s">
        <v>2041</v>
      </c>
      <c r="E314" s="28" t="s">
        <v>2041</v>
      </c>
      <c r="F314" s="28" t="s">
        <v>2041</v>
      </c>
      <c r="G314" s="28" t="s">
        <v>2042</v>
      </c>
      <c r="H314" s="28" t="s">
        <v>2043</v>
      </c>
      <c r="I314" s="28" t="s">
        <v>2044</v>
      </c>
      <c r="J314" s="28" t="s">
        <v>94</v>
      </c>
      <c r="K314" s="28" t="s">
        <v>164</v>
      </c>
      <c r="L314" s="28" t="s">
        <v>164</v>
      </c>
      <c r="M314" s="28">
        <v>68190</v>
      </c>
      <c r="N314" s="29" t="s">
        <v>716</v>
      </c>
      <c r="O314" s="24">
        <f>VLOOKUP(A314,Hoja1!A:C,3,0)</f>
        <v>16</v>
      </c>
      <c r="P314" s="30" t="str">
        <f>VLOOKUP(M314,[1]TIPOLOGIAS!$A:$F,4,0)</f>
        <v>BUCARAMANGA</v>
      </c>
      <c r="Q314" s="30" t="str">
        <f>VLOOKUP(P314,'BASE TARIFA 2025'!C:D,2,0)</f>
        <v>WOMPI SANTANDERES</v>
      </c>
      <c r="R314" s="31">
        <f>VLOOKUP(P314,'BASE TARIFA 2025'!C:F,4,0)</f>
        <v>15709.5</v>
      </c>
    </row>
    <row r="315" spans="1:18" s="28" customFormat="1" ht="14.4" x14ac:dyDescent="0.3">
      <c r="A315" s="28">
        <v>73028</v>
      </c>
      <c r="B315" s="28" t="s">
        <v>2045</v>
      </c>
      <c r="C315" s="28">
        <v>1152206259</v>
      </c>
      <c r="D315" s="28" t="s">
        <v>2046</v>
      </c>
      <c r="E315" s="28" t="s">
        <v>2047</v>
      </c>
      <c r="F315" s="28" t="s">
        <v>2047</v>
      </c>
      <c r="G315" s="28" t="s">
        <v>2048</v>
      </c>
      <c r="H315" s="28" t="s">
        <v>2049</v>
      </c>
      <c r="I315" s="28" t="s">
        <v>2050</v>
      </c>
      <c r="J315" s="28" t="s">
        <v>94</v>
      </c>
      <c r="K315" s="28" t="s">
        <v>164</v>
      </c>
      <c r="L315" s="28" t="s">
        <v>164</v>
      </c>
      <c r="M315" s="28">
        <v>68190</v>
      </c>
      <c r="N315" s="29" t="s">
        <v>716</v>
      </c>
      <c r="O315" s="24">
        <f>VLOOKUP(A315,Hoja1!A:C,3,0)</f>
        <v>8</v>
      </c>
      <c r="P315" s="30" t="str">
        <f>VLOOKUP(M315,[1]TIPOLOGIAS!$A:$F,4,0)</f>
        <v>BUCARAMANGA</v>
      </c>
      <c r="Q315" s="30" t="str">
        <f>VLOOKUP(P315,'BASE TARIFA 2025'!C:D,2,0)</f>
        <v>WOMPI SANTANDERES</v>
      </c>
      <c r="R315" s="31">
        <f>VLOOKUP(P315,'BASE TARIFA 2025'!C:F,4,0)</f>
        <v>15709.5</v>
      </c>
    </row>
    <row r="316" spans="1:18" s="28" customFormat="1" ht="14.4" x14ac:dyDescent="0.3">
      <c r="A316" s="28">
        <v>71078</v>
      </c>
      <c r="B316" s="28" t="s">
        <v>2051</v>
      </c>
      <c r="C316" s="28">
        <v>901234354</v>
      </c>
      <c r="D316" s="28" t="s">
        <v>2052</v>
      </c>
      <c r="E316" s="28" t="s">
        <v>2052</v>
      </c>
      <c r="F316" s="28" t="s">
        <v>2052</v>
      </c>
      <c r="G316" s="28" t="s">
        <v>2053</v>
      </c>
      <c r="H316" s="28" t="s">
        <v>2054</v>
      </c>
      <c r="I316" s="28" t="s">
        <v>2055</v>
      </c>
      <c r="J316" s="28" t="s">
        <v>94</v>
      </c>
      <c r="K316" s="28" t="s">
        <v>164</v>
      </c>
      <c r="L316" s="28" t="s">
        <v>164</v>
      </c>
      <c r="M316" s="28">
        <v>68190</v>
      </c>
      <c r="N316" s="29" t="s">
        <v>582</v>
      </c>
      <c r="O316" s="24">
        <f>VLOOKUP(A316,Hoja1!A:C,3,0)</f>
        <v>8</v>
      </c>
      <c r="P316" s="30" t="str">
        <f>VLOOKUP(M316,[1]TIPOLOGIAS!$A:$F,4,0)</f>
        <v>BUCARAMANGA</v>
      </c>
      <c r="Q316" s="30" t="str">
        <f>VLOOKUP(P316,'BASE TARIFA 2025'!C:D,2,0)</f>
        <v>WOMPI SANTANDERES</v>
      </c>
      <c r="R316" s="31">
        <f>VLOOKUP(P316,'BASE TARIFA 2025'!C:F,4,0)</f>
        <v>15709.5</v>
      </c>
    </row>
    <row r="317" spans="1:18" s="28" customFormat="1" ht="14.4" x14ac:dyDescent="0.3">
      <c r="A317" s="28">
        <v>71462</v>
      </c>
      <c r="B317" s="28" t="s">
        <v>2056</v>
      </c>
      <c r="C317" s="28">
        <v>15271369</v>
      </c>
      <c r="D317" s="28" t="s">
        <v>2057</v>
      </c>
      <c r="E317" s="28" t="s">
        <v>2057</v>
      </c>
      <c r="F317" s="28" t="s">
        <v>2057</v>
      </c>
      <c r="G317" s="28" t="s">
        <v>2058</v>
      </c>
      <c r="H317" s="28" t="s">
        <v>2059</v>
      </c>
      <c r="I317" s="28" t="s">
        <v>2060</v>
      </c>
      <c r="J317" s="28" t="s">
        <v>94</v>
      </c>
      <c r="K317" s="28" t="s">
        <v>164</v>
      </c>
      <c r="L317" s="28" t="s">
        <v>164</v>
      </c>
      <c r="M317" s="28">
        <v>68190</v>
      </c>
      <c r="N317" s="29" t="s">
        <v>716</v>
      </c>
      <c r="O317" s="24">
        <f>VLOOKUP(A317,Hoja1!A:C,3,0)</f>
        <v>16</v>
      </c>
      <c r="P317" s="30" t="str">
        <f>VLOOKUP(M317,[1]TIPOLOGIAS!$A:$F,4,0)</f>
        <v>BUCARAMANGA</v>
      </c>
      <c r="Q317" s="30" t="str">
        <f>VLOOKUP(P317,'BASE TARIFA 2025'!C:D,2,0)</f>
        <v>WOMPI SANTANDERES</v>
      </c>
      <c r="R317" s="31">
        <f>VLOOKUP(P317,'BASE TARIFA 2025'!C:F,4,0)</f>
        <v>15709.5</v>
      </c>
    </row>
    <row r="318" spans="1:18" s="28" customFormat="1" ht="14.4" x14ac:dyDescent="0.3">
      <c r="A318" s="28">
        <v>69282</v>
      </c>
      <c r="B318" s="28" t="s">
        <v>2061</v>
      </c>
      <c r="C318" s="28">
        <v>901522985</v>
      </c>
      <c r="D318" s="28" t="s">
        <v>2062</v>
      </c>
      <c r="E318" s="28" t="s">
        <v>2062</v>
      </c>
      <c r="F318" s="28" t="s">
        <v>2063</v>
      </c>
      <c r="G318" s="28" t="s">
        <v>2064</v>
      </c>
      <c r="H318" s="28" t="s">
        <v>2065</v>
      </c>
      <c r="I318" s="28" t="s">
        <v>2066</v>
      </c>
      <c r="J318" s="28" t="s">
        <v>94</v>
      </c>
      <c r="K318" s="28" t="s">
        <v>164</v>
      </c>
      <c r="L318" s="28" t="s">
        <v>164</v>
      </c>
      <c r="M318" s="28">
        <v>68190</v>
      </c>
      <c r="N318" s="29" t="s">
        <v>716</v>
      </c>
      <c r="O318" s="24">
        <f>VLOOKUP(A318,Hoja1!A:C,3,0)</f>
        <v>8</v>
      </c>
      <c r="P318" s="30" t="str">
        <f>VLOOKUP(M318,[1]TIPOLOGIAS!$A:$F,4,0)</f>
        <v>BUCARAMANGA</v>
      </c>
      <c r="Q318" s="30" t="str">
        <f>VLOOKUP(P318,'BASE TARIFA 2025'!C:D,2,0)</f>
        <v>WOMPI SANTANDERES</v>
      </c>
      <c r="R318" s="31">
        <f>VLOOKUP(P318,'BASE TARIFA 2025'!C:F,4,0)</f>
        <v>15709.5</v>
      </c>
    </row>
    <row r="319" spans="1:18" s="28" customFormat="1" ht="14.4" x14ac:dyDescent="0.3">
      <c r="A319" s="28">
        <v>43195</v>
      </c>
      <c r="B319" s="28" t="s">
        <v>2067</v>
      </c>
      <c r="C319" s="28">
        <v>13445896</v>
      </c>
      <c r="D319" s="28" t="s">
        <v>2068</v>
      </c>
      <c r="E319" s="28" t="s">
        <v>2068</v>
      </c>
      <c r="F319" s="28" t="s">
        <v>165</v>
      </c>
      <c r="G319" s="28" t="s">
        <v>2069</v>
      </c>
      <c r="H319" s="28" t="s">
        <v>2070</v>
      </c>
      <c r="I319" s="28" t="s">
        <v>2071</v>
      </c>
      <c r="J319" s="28" t="s">
        <v>94</v>
      </c>
      <c r="K319" s="28" t="s">
        <v>164</v>
      </c>
      <c r="L319" s="28" t="s">
        <v>164</v>
      </c>
      <c r="M319" s="28">
        <v>68190</v>
      </c>
      <c r="N319" s="29" t="s">
        <v>716</v>
      </c>
      <c r="O319" s="24">
        <f>VLOOKUP(A319,Hoja1!A:C,3,0)</f>
        <v>16</v>
      </c>
      <c r="P319" s="30" t="str">
        <f>VLOOKUP(M319,[1]TIPOLOGIAS!$A:$F,4,0)</f>
        <v>BUCARAMANGA</v>
      </c>
      <c r="Q319" s="30" t="str">
        <f>VLOOKUP(P319,'BASE TARIFA 2025'!C:D,2,0)</f>
        <v>WOMPI SANTANDERES</v>
      </c>
      <c r="R319" s="31">
        <f>VLOOKUP(P319,'BASE TARIFA 2025'!C:F,4,0)</f>
        <v>15709.5</v>
      </c>
    </row>
    <row r="320" spans="1:18" s="28" customFormat="1" ht="14.4" x14ac:dyDescent="0.3">
      <c r="A320" s="28">
        <v>42241</v>
      </c>
      <c r="B320" s="28" t="s">
        <v>2072</v>
      </c>
      <c r="C320" s="28">
        <v>1090452903</v>
      </c>
      <c r="D320" s="28" t="s">
        <v>2073</v>
      </c>
      <c r="E320" s="28" t="s">
        <v>2074</v>
      </c>
      <c r="F320" s="28" t="s">
        <v>2074</v>
      </c>
      <c r="G320" s="28" t="s">
        <v>2075</v>
      </c>
      <c r="H320" s="28" t="s">
        <v>2076</v>
      </c>
      <c r="I320" s="28" t="s">
        <v>2077</v>
      </c>
      <c r="J320" s="28" t="s">
        <v>94</v>
      </c>
      <c r="K320" s="28" t="s">
        <v>164</v>
      </c>
      <c r="L320" s="28" t="s">
        <v>164</v>
      </c>
      <c r="M320" s="28">
        <v>68190</v>
      </c>
      <c r="N320" s="29" t="s">
        <v>716</v>
      </c>
      <c r="O320" s="24">
        <f>VLOOKUP(A320,Hoja1!A:C,3,0)</f>
        <v>8</v>
      </c>
      <c r="P320" s="30" t="str">
        <f>VLOOKUP(M320,[1]TIPOLOGIAS!$A:$F,4,0)</f>
        <v>BUCARAMANGA</v>
      </c>
      <c r="Q320" s="30" t="str">
        <f>VLOOKUP(P320,'BASE TARIFA 2025'!C:D,2,0)</f>
        <v>WOMPI SANTANDERES</v>
      </c>
      <c r="R320" s="31">
        <f>VLOOKUP(P320,'BASE TARIFA 2025'!C:F,4,0)</f>
        <v>15709.5</v>
      </c>
    </row>
    <row r="321" spans="1:18" s="28" customFormat="1" ht="14.4" x14ac:dyDescent="0.3">
      <c r="A321" s="28">
        <v>42032</v>
      </c>
      <c r="B321" s="28" t="s">
        <v>2078</v>
      </c>
      <c r="C321" s="28">
        <v>900909774</v>
      </c>
      <c r="D321" s="28" t="s">
        <v>2079</v>
      </c>
      <c r="E321" s="28" t="s">
        <v>2080</v>
      </c>
      <c r="F321" s="28" t="s">
        <v>2080</v>
      </c>
      <c r="G321" s="28" t="s">
        <v>2081</v>
      </c>
      <c r="H321" s="28" t="s">
        <v>2082</v>
      </c>
      <c r="I321" s="28" t="s">
        <v>2083</v>
      </c>
      <c r="J321" s="28" t="s">
        <v>73</v>
      </c>
      <c r="K321" s="28" t="s">
        <v>2084</v>
      </c>
      <c r="L321" s="28" t="s">
        <v>2084</v>
      </c>
      <c r="M321" s="28">
        <v>15667</v>
      </c>
      <c r="N321" s="29" t="s">
        <v>536</v>
      </c>
      <c r="O321" s="24">
        <f>VLOOKUP(A321,Hoja1!A:C,3,0)</f>
        <v>8</v>
      </c>
      <c r="P321" s="30" t="str">
        <f>VLOOKUP(M321,[1]TIPOLOGIAS!$A:$F,4,0)</f>
        <v>TUNJA</v>
      </c>
      <c r="Q321" s="30" t="str">
        <f>VLOOKUP(P321,'BASE TARIFA 2025'!C:D,2,0)</f>
        <v>WOMPI SANTANDERES</v>
      </c>
      <c r="R321" s="31">
        <f>VLOOKUP(P321,'BASE TARIFA 2025'!C:F,4,0)</f>
        <v>28277.100000000002</v>
      </c>
    </row>
    <row r="322" spans="1:18" s="28" customFormat="1" ht="14.4" x14ac:dyDescent="0.3">
      <c r="A322" s="28">
        <v>42036</v>
      </c>
      <c r="B322" s="28" t="s">
        <v>2085</v>
      </c>
      <c r="C322" s="28">
        <v>900909774</v>
      </c>
      <c r="D322" s="28" t="s">
        <v>2086</v>
      </c>
      <c r="E322" s="28" t="s">
        <v>2087</v>
      </c>
      <c r="F322" s="28" t="s">
        <v>2087</v>
      </c>
      <c r="G322" s="28" t="s">
        <v>2088</v>
      </c>
      <c r="H322" s="28" t="s">
        <v>2089</v>
      </c>
      <c r="I322" s="28" t="s">
        <v>2090</v>
      </c>
      <c r="J322" s="28" t="s">
        <v>73</v>
      </c>
      <c r="K322" s="28" t="s">
        <v>2084</v>
      </c>
      <c r="L322" s="28" t="s">
        <v>2084</v>
      </c>
      <c r="M322" s="28">
        <v>15667</v>
      </c>
      <c r="N322" s="29" t="s">
        <v>560</v>
      </c>
      <c r="O322" s="24">
        <f>VLOOKUP(A322,Hoja1!A:C,3,0)</f>
        <v>8</v>
      </c>
      <c r="P322" s="30" t="str">
        <f>VLOOKUP(M322,[1]TIPOLOGIAS!$A:$F,4,0)</f>
        <v>TUNJA</v>
      </c>
      <c r="Q322" s="30" t="str">
        <f>VLOOKUP(P322,'BASE TARIFA 2025'!C:D,2,0)</f>
        <v>WOMPI SANTANDERES</v>
      </c>
      <c r="R322" s="31">
        <f>VLOOKUP(P322,'BASE TARIFA 2025'!C:F,4,0)</f>
        <v>28277.100000000002</v>
      </c>
    </row>
    <row r="323" spans="1:18" s="28" customFormat="1" ht="14.4" x14ac:dyDescent="0.3">
      <c r="A323" s="28">
        <v>42037</v>
      </c>
      <c r="B323" s="28" t="s">
        <v>2091</v>
      </c>
      <c r="C323" s="28">
        <v>900909774</v>
      </c>
      <c r="D323" s="28" t="s">
        <v>2092</v>
      </c>
      <c r="E323" s="28" t="s">
        <v>2092</v>
      </c>
      <c r="F323" s="28" t="s">
        <v>2092</v>
      </c>
      <c r="G323" s="28" t="s">
        <v>2093</v>
      </c>
      <c r="H323" s="28" t="s">
        <v>2094</v>
      </c>
      <c r="I323" s="28" t="s">
        <v>2095</v>
      </c>
      <c r="J323" s="28" t="s">
        <v>73</v>
      </c>
      <c r="K323" s="28" t="s">
        <v>2084</v>
      </c>
      <c r="L323" s="28" t="s">
        <v>2084</v>
      </c>
      <c r="M323" s="28">
        <v>15667</v>
      </c>
      <c r="N323" s="29" t="s">
        <v>536</v>
      </c>
      <c r="O323" s="24">
        <f>VLOOKUP(A323,Hoja1!A:C,3,0)</f>
        <v>8</v>
      </c>
      <c r="P323" s="30" t="str">
        <f>VLOOKUP(M323,[1]TIPOLOGIAS!$A:$F,4,0)</f>
        <v>TUNJA</v>
      </c>
      <c r="Q323" s="30" t="str">
        <f>VLOOKUP(P323,'BASE TARIFA 2025'!C:D,2,0)</f>
        <v>WOMPI SANTANDERES</v>
      </c>
      <c r="R323" s="31">
        <f>VLOOKUP(P323,'BASE TARIFA 2025'!C:F,4,0)</f>
        <v>28277.100000000002</v>
      </c>
    </row>
    <row r="324" spans="1:18" s="28" customFormat="1" ht="14.4" x14ac:dyDescent="0.3">
      <c r="A324" s="28">
        <v>39283</v>
      </c>
      <c r="B324" s="28" t="s">
        <v>2096</v>
      </c>
      <c r="C324" s="28">
        <v>1093770325</v>
      </c>
      <c r="D324" s="28" t="s">
        <v>2097</v>
      </c>
      <c r="E324" s="28" t="s">
        <v>2097</v>
      </c>
      <c r="F324" s="28" t="s">
        <v>2097</v>
      </c>
      <c r="G324" s="28" t="s">
        <v>2098</v>
      </c>
      <c r="H324" s="28" t="s">
        <v>2099</v>
      </c>
      <c r="I324" s="28" t="s">
        <v>2100</v>
      </c>
      <c r="J324" s="28" t="s">
        <v>73</v>
      </c>
      <c r="K324" s="28" t="s">
        <v>2084</v>
      </c>
      <c r="L324" s="28" t="s">
        <v>2084</v>
      </c>
      <c r="M324" s="28">
        <v>15667</v>
      </c>
      <c r="N324" s="29" t="s">
        <v>536</v>
      </c>
      <c r="O324" s="24">
        <f>VLOOKUP(A324,Hoja1!A:C,3,0)</f>
        <v>8</v>
      </c>
      <c r="P324" s="30" t="str">
        <f>VLOOKUP(M324,[1]TIPOLOGIAS!$A:$F,4,0)</f>
        <v>TUNJA</v>
      </c>
      <c r="Q324" s="30" t="str">
        <f>VLOOKUP(P324,'BASE TARIFA 2025'!C:D,2,0)</f>
        <v>WOMPI SANTANDERES</v>
      </c>
      <c r="R324" s="31">
        <f>VLOOKUP(P324,'BASE TARIFA 2025'!C:F,4,0)</f>
        <v>28277.100000000002</v>
      </c>
    </row>
    <row r="325" spans="1:18" s="28" customFormat="1" ht="14.4" x14ac:dyDescent="0.3">
      <c r="A325" s="28">
        <v>41848</v>
      </c>
      <c r="B325" s="28" t="s">
        <v>2101</v>
      </c>
      <c r="C325" s="28">
        <v>60373383</v>
      </c>
      <c r="D325" s="28" t="s">
        <v>2102</v>
      </c>
      <c r="E325" s="28" t="s">
        <v>2102</v>
      </c>
      <c r="F325" s="28" t="s">
        <v>2103</v>
      </c>
      <c r="G325" s="28" t="s">
        <v>2104</v>
      </c>
      <c r="H325" s="28" t="s">
        <v>2105</v>
      </c>
      <c r="I325" s="28" t="s">
        <v>2106</v>
      </c>
      <c r="J325" s="28" t="s">
        <v>73</v>
      </c>
      <c r="K325" s="28" t="s">
        <v>2084</v>
      </c>
      <c r="L325" s="28" t="s">
        <v>2084</v>
      </c>
      <c r="M325" s="28">
        <v>15667</v>
      </c>
      <c r="N325" s="29" t="s">
        <v>560</v>
      </c>
      <c r="O325" s="24">
        <f>VLOOKUP(A325,Hoja1!A:C,3,0)</f>
        <v>8</v>
      </c>
      <c r="P325" s="30" t="str">
        <f>VLOOKUP(M325,[1]TIPOLOGIAS!$A:$F,4,0)</f>
        <v>TUNJA</v>
      </c>
      <c r="Q325" s="30" t="str">
        <f>VLOOKUP(P325,'BASE TARIFA 2025'!C:D,2,0)</f>
        <v>WOMPI SANTANDERES</v>
      </c>
      <c r="R325" s="31">
        <f>VLOOKUP(P325,'BASE TARIFA 2025'!C:F,4,0)</f>
        <v>28277.100000000002</v>
      </c>
    </row>
    <row r="326" spans="1:18" s="28" customFormat="1" ht="14.4" x14ac:dyDescent="0.3">
      <c r="A326" s="28">
        <v>41849</v>
      </c>
      <c r="B326" s="28" t="s">
        <v>2107</v>
      </c>
      <c r="C326" s="28">
        <v>60373383</v>
      </c>
      <c r="E326" s="28" t="s">
        <v>2108</v>
      </c>
      <c r="F326" s="28" t="s">
        <v>2108</v>
      </c>
      <c r="G326" s="28" t="s">
        <v>2109</v>
      </c>
      <c r="H326" s="28" t="s">
        <v>2110</v>
      </c>
      <c r="I326" s="28" t="s">
        <v>2111</v>
      </c>
      <c r="J326" s="28" t="s">
        <v>73</v>
      </c>
      <c r="K326" s="28" t="s">
        <v>2112</v>
      </c>
      <c r="L326" s="28" t="s">
        <v>2112</v>
      </c>
      <c r="M326" s="28">
        <v>15690</v>
      </c>
      <c r="N326" s="29" t="s">
        <v>560</v>
      </c>
      <c r="O326" s="24">
        <f>VLOOKUP(A326,Hoja1!A:C,3,0)</f>
        <v>8</v>
      </c>
      <c r="P326" s="30" t="str">
        <f>VLOOKUP(M326,[1]TIPOLOGIAS!$A:$F,4,0)</f>
        <v>TUNJA</v>
      </c>
      <c r="Q326" s="30" t="str">
        <f>VLOOKUP(P326,'BASE TARIFA 2025'!C:D,2,0)</f>
        <v>WOMPI SANTANDERES</v>
      </c>
      <c r="R326" s="31">
        <f>VLOOKUP(P326,'BASE TARIFA 2025'!C:F,4,0)</f>
        <v>28277.100000000002</v>
      </c>
    </row>
    <row r="327" spans="1:18" s="28" customFormat="1" ht="14.4" x14ac:dyDescent="0.3">
      <c r="A327" s="28">
        <v>38478</v>
      </c>
      <c r="B327" s="28" t="s">
        <v>2113</v>
      </c>
      <c r="C327" s="28">
        <v>900576569</v>
      </c>
      <c r="D327" s="28" t="s">
        <v>2114</v>
      </c>
      <c r="E327" s="28" t="s">
        <v>2114</v>
      </c>
      <c r="F327" s="28" t="s">
        <v>2114</v>
      </c>
      <c r="G327" s="28" t="s">
        <v>2115</v>
      </c>
      <c r="H327" s="28" t="s">
        <v>2116</v>
      </c>
      <c r="I327" s="28" t="s">
        <v>2117</v>
      </c>
      <c r="J327" s="28" t="s">
        <v>73</v>
      </c>
      <c r="K327" s="28" t="s">
        <v>2112</v>
      </c>
      <c r="L327" s="28" t="s">
        <v>2112</v>
      </c>
      <c r="M327" s="28">
        <v>15690</v>
      </c>
      <c r="N327" s="29" t="s">
        <v>560</v>
      </c>
      <c r="O327" s="24">
        <f>VLOOKUP(A327,Hoja1!A:C,3,0)</f>
        <v>8</v>
      </c>
      <c r="P327" s="30" t="str">
        <f>VLOOKUP(M327,[1]TIPOLOGIAS!$A:$F,4,0)</f>
        <v>TUNJA</v>
      </c>
      <c r="Q327" s="30" t="str">
        <f>VLOOKUP(P327,'BASE TARIFA 2025'!C:D,2,0)</f>
        <v>WOMPI SANTANDERES</v>
      </c>
      <c r="R327" s="31">
        <f>VLOOKUP(P327,'BASE TARIFA 2025'!C:F,4,0)</f>
        <v>28277.100000000002</v>
      </c>
    </row>
    <row r="328" spans="1:18" s="28" customFormat="1" ht="14.4" x14ac:dyDescent="0.3">
      <c r="A328" s="28">
        <v>39106</v>
      </c>
      <c r="B328" s="28" t="s">
        <v>2118</v>
      </c>
      <c r="C328" s="28">
        <v>1094859024</v>
      </c>
      <c r="D328" s="28" t="s">
        <v>2119</v>
      </c>
      <c r="E328" s="28" t="s">
        <v>2119</v>
      </c>
      <c r="F328" s="28" t="s">
        <v>2119</v>
      </c>
      <c r="G328" s="28" t="s">
        <v>2120</v>
      </c>
      <c r="H328" s="28" t="s">
        <v>2121</v>
      </c>
      <c r="I328" s="28" t="s">
        <v>2122</v>
      </c>
      <c r="J328" s="28" t="s">
        <v>73</v>
      </c>
      <c r="K328" s="28" t="s">
        <v>2123</v>
      </c>
      <c r="L328" s="28" t="s">
        <v>2123</v>
      </c>
      <c r="M328" s="28">
        <v>15696</v>
      </c>
      <c r="N328" s="29" t="s">
        <v>756</v>
      </c>
      <c r="O328" s="24">
        <f>VLOOKUP(A328,Hoja1!A:C,3,0)</f>
        <v>8</v>
      </c>
      <c r="P328" s="30" t="str">
        <f>VLOOKUP(M328,[1]TIPOLOGIAS!$A:$F,4,0)</f>
        <v>TUNJA</v>
      </c>
      <c r="Q328" s="30" t="str">
        <f>VLOOKUP(P328,'BASE TARIFA 2025'!C:D,2,0)</f>
        <v>WOMPI SANTANDERES</v>
      </c>
      <c r="R328" s="31">
        <f>VLOOKUP(P328,'BASE TARIFA 2025'!C:F,4,0)</f>
        <v>28277.100000000002</v>
      </c>
    </row>
    <row r="329" spans="1:18" s="28" customFormat="1" ht="14.4" x14ac:dyDescent="0.3">
      <c r="A329" s="28">
        <v>38918</v>
      </c>
      <c r="B329" s="28" t="s">
        <v>2124</v>
      </c>
      <c r="C329" s="28">
        <v>13279052</v>
      </c>
      <c r="D329" s="28" t="s">
        <v>2125</v>
      </c>
      <c r="E329" s="28" t="s">
        <v>2125</v>
      </c>
      <c r="G329" s="28" t="s">
        <v>2126</v>
      </c>
      <c r="H329" s="28" t="s">
        <v>2127</v>
      </c>
      <c r="I329" s="28" t="s">
        <v>2128</v>
      </c>
      <c r="J329" s="28" t="s">
        <v>92</v>
      </c>
      <c r="K329" s="28" t="s">
        <v>2129</v>
      </c>
      <c r="L329" s="28" t="s">
        <v>2129</v>
      </c>
      <c r="M329" s="28">
        <v>54720</v>
      </c>
      <c r="N329" s="29" t="s">
        <v>790</v>
      </c>
      <c r="O329" s="24">
        <f>VLOOKUP(A329,Hoja1!A:C,3,0)</f>
        <v>8</v>
      </c>
      <c r="P329" s="30" t="str">
        <f>VLOOKUP(M329,[1]TIPOLOGIAS!$A:$F,4,0)</f>
        <v>CUCUTA</v>
      </c>
      <c r="Q329" s="30" t="str">
        <f>VLOOKUP(P329,'BASE TARIFA 2025'!C:D,2,0)</f>
        <v>WOMPI SANTANDERES</v>
      </c>
      <c r="R329" s="31">
        <f>VLOOKUP(P329,'BASE TARIFA 2025'!C:F,4,0)</f>
        <v>28277.100000000002</v>
      </c>
    </row>
    <row r="330" spans="1:18" s="28" customFormat="1" ht="14.4" x14ac:dyDescent="0.3">
      <c r="A330" s="28">
        <v>34206</v>
      </c>
      <c r="B330" s="28" t="s">
        <v>2130</v>
      </c>
      <c r="C330" s="28">
        <v>1090437740</v>
      </c>
      <c r="D330" s="28" t="s">
        <v>2131</v>
      </c>
      <c r="E330" s="28" t="s">
        <v>2132</v>
      </c>
      <c r="F330" s="28" t="s">
        <v>2132</v>
      </c>
      <c r="G330" s="28" t="s">
        <v>2133</v>
      </c>
      <c r="H330" s="28" t="s">
        <v>2134</v>
      </c>
      <c r="I330" s="28" t="s">
        <v>2135</v>
      </c>
      <c r="J330" s="28" t="s">
        <v>92</v>
      </c>
      <c r="K330" s="28" t="s">
        <v>107</v>
      </c>
      <c r="L330" s="28" t="s">
        <v>107</v>
      </c>
      <c r="M330" s="28">
        <v>54874</v>
      </c>
      <c r="N330" s="29" t="s">
        <v>744</v>
      </c>
      <c r="O330" s="24">
        <f>VLOOKUP(A330,Hoja1!A:C,3,0)</f>
        <v>8</v>
      </c>
      <c r="P330" s="30" t="str">
        <f>VLOOKUP(M330,[1]TIPOLOGIAS!$A:$F,4,0)</f>
        <v>CUCUTA</v>
      </c>
      <c r="Q330" s="30" t="str">
        <f>VLOOKUP(P330,'BASE TARIFA 2025'!C:D,2,0)</f>
        <v>WOMPI SANTANDERES</v>
      </c>
      <c r="R330" s="31">
        <f>VLOOKUP(P330,'BASE TARIFA 2025'!C:F,4,0)</f>
        <v>28277.100000000002</v>
      </c>
    </row>
    <row r="331" spans="1:18" s="28" customFormat="1" ht="14.4" x14ac:dyDescent="0.3">
      <c r="A331" s="28">
        <v>34862</v>
      </c>
      <c r="B331" s="28" t="s">
        <v>2136</v>
      </c>
      <c r="C331" s="28">
        <v>60286580</v>
      </c>
      <c r="D331" s="28" t="s">
        <v>2137</v>
      </c>
      <c r="E331" s="28" t="s">
        <v>2137</v>
      </c>
      <c r="F331" s="28" t="s">
        <v>2137</v>
      </c>
      <c r="G331" s="28" t="s">
        <v>2138</v>
      </c>
      <c r="H331" s="28" t="s">
        <v>2139</v>
      </c>
      <c r="I331" s="28" t="s">
        <v>2140</v>
      </c>
      <c r="J331" s="28" t="s">
        <v>92</v>
      </c>
      <c r="K331" s="28" t="s">
        <v>107</v>
      </c>
      <c r="L331" s="28" t="s">
        <v>107</v>
      </c>
      <c r="M331" s="28">
        <v>54874</v>
      </c>
      <c r="N331" s="29" t="s">
        <v>756</v>
      </c>
      <c r="O331" s="24">
        <f>VLOOKUP(A331,Hoja1!A:C,3,0)</f>
        <v>16</v>
      </c>
      <c r="P331" s="30" t="str">
        <f>VLOOKUP(M331,[1]TIPOLOGIAS!$A:$F,4,0)</f>
        <v>CUCUTA</v>
      </c>
      <c r="Q331" s="30" t="str">
        <f>VLOOKUP(P331,'BASE TARIFA 2025'!C:D,2,0)</f>
        <v>WOMPI SANTANDERES</v>
      </c>
      <c r="R331" s="31">
        <f>VLOOKUP(P331,'BASE TARIFA 2025'!C:F,4,0)</f>
        <v>28277.100000000002</v>
      </c>
    </row>
    <row r="332" spans="1:18" s="28" customFormat="1" ht="14.4" x14ac:dyDescent="0.3">
      <c r="A332" s="28">
        <v>37338</v>
      </c>
      <c r="B332" s="28" t="s">
        <v>2141</v>
      </c>
      <c r="C332" s="28">
        <v>901081359</v>
      </c>
      <c r="D332" s="28" t="s">
        <v>2142</v>
      </c>
      <c r="E332" s="28" t="s">
        <v>2142</v>
      </c>
      <c r="F332" s="28" t="s">
        <v>2143</v>
      </c>
      <c r="G332" s="28" t="s">
        <v>2144</v>
      </c>
      <c r="H332" s="28" t="s">
        <v>2145</v>
      </c>
      <c r="I332" s="28" t="s">
        <v>2146</v>
      </c>
      <c r="J332" s="28" t="s">
        <v>92</v>
      </c>
      <c r="K332" s="28" t="s">
        <v>107</v>
      </c>
      <c r="L332" s="28" t="s">
        <v>107</v>
      </c>
      <c r="M332" s="28">
        <v>54874</v>
      </c>
      <c r="N332" s="29" t="s">
        <v>744</v>
      </c>
      <c r="O332" s="24">
        <f>VLOOKUP(A332,Hoja1!A:C,3,0)</f>
        <v>8</v>
      </c>
      <c r="P332" s="30" t="str">
        <f>VLOOKUP(M332,[1]TIPOLOGIAS!$A:$F,4,0)</f>
        <v>CUCUTA</v>
      </c>
      <c r="Q332" s="30" t="str">
        <f>VLOOKUP(P332,'BASE TARIFA 2025'!C:D,2,0)</f>
        <v>WOMPI SANTANDERES</v>
      </c>
      <c r="R332" s="31">
        <f>VLOOKUP(P332,'BASE TARIFA 2025'!C:F,4,0)</f>
        <v>28277.100000000002</v>
      </c>
    </row>
    <row r="333" spans="1:18" s="28" customFormat="1" ht="14.4" x14ac:dyDescent="0.3">
      <c r="A333" s="28">
        <v>63970</v>
      </c>
      <c r="B333" s="28" t="s">
        <v>2147</v>
      </c>
      <c r="C333" s="28">
        <v>901522985</v>
      </c>
      <c r="D333" s="28" t="s">
        <v>2148</v>
      </c>
      <c r="E333" s="28" t="s">
        <v>2148</v>
      </c>
      <c r="F333" s="28" t="s">
        <v>2148</v>
      </c>
      <c r="G333" s="28" t="s">
        <v>2149</v>
      </c>
      <c r="H333" s="28" t="s">
        <v>2150</v>
      </c>
      <c r="I333" s="28" t="s">
        <v>2151</v>
      </c>
      <c r="J333" s="28" t="s">
        <v>92</v>
      </c>
      <c r="K333" s="28" t="s">
        <v>107</v>
      </c>
      <c r="L333" s="28" t="s">
        <v>107</v>
      </c>
      <c r="M333" s="28">
        <v>54874</v>
      </c>
      <c r="N333" s="29" t="s">
        <v>744</v>
      </c>
      <c r="O333" s="24">
        <f>VLOOKUP(A333,Hoja1!A:C,3,0)</f>
        <v>8</v>
      </c>
      <c r="P333" s="30" t="str">
        <f>VLOOKUP(M333,[1]TIPOLOGIAS!$A:$F,4,0)</f>
        <v>CUCUTA</v>
      </c>
      <c r="Q333" s="30" t="str">
        <f>VLOOKUP(P333,'BASE TARIFA 2025'!C:D,2,0)</f>
        <v>WOMPI SANTANDERES</v>
      </c>
      <c r="R333" s="31">
        <f>VLOOKUP(P333,'BASE TARIFA 2025'!C:F,4,0)</f>
        <v>28277.100000000002</v>
      </c>
    </row>
    <row r="334" spans="1:18" s="28" customFormat="1" ht="14.4" x14ac:dyDescent="0.3">
      <c r="A334" s="28">
        <v>29271</v>
      </c>
      <c r="B334" s="28" t="s">
        <v>2152</v>
      </c>
      <c r="C334" s="28">
        <v>17320832</v>
      </c>
      <c r="D334" s="28" t="s">
        <v>2153</v>
      </c>
      <c r="E334" s="28" t="s">
        <v>2154</v>
      </c>
      <c r="F334" s="28" t="s">
        <v>2154</v>
      </c>
      <c r="G334" s="28" t="s">
        <v>2155</v>
      </c>
      <c r="H334" s="28" t="s">
        <v>2156</v>
      </c>
      <c r="I334" s="28" t="s">
        <v>2157</v>
      </c>
      <c r="J334" s="28" t="s">
        <v>92</v>
      </c>
      <c r="K334" s="28" t="s">
        <v>107</v>
      </c>
      <c r="L334" s="28" t="s">
        <v>107</v>
      </c>
      <c r="M334" s="28">
        <v>54874</v>
      </c>
      <c r="N334" s="29" t="s">
        <v>744</v>
      </c>
      <c r="O334" s="24">
        <f>VLOOKUP(A334,Hoja1!A:C,3,0)</f>
        <v>8</v>
      </c>
      <c r="P334" s="30" t="str">
        <f>VLOOKUP(M334,[1]TIPOLOGIAS!$A:$F,4,0)</f>
        <v>CUCUTA</v>
      </c>
      <c r="Q334" s="30" t="str">
        <f>VLOOKUP(P334,'BASE TARIFA 2025'!C:D,2,0)</f>
        <v>WOMPI SANTANDERES</v>
      </c>
      <c r="R334" s="31">
        <f>VLOOKUP(P334,'BASE TARIFA 2025'!C:F,4,0)</f>
        <v>28277.100000000002</v>
      </c>
    </row>
    <row r="335" spans="1:18" s="28" customFormat="1" ht="14.4" x14ac:dyDescent="0.3">
      <c r="A335" s="28">
        <v>29576</v>
      </c>
      <c r="B335" s="28" t="s">
        <v>2158</v>
      </c>
      <c r="C335" s="28">
        <v>900469704</v>
      </c>
      <c r="D335" s="28" t="s">
        <v>2159</v>
      </c>
      <c r="E335" s="28" t="s">
        <v>2160</v>
      </c>
      <c r="F335" s="28" t="s">
        <v>2160</v>
      </c>
      <c r="G335" s="28" t="s">
        <v>2161</v>
      </c>
      <c r="H335" s="28" t="s">
        <v>2162</v>
      </c>
      <c r="I335" s="28" t="s">
        <v>2163</v>
      </c>
      <c r="J335" s="28" t="s">
        <v>94</v>
      </c>
      <c r="K335" s="28" t="s">
        <v>203</v>
      </c>
      <c r="L335" s="28" t="s">
        <v>203</v>
      </c>
      <c r="M335" s="28">
        <v>68307</v>
      </c>
      <c r="N335" s="29" t="s">
        <v>1159</v>
      </c>
      <c r="O335" s="24">
        <f>VLOOKUP(A335,Hoja1!A:C,3,0)</f>
        <v>8</v>
      </c>
      <c r="P335" s="30" t="str">
        <f>VLOOKUP(M335,[1]TIPOLOGIAS!$A:$F,4,0)</f>
        <v>BUCARAMANGA</v>
      </c>
      <c r="Q335" s="30" t="str">
        <f>VLOOKUP(P335,'BASE TARIFA 2025'!C:D,2,0)</f>
        <v>WOMPI SANTANDERES</v>
      </c>
      <c r="R335" s="31">
        <f>VLOOKUP(P335,'BASE TARIFA 2025'!C:F,4,0)</f>
        <v>15709.5</v>
      </c>
    </row>
    <row r="336" spans="1:18" s="28" customFormat="1" ht="14.4" x14ac:dyDescent="0.3">
      <c r="A336" s="28">
        <v>31898</v>
      </c>
      <c r="B336" s="28" t="s">
        <v>2164</v>
      </c>
      <c r="C336" s="28">
        <v>37724618</v>
      </c>
      <c r="D336" s="28" t="s">
        <v>2165</v>
      </c>
      <c r="E336" s="28" t="s">
        <v>2165</v>
      </c>
      <c r="F336" s="28" t="s">
        <v>2165</v>
      </c>
      <c r="G336" s="28" t="s">
        <v>2166</v>
      </c>
      <c r="H336" s="28" t="s">
        <v>2167</v>
      </c>
      <c r="I336" s="28" t="s">
        <v>2168</v>
      </c>
      <c r="J336" s="28" t="s">
        <v>94</v>
      </c>
      <c r="K336" s="28" t="s">
        <v>203</v>
      </c>
      <c r="L336" s="28" t="s">
        <v>203</v>
      </c>
      <c r="M336" s="28">
        <v>68307</v>
      </c>
      <c r="N336" s="29" t="s">
        <v>638</v>
      </c>
      <c r="O336" s="24">
        <f>VLOOKUP(A336,Hoja1!A:C,3,0)</f>
        <v>8</v>
      </c>
      <c r="P336" s="30" t="str">
        <f>VLOOKUP(M336,[1]TIPOLOGIAS!$A:$F,4,0)</f>
        <v>BUCARAMANGA</v>
      </c>
      <c r="Q336" s="30" t="str">
        <f>VLOOKUP(P336,'BASE TARIFA 2025'!C:D,2,0)</f>
        <v>WOMPI SANTANDERES</v>
      </c>
      <c r="R336" s="31">
        <f>VLOOKUP(P336,'BASE TARIFA 2025'!C:F,4,0)</f>
        <v>15709.5</v>
      </c>
    </row>
    <row r="337" spans="1:18" s="28" customFormat="1" ht="14.4" x14ac:dyDescent="0.3">
      <c r="A337" s="28">
        <v>28659</v>
      </c>
      <c r="B337" s="28" t="s">
        <v>2169</v>
      </c>
      <c r="C337" s="28">
        <v>900576569</v>
      </c>
      <c r="D337" s="28" t="s">
        <v>2170</v>
      </c>
      <c r="E337" s="28" t="s">
        <v>2170</v>
      </c>
      <c r="F337" s="28" t="s">
        <v>2170</v>
      </c>
      <c r="G337" s="28" t="s">
        <v>2171</v>
      </c>
      <c r="H337" s="28" t="s">
        <v>2172</v>
      </c>
      <c r="I337" s="28" t="s">
        <v>2173</v>
      </c>
      <c r="J337" s="28" t="s">
        <v>94</v>
      </c>
      <c r="K337" s="28" t="s">
        <v>203</v>
      </c>
      <c r="L337" s="28" t="s">
        <v>203</v>
      </c>
      <c r="M337" s="28">
        <v>68307</v>
      </c>
      <c r="N337" s="29" t="s">
        <v>756</v>
      </c>
      <c r="O337" s="24">
        <f>VLOOKUP(A337,Hoja1!A:C,3,0)</f>
        <v>8</v>
      </c>
      <c r="P337" s="30" t="str">
        <f>VLOOKUP(M337,[1]TIPOLOGIAS!$A:$F,4,0)</f>
        <v>BUCARAMANGA</v>
      </c>
      <c r="Q337" s="30" t="str">
        <f>VLOOKUP(P337,'BASE TARIFA 2025'!C:D,2,0)</f>
        <v>WOMPI SANTANDERES</v>
      </c>
      <c r="R337" s="31">
        <f>VLOOKUP(P337,'BASE TARIFA 2025'!C:F,4,0)</f>
        <v>15709.5</v>
      </c>
    </row>
    <row r="338" spans="1:18" s="28" customFormat="1" ht="14.4" x14ac:dyDescent="0.3">
      <c r="A338" s="28">
        <v>23561</v>
      </c>
      <c r="B338" s="28" t="s">
        <v>2174</v>
      </c>
      <c r="C338" s="28">
        <v>18188083</v>
      </c>
      <c r="D338" s="28" t="s">
        <v>2175</v>
      </c>
      <c r="E338" s="28" t="s">
        <v>2165</v>
      </c>
      <c r="F338" s="28" t="s">
        <v>2165</v>
      </c>
      <c r="G338" s="28" t="s">
        <v>2176</v>
      </c>
      <c r="H338" s="28" t="s">
        <v>2177</v>
      </c>
      <c r="I338" s="28" t="s">
        <v>2178</v>
      </c>
      <c r="J338" s="28" t="s">
        <v>94</v>
      </c>
      <c r="K338" s="28" t="s">
        <v>203</v>
      </c>
      <c r="L338" s="28" t="s">
        <v>203</v>
      </c>
      <c r="M338" s="28">
        <v>68307</v>
      </c>
      <c r="N338" s="29" t="s">
        <v>638</v>
      </c>
      <c r="O338" s="24">
        <f>VLOOKUP(A338,Hoja1!A:C,3,0)</f>
        <v>16</v>
      </c>
      <c r="P338" s="30" t="str">
        <f>VLOOKUP(M338,[1]TIPOLOGIAS!$A:$F,4,0)</f>
        <v>BUCARAMANGA</v>
      </c>
      <c r="Q338" s="30" t="str">
        <f>VLOOKUP(P338,'BASE TARIFA 2025'!C:D,2,0)</f>
        <v>WOMPI SANTANDERES</v>
      </c>
      <c r="R338" s="31">
        <f>VLOOKUP(P338,'BASE TARIFA 2025'!C:F,4,0)</f>
        <v>15709.5</v>
      </c>
    </row>
    <row r="339" spans="1:18" s="28" customFormat="1" ht="14.4" x14ac:dyDescent="0.3">
      <c r="A339" s="28">
        <v>17512</v>
      </c>
      <c r="B339" s="28" t="s">
        <v>2179</v>
      </c>
      <c r="C339" s="28">
        <v>24391026</v>
      </c>
      <c r="D339" s="28" t="s">
        <v>2180</v>
      </c>
      <c r="E339" s="28" t="s">
        <v>2181</v>
      </c>
      <c r="F339" s="28" t="s">
        <v>2181</v>
      </c>
      <c r="G339" s="28" t="s">
        <v>2182</v>
      </c>
      <c r="H339" s="28" t="s">
        <v>2183</v>
      </c>
      <c r="I339" s="28" t="s">
        <v>2184</v>
      </c>
      <c r="J339" s="28" t="s">
        <v>94</v>
      </c>
      <c r="K339" s="28" t="s">
        <v>203</v>
      </c>
      <c r="L339" s="28" t="s">
        <v>203</v>
      </c>
      <c r="M339" s="28">
        <v>68307</v>
      </c>
      <c r="N339" s="29" t="s">
        <v>756</v>
      </c>
      <c r="O339" s="24" t="e">
        <f>VLOOKUP(A339,Hoja1!A:C,3,0)</f>
        <v>#N/A</v>
      </c>
      <c r="P339" s="30" t="str">
        <f>VLOOKUP(M339,[1]TIPOLOGIAS!$A:$F,4,0)</f>
        <v>BUCARAMANGA</v>
      </c>
      <c r="Q339" s="30" t="str">
        <f>VLOOKUP(P339,'BASE TARIFA 2025'!C:D,2,0)</f>
        <v>WOMPI SANTANDERES</v>
      </c>
      <c r="R339" s="31">
        <f>VLOOKUP(P339,'BASE TARIFA 2025'!C:F,4,0)</f>
        <v>15709.5</v>
      </c>
    </row>
    <row r="340" spans="1:18" s="28" customFormat="1" ht="14.4" x14ac:dyDescent="0.3">
      <c r="A340" s="28">
        <v>25851</v>
      </c>
      <c r="B340" s="28" t="s">
        <v>2185</v>
      </c>
      <c r="C340" s="28">
        <v>901021437</v>
      </c>
      <c r="D340" s="28" t="s">
        <v>2186</v>
      </c>
      <c r="E340" s="28" t="s">
        <v>2187</v>
      </c>
      <c r="F340" s="28" t="s">
        <v>2187</v>
      </c>
      <c r="G340" s="28" t="s">
        <v>2188</v>
      </c>
      <c r="H340" s="28" t="s">
        <v>2189</v>
      </c>
      <c r="I340" s="28" t="s">
        <v>2190</v>
      </c>
      <c r="J340" s="28" t="s">
        <v>94</v>
      </c>
      <c r="K340" s="28" t="s">
        <v>203</v>
      </c>
      <c r="L340" s="28" t="s">
        <v>203</v>
      </c>
      <c r="M340" s="28">
        <v>68307</v>
      </c>
      <c r="N340" s="29" t="s">
        <v>1159</v>
      </c>
      <c r="O340" s="24">
        <f>VLOOKUP(A340,Hoja1!A:C,3,0)</f>
        <v>8</v>
      </c>
      <c r="P340" s="30" t="str">
        <f>VLOOKUP(M340,[1]TIPOLOGIAS!$A:$F,4,0)</f>
        <v>BUCARAMANGA</v>
      </c>
      <c r="Q340" s="30" t="str">
        <f>VLOOKUP(P340,'BASE TARIFA 2025'!C:D,2,0)</f>
        <v>WOMPI SANTANDERES</v>
      </c>
      <c r="R340" s="31">
        <f>VLOOKUP(P340,'BASE TARIFA 2025'!C:F,4,0)</f>
        <v>15709.5</v>
      </c>
    </row>
    <row r="341" spans="1:18" s="28" customFormat="1" ht="14.4" x14ac:dyDescent="0.3">
      <c r="A341" s="28">
        <v>50963</v>
      </c>
      <c r="B341" s="28" t="s">
        <v>2191</v>
      </c>
      <c r="C341" s="28">
        <v>24391026</v>
      </c>
      <c r="D341" s="28" t="s">
        <v>2192</v>
      </c>
      <c r="E341" s="28" t="s">
        <v>2193</v>
      </c>
      <c r="F341" s="28" t="s">
        <v>2193</v>
      </c>
      <c r="G341" s="28" t="s">
        <v>2194</v>
      </c>
      <c r="H341" s="28" t="s">
        <v>2195</v>
      </c>
      <c r="I341" s="28" t="s">
        <v>2196</v>
      </c>
      <c r="J341" s="28" t="s">
        <v>94</v>
      </c>
      <c r="K341" s="28" t="s">
        <v>2197</v>
      </c>
      <c r="L341" s="28" t="s">
        <v>2197</v>
      </c>
      <c r="M341" s="28">
        <v>68327</v>
      </c>
      <c r="N341" s="29" t="s">
        <v>655</v>
      </c>
      <c r="O341" s="24" t="e">
        <f>VLOOKUP(A341,Hoja1!A:C,3,0)</f>
        <v>#N/A</v>
      </c>
      <c r="P341" s="30" t="str">
        <f>VLOOKUP(M341,[1]TIPOLOGIAS!$A:$F,4,0)</f>
        <v>BUCARAMANGA</v>
      </c>
      <c r="Q341" s="30" t="str">
        <f>VLOOKUP(P341,'BASE TARIFA 2025'!C:D,2,0)</f>
        <v>WOMPI SANTANDERES</v>
      </c>
      <c r="R341" s="31">
        <f>VLOOKUP(P341,'BASE TARIFA 2025'!C:F,4,0)</f>
        <v>15709.5</v>
      </c>
    </row>
    <row r="342" spans="1:18" s="28" customFormat="1" ht="14.4" x14ac:dyDescent="0.3">
      <c r="A342" s="28">
        <v>60536</v>
      </c>
      <c r="B342" s="28" t="s">
        <v>2198</v>
      </c>
      <c r="C342" s="28">
        <v>8419046</v>
      </c>
      <c r="D342" s="28" t="s">
        <v>2199</v>
      </c>
      <c r="E342" s="28" t="s">
        <v>2200</v>
      </c>
      <c r="F342" s="28" t="s">
        <v>2200</v>
      </c>
      <c r="G342" s="28" t="s">
        <v>2201</v>
      </c>
      <c r="H342" s="28" t="s">
        <v>2202</v>
      </c>
      <c r="I342" s="28" t="s">
        <v>2203</v>
      </c>
      <c r="J342" s="28" t="s">
        <v>94</v>
      </c>
      <c r="K342" s="28" t="s">
        <v>2197</v>
      </c>
      <c r="L342" s="28" t="s">
        <v>2197</v>
      </c>
      <c r="M342" s="28">
        <v>68327</v>
      </c>
      <c r="N342" s="29" t="s">
        <v>655</v>
      </c>
      <c r="O342" s="24">
        <f>VLOOKUP(A342,Hoja1!A:C,3,0)</f>
        <v>16</v>
      </c>
      <c r="P342" s="30" t="str">
        <f>VLOOKUP(M342,[1]TIPOLOGIAS!$A:$F,4,0)</f>
        <v>BUCARAMANGA</v>
      </c>
      <c r="Q342" s="30" t="str">
        <f>VLOOKUP(P342,'BASE TARIFA 2025'!C:D,2,0)</f>
        <v>WOMPI SANTANDERES</v>
      </c>
      <c r="R342" s="31">
        <f>VLOOKUP(P342,'BASE TARIFA 2025'!C:F,4,0)</f>
        <v>15709.5</v>
      </c>
    </row>
    <row r="343" spans="1:18" s="28" customFormat="1" ht="14.4" x14ac:dyDescent="0.3">
      <c r="A343" s="28">
        <v>78878</v>
      </c>
      <c r="B343" s="28" t="s">
        <v>2204</v>
      </c>
      <c r="C343" s="28">
        <v>71634504</v>
      </c>
      <c r="D343" s="28" t="s">
        <v>2205</v>
      </c>
      <c r="E343" s="28" t="s">
        <v>2205</v>
      </c>
      <c r="F343" s="28" t="s">
        <v>2205</v>
      </c>
      <c r="G343" s="28" t="s">
        <v>2206</v>
      </c>
      <c r="H343" s="28" t="s">
        <v>2207</v>
      </c>
      <c r="I343" s="28" t="s">
        <v>2208</v>
      </c>
      <c r="J343" s="28" t="s">
        <v>94</v>
      </c>
      <c r="K343" s="28" t="s">
        <v>2197</v>
      </c>
      <c r="L343" s="28" t="s">
        <v>2197</v>
      </c>
      <c r="M343" s="28">
        <v>68327</v>
      </c>
      <c r="N343" s="29" t="s">
        <v>655</v>
      </c>
      <c r="O343" s="24">
        <f>VLOOKUP(A343,Hoja1!A:C,3,0)</f>
        <v>8</v>
      </c>
      <c r="P343" s="30" t="str">
        <f>VLOOKUP(M343,[1]TIPOLOGIAS!$A:$F,4,0)</f>
        <v>BUCARAMANGA</v>
      </c>
      <c r="Q343" s="30" t="str">
        <f>VLOOKUP(P343,'BASE TARIFA 2025'!C:D,2,0)</f>
        <v>WOMPI SANTANDERES</v>
      </c>
      <c r="R343" s="31">
        <f>VLOOKUP(P343,'BASE TARIFA 2025'!C:F,4,0)</f>
        <v>15709.5</v>
      </c>
    </row>
    <row r="344" spans="1:18" s="28" customFormat="1" ht="14.4" x14ac:dyDescent="0.3">
      <c r="A344" s="28">
        <v>66792</v>
      </c>
      <c r="B344" s="28" t="s">
        <v>2209</v>
      </c>
      <c r="C344" s="28">
        <v>4472369</v>
      </c>
      <c r="D344" s="28" t="s">
        <v>2210</v>
      </c>
      <c r="E344" s="28" t="s">
        <v>2210</v>
      </c>
      <c r="F344" s="28" t="s">
        <v>2210</v>
      </c>
      <c r="G344" s="28" t="s">
        <v>2211</v>
      </c>
      <c r="H344" s="28" t="s">
        <v>2212</v>
      </c>
      <c r="I344" s="28" t="s">
        <v>2213</v>
      </c>
      <c r="J344" s="28" t="s">
        <v>94</v>
      </c>
      <c r="K344" s="28" t="s">
        <v>2197</v>
      </c>
      <c r="L344" s="28" t="s">
        <v>2197</v>
      </c>
      <c r="M344" s="28">
        <v>68327</v>
      </c>
      <c r="N344" s="29" t="s">
        <v>655</v>
      </c>
      <c r="O344" s="24">
        <f>VLOOKUP(A344,Hoja1!A:C,3,0)</f>
        <v>8</v>
      </c>
      <c r="P344" s="30" t="str">
        <f>VLOOKUP(M344,[1]TIPOLOGIAS!$A:$F,4,0)</f>
        <v>BUCARAMANGA</v>
      </c>
      <c r="Q344" s="30" t="str">
        <f>VLOOKUP(P344,'BASE TARIFA 2025'!C:D,2,0)</f>
        <v>WOMPI SANTANDERES</v>
      </c>
      <c r="R344" s="31">
        <f>VLOOKUP(P344,'BASE TARIFA 2025'!C:F,4,0)</f>
        <v>15709.5</v>
      </c>
    </row>
    <row r="345" spans="1:18" s="28" customFormat="1" ht="14.4" x14ac:dyDescent="0.3">
      <c r="A345" s="28">
        <v>63865</v>
      </c>
      <c r="B345" s="28" t="s">
        <v>2214</v>
      </c>
      <c r="C345" s="28">
        <v>900490352</v>
      </c>
      <c r="D345" s="28" t="s">
        <v>2215</v>
      </c>
      <c r="E345" s="28" t="s">
        <v>2216</v>
      </c>
      <c r="F345" s="28" t="s">
        <v>2216</v>
      </c>
      <c r="G345" s="28" t="s">
        <v>2217</v>
      </c>
      <c r="H345" s="28" t="s">
        <v>2218</v>
      </c>
      <c r="I345" s="28" t="s">
        <v>2219</v>
      </c>
      <c r="J345" s="28" t="s">
        <v>94</v>
      </c>
      <c r="K345" s="28" t="s">
        <v>2197</v>
      </c>
      <c r="L345" s="28" t="s">
        <v>2197</v>
      </c>
      <c r="M345" s="28">
        <v>68327</v>
      </c>
      <c r="N345" s="29" t="s">
        <v>655</v>
      </c>
      <c r="O345" s="24">
        <f>VLOOKUP(A345,Hoja1!A:C,3,0)</f>
        <v>8</v>
      </c>
      <c r="P345" s="30" t="str">
        <f>VLOOKUP(M345,[1]TIPOLOGIAS!$A:$F,4,0)</f>
        <v>BUCARAMANGA</v>
      </c>
      <c r="Q345" s="30" t="str">
        <f>VLOOKUP(P345,'BASE TARIFA 2025'!C:D,2,0)</f>
        <v>WOMPI SANTANDERES</v>
      </c>
      <c r="R345" s="31">
        <f>VLOOKUP(P345,'BASE TARIFA 2025'!C:F,4,0)</f>
        <v>15709.5</v>
      </c>
    </row>
    <row r="346" spans="1:18" s="28" customFormat="1" ht="14.4" x14ac:dyDescent="0.3">
      <c r="A346" s="28">
        <v>66881</v>
      </c>
      <c r="B346" s="28" t="s">
        <v>2220</v>
      </c>
      <c r="C346" s="28">
        <v>901615052</v>
      </c>
      <c r="D346" s="28" t="s">
        <v>2221</v>
      </c>
      <c r="E346" s="28" t="s">
        <v>2222</v>
      </c>
      <c r="F346" s="28" t="s">
        <v>2222</v>
      </c>
      <c r="G346" s="28" t="s">
        <v>2223</v>
      </c>
      <c r="H346" s="28" t="s">
        <v>2224</v>
      </c>
      <c r="I346" s="28" t="s">
        <v>2225</v>
      </c>
      <c r="J346" s="28" t="s">
        <v>94</v>
      </c>
      <c r="K346" s="28" t="s">
        <v>2226</v>
      </c>
      <c r="L346" s="28" t="s">
        <v>2226</v>
      </c>
      <c r="M346" s="28">
        <v>68533</v>
      </c>
      <c r="N346" s="29" t="s">
        <v>1012</v>
      </c>
      <c r="O346" s="24">
        <f>VLOOKUP(A346,Hoja1!A:C,3,0)</f>
        <v>8</v>
      </c>
      <c r="P346" s="30" t="str">
        <f>VLOOKUP(M346,[1]TIPOLOGIAS!$A:$F,4,0)</f>
        <v>BUCARAMANGA</v>
      </c>
      <c r="Q346" s="30" t="str">
        <f>VLOOKUP(P346,'BASE TARIFA 2025'!C:D,2,0)</f>
        <v>WOMPI SANTANDERES</v>
      </c>
      <c r="R346" s="31">
        <f>VLOOKUP(P346,'BASE TARIFA 2025'!C:F,4,0)</f>
        <v>15709.5</v>
      </c>
    </row>
    <row r="347" spans="1:18" s="28" customFormat="1" ht="14.4" x14ac:dyDescent="0.3">
      <c r="A347" s="28">
        <v>41315</v>
      </c>
      <c r="B347" s="28" t="s">
        <v>2227</v>
      </c>
      <c r="C347" s="28">
        <v>901148765</v>
      </c>
      <c r="D347" s="28" t="s">
        <v>2228</v>
      </c>
      <c r="E347" s="28" t="s">
        <v>2228</v>
      </c>
      <c r="F347" s="28" t="s">
        <v>2228</v>
      </c>
      <c r="G347" s="28" t="s">
        <v>2229</v>
      </c>
      <c r="H347" s="28" t="s">
        <v>2230</v>
      </c>
      <c r="I347" s="28" t="s">
        <v>2231</v>
      </c>
      <c r="J347" s="28" t="s">
        <v>94</v>
      </c>
      <c r="K347" s="28" t="s">
        <v>2226</v>
      </c>
      <c r="L347" s="28" t="s">
        <v>2226</v>
      </c>
      <c r="M347" s="28">
        <v>68533</v>
      </c>
      <c r="N347" s="29" t="s">
        <v>1012</v>
      </c>
      <c r="O347" s="24">
        <f>VLOOKUP(A347,Hoja1!A:C,3,0)</f>
        <v>8</v>
      </c>
      <c r="P347" s="30" t="str">
        <f>VLOOKUP(M347,[1]TIPOLOGIAS!$A:$F,4,0)</f>
        <v>BUCARAMANGA</v>
      </c>
      <c r="Q347" s="30" t="str">
        <f>VLOOKUP(P347,'BASE TARIFA 2025'!C:D,2,0)</f>
        <v>WOMPI SANTANDERES</v>
      </c>
      <c r="R347" s="31">
        <f>VLOOKUP(P347,'BASE TARIFA 2025'!C:F,4,0)</f>
        <v>15709.5</v>
      </c>
    </row>
    <row r="348" spans="1:18" s="28" customFormat="1" ht="14.4" x14ac:dyDescent="0.3">
      <c r="A348" s="28">
        <v>36823</v>
      </c>
      <c r="B348" s="28" t="s">
        <v>2232</v>
      </c>
      <c r="C348" s="28">
        <v>900958988</v>
      </c>
      <c r="D348" s="28" t="s">
        <v>2233</v>
      </c>
      <c r="E348" s="28" t="s">
        <v>2233</v>
      </c>
      <c r="G348" s="28" t="s">
        <v>2234</v>
      </c>
      <c r="H348" s="28" t="s">
        <v>2235</v>
      </c>
      <c r="I348" s="28" t="s">
        <v>2236</v>
      </c>
      <c r="J348" s="28" t="s">
        <v>73</v>
      </c>
      <c r="K348" s="28" t="s">
        <v>2123</v>
      </c>
      <c r="L348" s="28" t="s">
        <v>2123</v>
      </c>
      <c r="M348" s="28">
        <v>15696</v>
      </c>
      <c r="N348" s="29" t="s">
        <v>756</v>
      </c>
      <c r="O348" s="24">
        <f>VLOOKUP(A348,Hoja1!A:C,3,0)</f>
        <v>8</v>
      </c>
      <c r="P348" s="30" t="str">
        <f>VLOOKUP(M348,[1]TIPOLOGIAS!$A:$F,4,0)</f>
        <v>TUNJA</v>
      </c>
      <c r="Q348" s="30" t="str">
        <f>VLOOKUP(P348,'BASE TARIFA 2025'!C:D,2,0)</f>
        <v>WOMPI SANTANDERES</v>
      </c>
      <c r="R348" s="31">
        <f>VLOOKUP(P348,'BASE TARIFA 2025'!C:F,4,0)</f>
        <v>28277.100000000002</v>
      </c>
    </row>
    <row r="349" spans="1:18" s="28" customFormat="1" ht="14.4" x14ac:dyDescent="0.3">
      <c r="A349" s="28">
        <v>38864</v>
      </c>
      <c r="B349" s="28" t="s">
        <v>2237</v>
      </c>
      <c r="C349" s="28">
        <v>900595830</v>
      </c>
      <c r="D349" s="28" t="s">
        <v>2238</v>
      </c>
      <c r="E349" s="28" t="s">
        <v>2239</v>
      </c>
      <c r="F349" s="28" t="s">
        <v>2239</v>
      </c>
      <c r="G349" s="28" t="s">
        <v>2240</v>
      </c>
      <c r="H349" s="28" t="s">
        <v>2241</v>
      </c>
      <c r="I349" s="28" t="s">
        <v>2242</v>
      </c>
      <c r="J349" s="28" t="s">
        <v>73</v>
      </c>
      <c r="K349" s="28" t="s">
        <v>78</v>
      </c>
      <c r="L349" s="28" t="s">
        <v>78</v>
      </c>
      <c r="M349" s="28">
        <v>15861</v>
      </c>
      <c r="N349" s="29" t="s">
        <v>638</v>
      </c>
      <c r="O349" s="24">
        <f>VLOOKUP(A349,Hoja1!A:C,3,0)</f>
        <v>8</v>
      </c>
      <c r="P349" s="30" t="str">
        <f>VLOOKUP(M349,[1]TIPOLOGIAS!$A:$F,4,0)</f>
        <v>TUNJA</v>
      </c>
      <c r="Q349" s="30" t="str">
        <f>VLOOKUP(P349,'BASE TARIFA 2025'!C:D,2,0)</f>
        <v>WOMPI SANTANDERES</v>
      </c>
      <c r="R349" s="31">
        <f>VLOOKUP(P349,'BASE TARIFA 2025'!C:F,4,0)</f>
        <v>28277.100000000002</v>
      </c>
    </row>
    <row r="350" spans="1:18" s="28" customFormat="1" ht="14.4" x14ac:dyDescent="0.3">
      <c r="A350" s="28">
        <v>52284</v>
      </c>
      <c r="B350" s="28" t="s">
        <v>2243</v>
      </c>
      <c r="C350" s="28">
        <v>70826023</v>
      </c>
      <c r="D350" s="28" t="s">
        <v>2244</v>
      </c>
      <c r="E350" s="28" t="s">
        <v>2245</v>
      </c>
      <c r="F350" s="28" t="s">
        <v>2245</v>
      </c>
      <c r="G350" s="28" t="s">
        <v>2246</v>
      </c>
      <c r="H350" s="28" t="s">
        <v>2247</v>
      </c>
      <c r="I350" s="28" t="s">
        <v>2248</v>
      </c>
      <c r="J350" s="28" t="s">
        <v>73</v>
      </c>
      <c r="K350" s="28" t="s">
        <v>78</v>
      </c>
      <c r="L350" s="28" t="s">
        <v>78</v>
      </c>
      <c r="M350" s="28">
        <v>15861</v>
      </c>
      <c r="N350" s="29" t="s">
        <v>638</v>
      </c>
      <c r="O350" s="24">
        <f>VLOOKUP(A350,Hoja1!A:C,3,0)</f>
        <v>16</v>
      </c>
      <c r="P350" s="30" t="str">
        <f>VLOOKUP(M350,[1]TIPOLOGIAS!$A:$F,4,0)</f>
        <v>TUNJA</v>
      </c>
      <c r="Q350" s="30" t="str">
        <f>VLOOKUP(P350,'BASE TARIFA 2025'!C:D,2,0)</f>
        <v>WOMPI SANTANDERES</v>
      </c>
      <c r="R350" s="31">
        <f>VLOOKUP(P350,'BASE TARIFA 2025'!C:F,4,0)</f>
        <v>28277.100000000002</v>
      </c>
    </row>
    <row r="351" spans="1:18" s="28" customFormat="1" ht="14.4" x14ac:dyDescent="0.3">
      <c r="A351" s="28">
        <v>77904</v>
      </c>
      <c r="B351" s="28" t="s">
        <v>2249</v>
      </c>
      <c r="C351" s="28">
        <v>1067940364</v>
      </c>
      <c r="D351" s="28" t="s">
        <v>2250</v>
      </c>
      <c r="E351" s="28" t="s">
        <v>2250</v>
      </c>
      <c r="F351" s="28" t="s">
        <v>2250</v>
      </c>
      <c r="G351" s="28" t="s">
        <v>2251</v>
      </c>
      <c r="H351" s="28" t="s">
        <v>2252</v>
      </c>
      <c r="I351" s="28" t="s">
        <v>2253</v>
      </c>
      <c r="J351" s="28" t="s">
        <v>73</v>
      </c>
      <c r="K351" s="28" t="s">
        <v>78</v>
      </c>
      <c r="L351" s="28" t="s">
        <v>78</v>
      </c>
      <c r="M351" s="28">
        <v>15861</v>
      </c>
      <c r="N351" s="29" t="s">
        <v>638</v>
      </c>
      <c r="O351" s="24">
        <f>VLOOKUP(A351,Hoja1!A:C,3,0)</f>
        <v>8</v>
      </c>
      <c r="P351" s="30" t="str">
        <f>VLOOKUP(M351,[1]TIPOLOGIAS!$A:$F,4,0)</f>
        <v>TUNJA</v>
      </c>
      <c r="Q351" s="30" t="str">
        <f>VLOOKUP(P351,'BASE TARIFA 2025'!C:D,2,0)</f>
        <v>WOMPI SANTANDERES</v>
      </c>
      <c r="R351" s="31">
        <f>VLOOKUP(P351,'BASE TARIFA 2025'!C:F,4,0)</f>
        <v>28277.100000000002</v>
      </c>
    </row>
    <row r="352" spans="1:18" s="28" customFormat="1" ht="14.4" x14ac:dyDescent="0.3">
      <c r="A352" s="28">
        <v>77682</v>
      </c>
      <c r="B352" s="28" t="s">
        <v>2254</v>
      </c>
      <c r="C352" s="28">
        <v>37275797</v>
      </c>
      <c r="D352" s="28" t="s">
        <v>2255</v>
      </c>
      <c r="E352" s="28" t="s">
        <v>2255</v>
      </c>
      <c r="F352" s="28" t="s">
        <v>2255</v>
      </c>
      <c r="G352" s="28" t="s">
        <v>2256</v>
      </c>
      <c r="H352" s="28" t="s">
        <v>2257</v>
      </c>
      <c r="I352" s="28" t="s">
        <v>2258</v>
      </c>
      <c r="J352" s="28" t="s">
        <v>73</v>
      </c>
      <c r="K352" s="28" t="s">
        <v>78</v>
      </c>
      <c r="L352" s="28" t="s">
        <v>78</v>
      </c>
      <c r="M352" s="28">
        <v>15861</v>
      </c>
      <c r="N352" s="29" t="s">
        <v>638</v>
      </c>
      <c r="O352" s="24">
        <f>VLOOKUP(A352,Hoja1!A:C,3,0)</f>
        <v>8</v>
      </c>
      <c r="P352" s="30" t="str">
        <f>VLOOKUP(M352,[1]TIPOLOGIAS!$A:$F,4,0)</f>
        <v>TUNJA</v>
      </c>
      <c r="Q352" s="30" t="str">
        <f>VLOOKUP(P352,'BASE TARIFA 2025'!C:D,2,0)</f>
        <v>WOMPI SANTANDERES</v>
      </c>
      <c r="R352" s="31">
        <f>VLOOKUP(P352,'BASE TARIFA 2025'!C:F,4,0)</f>
        <v>28277.100000000002</v>
      </c>
    </row>
    <row r="353" spans="1:18" s="28" customFormat="1" ht="14.4" x14ac:dyDescent="0.3">
      <c r="A353" s="28">
        <v>77931</v>
      </c>
      <c r="B353" s="28" t="s">
        <v>2259</v>
      </c>
      <c r="C353" s="28">
        <v>1067852833</v>
      </c>
      <c r="D353" s="28" t="s">
        <v>2244</v>
      </c>
      <c r="E353" s="28" t="s">
        <v>2260</v>
      </c>
      <c r="F353" s="28" t="s">
        <v>2260</v>
      </c>
      <c r="G353" s="28" t="s">
        <v>2261</v>
      </c>
      <c r="H353" s="28" t="s">
        <v>2262</v>
      </c>
      <c r="I353" s="28" t="s">
        <v>2263</v>
      </c>
      <c r="J353" s="28" t="s">
        <v>73</v>
      </c>
      <c r="K353" s="28" t="s">
        <v>78</v>
      </c>
      <c r="L353" s="28" t="s">
        <v>78</v>
      </c>
      <c r="M353" s="28">
        <v>15861</v>
      </c>
      <c r="N353" s="29" t="s">
        <v>638</v>
      </c>
      <c r="O353" s="24">
        <f>VLOOKUP(A353,Hoja1!A:C,3,0)</f>
        <v>8</v>
      </c>
      <c r="P353" s="30" t="str">
        <f>VLOOKUP(M353,[1]TIPOLOGIAS!$A:$F,4,0)</f>
        <v>TUNJA</v>
      </c>
      <c r="Q353" s="30" t="str">
        <f>VLOOKUP(P353,'BASE TARIFA 2025'!C:D,2,0)</f>
        <v>WOMPI SANTANDERES</v>
      </c>
      <c r="R353" s="31">
        <f>VLOOKUP(P353,'BASE TARIFA 2025'!C:F,4,0)</f>
        <v>28277.100000000002</v>
      </c>
    </row>
    <row r="354" spans="1:18" s="28" customFormat="1" ht="14.4" x14ac:dyDescent="0.3">
      <c r="A354" s="28">
        <v>77932</v>
      </c>
      <c r="B354" s="28" t="s">
        <v>2264</v>
      </c>
      <c r="C354" s="28">
        <v>1067930375</v>
      </c>
      <c r="D354" s="28" t="s">
        <v>69</v>
      </c>
      <c r="E354" s="28" t="s">
        <v>186</v>
      </c>
      <c r="F354" s="28" t="s">
        <v>186</v>
      </c>
      <c r="G354" s="28" t="s">
        <v>2265</v>
      </c>
      <c r="H354" s="28" t="s">
        <v>2266</v>
      </c>
      <c r="I354" s="28" t="s">
        <v>2267</v>
      </c>
      <c r="J354" s="28" t="s">
        <v>79</v>
      </c>
      <c r="K354" s="28" t="s">
        <v>80</v>
      </c>
      <c r="L354" s="28" t="s">
        <v>80</v>
      </c>
      <c r="M354" s="28">
        <v>17042</v>
      </c>
      <c r="N354" s="29" t="s">
        <v>744</v>
      </c>
      <c r="O354" s="24">
        <f>VLOOKUP(A354,Hoja1!A:C,3,0)</f>
        <v>8</v>
      </c>
      <c r="P354" s="30" t="str">
        <f>VLOOKUP(M354,[1]TIPOLOGIAS!$A:$F,4,0)</f>
        <v>MANIZALES</v>
      </c>
      <c r="Q354" s="30" t="str">
        <f>VLOOKUP(P354,'BASE TARIFA 2025'!C:D,2,0)</f>
        <v>WOMPI EJE CAFETERO</v>
      </c>
      <c r="R354" s="31">
        <f>VLOOKUP(P354,'BASE TARIFA 2025'!C:F,4,0)</f>
        <v>28277.100000000002</v>
      </c>
    </row>
    <row r="355" spans="1:18" s="28" customFormat="1" ht="14.4" x14ac:dyDescent="0.3">
      <c r="A355" s="28">
        <v>78089</v>
      </c>
      <c r="B355" s="28" t="s">
        <v>2268</v>
      </c>
      <c r="C355" s="28">
        <v>1047464518</v>
      </c>
      <c r="D355" s="28" t="s">
        <v>2269</v>
      </c>
      <c r="E355" s="28" t="s">
        <v>2269</v>
      </c>
      <c r="F355" s="28" t="s">
        <v>2270</v>
      </c>
      <c r="G355" s="28" t="s">
        <v>2271</v>
      </c>
      <c r="H355" s="28" t="s">
        <v>2272</v>
      </c>
      <c r="I355" s="28" t="s">
        <v>2273</v>
      </c>
      <c r="J355" s="28" t="s">
        <v>79</v>
      </c>
      <c r="K355" s="28" t="s">
        <v>80</v>
      </c>
      <c r="L355" s="28" t="s">
        <v>80</v>
      </c>
      <c r="M355" s="28">
        <v>17042</v>
      </c>
      <c r="N355" s="29" t="s">
        <v>542</v>
      </c>
      <c r="O355" s="24">
        <f>VLOOKUP(A355,Hoja1!A:C,3,0)</f>
        <v>8</v>
      </c>
      <c r="P355" s="30" t="str">
        <f>VLOOKUP(M355,[1]TIPOLOGIAS!$A:$F,4,0)</f>
        <v>MANIZALES</v>
      </c>
      <c r="Q355" s="30" t="str">
        <f>VLOOKUP(P355,'BASE TARIFA 2025'!C:D,2,0)</f>
        <v>WOMPI EJE CAFETERO</v>
      </c>
      <c r="R355" s="31">
        <f>VLOOKUP(P355,'BASE TARIFA 2025'!C:F,4,0)</f>
        <v>28277.100000000002</v>
      </c>
    </row>
    <row r="356" spans="1:18" s="28" customFormat="1" ht="14.4" x14ac:dyDescent="0.3">
      <c r="A356" s="28">
        <v>77464</v>
      </c>
      <c r="B356" s="28" t="s">
        <v>2274</v>
      </c>
      <c r="C356" s="28">
        <v>78115134</v>
      </c>
      <c r="D356" s="28" t="s">
        <v>81</v>
      </c>
      <c r="E356" s="28" t="s">
        <v>2275</v>
      </c>
      <c r="F356" s="28" t="s">
        <v>2275</v>
      </c>
      <c r="G356" s="28" t="s">
        <v>2276</v>
      </c>
      <c r="H356" s="28" t="s">
        <v>2277</v>
      </c>
      <c r="I356" s="28" t="s">
        <v>2278</v>
      </c>
      <c r="J356" s="28" t="s">
        <v>79</v>
      </c>
      <c r="K356" s="28" t="s">
        <v>80</v>
      </c>
      <c r="L356" s="28" t="s">
        <v>80</v>
      </c>
      <c r="M356" s="28">
        <v>17042</v>
      </c>
      <c r="N356" s="29" t="s">
        <v>542</v>
      </c>
      <c r="O356" s="24">
        <f>VLOOKUP(A356,Hoja1!A:C,3,0)</f>
        <v>8</v>
      </c>
      <c r="P356" s="30" t="str">
        <f>VLOOKUP(M356,[1]TIPOLOGIAS!$A:$F,4,0)</f>
        <v>MANIZALES</v>
      </c>
      <c r="Q356" s="30" t="str">
        <f>VLOOKUP(P356,'BASE TARIFA 2025'!C:D,2,0)</f>
        <v>WOMPI EJE CAFETERO</v>
      </c>
      <c r="R356" s="31">
        <f>VLOOKUP(P356,'BASE TARIFA 2025'!C:F,4,0)</f>
        <v>28277.100000000002</v>
      </c>
    </row>
    <row r="357" spans="1:18" s="28" customFormat="1" ht="14.4" x14ac:dyDescent="0.3">
      <c r="A357" s="28">
        <v>76317</v>
      </c>
      <c r="B357" s="28" t="s">
        <v>2279</v>
      </c>
      <c r="C357" s="28">
        <v>25894834</v>
      </c>
      <c r="D357" s="28" t="s">
        <v>2280</v>
      </c>
      <c r="E357" s="28" t="s">
        <v>2281</v>
      </c>
      <c r="F357" s="28" t="s">
        <v>2281</v>
      </c>
      <c r="G357" s="28" t="s">
        <v>2282</v>
      </c>
      <c r="H357" s="28" t="s">
        <v>2283</v>
      </c>
      <c r="I357" s="28" t="s">
        <v>2284</v>
      </c>
      <c r="J357" s="28" t="s">
        <v>70</v>
      </c>
      <c r="K357" s="28" t="s">
        <v>2285</v>
      </c>
      <c r="L357" s="28" t="s">
        <v>2285</v>
      </c>
      <c r="M357" s="28">
        <v>25592</v>
      </c>
      <c r="N357" s="29" t="s">
        <v>1173</v>
      </c>
      <c r="O357" s="24">
        <f>VLOOKUP(A357,Hoja1!A:C,3,0)</f>
        <v>16</v>
      </c>
      <c r="P357" s="30" t="str">
        <f>VLOOKUP(M357,[1]TIPOLOGIAS!$A:$F,4,0)</f>
        <v>BOGOTA</v>
      </c>
      <c r="Q357" s="30" t="str">
        <f>VLOOKUP(P357,'BASE TARIFA 2025'!C:D,2,0)</f>
        <v>WOMPI CENTRO</v>
      </c>
      <c r="R357" s="31">
        <f>VLOOKUP(P357,'BASE TARIFA 2025'!C:F,4,0)</f>
        <v>15709.5</v>
      </c>
    </row>
    <row r="358" spans="1:18" s="28" customFormat="1" ht="14.4" x14ac:dyDescent="0.3">
      <c r="A358" s="28">
        <v>75645</v>
      </c>
      <c r="B358" s="28" t="s">
        <v>2286</v>
      </c>
      <c r="C358" s="28">
        <v>45447332</v>
      </c>
      <c r="D358" s="28" t="s">
        <v>2287</v>
      </c>
      <c r="E358" s="28" t="s">
        <v>2288</v>
      </c>
      <c r="F358" s="28" t="s">
        <v>2288</v>
      </c>
      <c r="G358" s="28" t="s">
        <v>2289</v>
      </c>
      <c r="H358" s="28" t="s">
        <v>2290</v>
      </c>
      <c r="I358" s="28" t="s">
        <v>2291</v>
      </c>
      <c r="J358" s="28" t="s">
        <v>70</v>
      </c>
      <c r="K358" s="28" t="s">
        <v>2285</v>
      </c>
      <c r="L358" s="28" t="s">
        <v>2285</v>
      </c>
      <c r="M358" s="28">
        <v>25592</v>
      </c>
      <c r="N358" s="29" t="s">
        <v>1173</v>
      </c>
      <c r="O358" s="24">
        <f>VLOOKUP(A358,Hoja1!A:C,3,0)</f>
        <v>16</v>
      </c>
      <c r="P358" s="30" t="str">
        <f>VLOOKUP(M358,[1]TIPOLOGIAS!$A:$F,4,0)</f>
        <v>BOGOTA</v>
      </c>
      <c r="Q358" s="30" t="str">
        <f>VLOOKUP(P358,'BASE TARIFA 2025'!C:D,2,0)</f>
        <v>WOMPI CENTRO</v>
      </c>
      <c r="R358" s="31">
        <f>VLOOKUP(P358,'BASE TARIFA 2025'!C:F,4,0)</f>
        <v>15709.5</v>
      </c>
    </row>
    <row r="359" spans="1:18" s="28" customFormat="1" ht="14.4" x14ac:dyDescent="0.3">
      <c r="A359" s="28">
        <v>74578</v>
      </c>
      <c r="B359" s="28" t="s">
        <v>2292</v>
      </c>
      <c r="C359" s="28">
        <v>98512551</v>
      </c>
      <c r="E359" s="28" t="s">
        <v>2293</v>
      </c>
      <c r="F359" s="28" t="s">
        <v>2293</v>
      </c>
      <c r="G359" s="28" t="s">
        <v>2294</v>
      </c>
      <c r="H359" s="28" t="s">
        <v>2295</v>
      </c>
      <c r="I359" s="28" t="s">
        <v>2296</v>
      </c>
      <c r="J359" s="28" t="s">
        <v>70</v>
      </c>
      <c r="K359" s="28" t="s">
        <v>2285</v>
      </c>
      <c r="L359" s="28" t="s">
        <v>2285</v>
      </c>
      <c r="M359" s="28">
        <v>25592</v>
      </c>
      <c r="N359" s="29" t="s">
        <v>1159</v>
      </c>
      <c r="O359" s="24">
        <f>VLOOKUP(A359,Hoja1!A:C,3,0)</f>
        <v>8</v>
      </c>
      <c r="P359" s="30" t="str">
        <f>VLOOKUP(M359,[1]TIPOLOGIAS!$A:$F,4,0)</f>
        <v>BOGOTA</v>
      </c>
      <c r="Q359" s="30" t="str">
        <f>VLOOKUP(P359,'BASE TARIFA 2025'!C:D,2,0)</f>
        <v>WOMPI CENTRO</v>
      </c>
      <c r="R359" s="31">
        <f>VLOOKUP(P359,'BASE TARIFA 2025'!C:F,4,0)</f>
        <v>15709.5</v>
      </c>
    </row>
    <row r="360" spans="1:18" s="28" customFormat="1" ht="14.4" x14ac:dyDescent="0.3">
      <c r="A360" s="28">
        <v>50575</v>
      </c>
      <c r="B360" s="28" t="s">
        <v>2297</v>
      </c>
      <c r="C360" s="28">
        <v>901234354</v>
      </c>
      <c r="D360" s="28" t="s">
        <v>2298</v>
      </c>
      <c r="E360" s="28" t="s">
        <v>2299</v>
      </c>
      <c r="F360" s="28" t="s">
        <v>2299</v>
      </c>
      <c r="G360" s="28" t="s">
        <v>2300</v>
      </c>
      <c r="H360" s="28" t="s">
        <v>2301</v>
      </c>
      <c r="I360" s="28" t="s">
        <v>2302</v>
      </c>
      <c r="J360" s="28" t="s">
        <v>70</v>
      </c>
      <c r="K360" s="28" t="s">
        <v>2285</v>
      </c>
      <c r="L360" s="28" t="s">
        <v>2285</v>
      </c>
      <c r="M360" s="28">
        <v>25592</v>
      </c>
      <c r="N360" s="29" t="s">
        <v>1159</v>
      </c>
      <c r="O360" s="24">
        <f>VLOOKUP(A360,Hoja1!A:C,3,0)</f>
        <v>16</v>
      </c>
      <c r="P360" s="30" t="str">
        <f>VLOOKUP(M360,[1]TIPOLOGIAS!$A:$F,4,0)</f>
        <v>BOGOTA</v>
      </c>
      <c r="Q360" s="30" t="str">
        <f>VLOOKUP(P360,'BASE TARIFA 2025'!C:D,2,0)</f>
        <v>WOMPI CENTRO</v>
      </c>
      <c r="R360" s="31">
        <f>VLOOKUP(P360,'BASE TARIFA 2025'!C:F,4,0)</f>
        <v>15709.5</v>
      </c>
    </row>
    <row r="361" spans="1:18" s="28" customFormat="1" ht="14.4" x14ac:dyDescent="0.3">
      <c r="A361" s="28">
        <v>57687</v>
      </c>
      <c r="B361" s="28" t="s">
        <v>2303</v>
      </c>
      <c r="C361" s="28">
        <v>1130950794</v>
      </c>
      <c r="D361" s="28" t="s">
        <v>2304</v>
      </c>
      <c r="E361" s="28" t="s">
        <v>2304</v>
      </c>
      <c r="F361" s="28" t="s">
        <v>2304</v>
      </c>
      <c r="G361" s="28" t="s">
        <v>2305</v>
      </c>
      <c r="H361" s="28" t="s">
        <v>2306</v>
      </c>
      <c r="I361" s="28" t="s">
        <v>2307</v>
      </c>
      <c r="J361" s="28" t="s">
        <v>70</v>
      </c>
      <c r="K361" s="28" t="s">
        <v>2285</v>
      </c>
      <c r="L361" s="28" t="s">
        <v>2285</v>
      </c>
      <c r="M361" s="28">
        <v>25592</v>
      </c>
      <c r="N361" s="29" t="s">
        <v>1159</v>
      </c>
      <c r="O361" s="24" t="e">
        <f>VLOOKUP(A361,Hoja1!A:C,3,0)</f>
        <v>#N/A</v>
      </c>
      <c r="P361" s="30" t="str">
        <f>VLOOKUP(M361,[1]TIPOLOGIAS!$A:$F,4,0)</f>
        <v>BOGOTA</v>
      </c>
      <c r="Q361" s="30" t="str">
        <f>VLOOKUP(P361,'BASE TARIFA 2025'!C:D,2,0)</f>
        <v>WOMPI CENTRO</v>
      </c>
      <c r="R361" s="31">
        <f>VLOOKUP(P361,'BASE TARIFA 2025'!C:F,4,0)</f>
        <v>15709.5</v>
      </c>
    </row>
    <row r="362" spans="1:18" s="28" customFormat="1" ht="14.4" x14ac:dyDescent="0.3">
      <c r="A362" s="28">
        <v>74955</v>
      </c>
      <c r="B362" s="28" t="s">
        <v>2308</v>
      </c>
      <c r="C362" s="28">
        <v>25857146</v>
      </c>
      <c r="D362" s="28" t="s">
        <v>2309</v>
      </c>
      <c r="E362" s="28" t="s">
        <v>2310</v>
      </c>
      <c r="F362" s="28" t="s">
        <v>2310</v>
      </c>
      <c r="G362" s="28" t="s">
        <v>2311</v>
      </c>
      <c r="H362" s="28" t="s">
        <v>2312</v>
      </c>
      <c r="I362" s="28" t="s">
        <v>2313</v>
      </c>
      <c r="J362" s="28" t="s">
        <v>70</v>
      </c>
      <c r="K362" s="28" t="s">
        <v>123</v>
      </c>
      <c r="L362" s="28" t="s">
        <v>123</v>
      </c>
      <c r="M362" s="28">
        <v>25649</v>
      </c>
      <c r="N362" s="29" t="s">
        <v>716</v>
      </c>
      <c r="O362" s="24">
        <f>VLOOKUP(A362,Hoja1!A:C,3,0)</f>
        <v>8</v>
      </c>
      <c r="P362" s="30" t="str">
        <f>VLOOKUP(M362,[1]TIPOLOGIAS!$A:$F,4,0)</f>
        <v>BOGOTA</v>
      </c>
      <c r="Q362" s="30" t="str">
        <f>VLOOKUP(P362,'BASE TARIFA 2025'!C:D,2,0)</f>
        <v>WOMPI CENTRO</v>
      </c>
      <c r="R362" s="31">
        <f>VLOOKUP(P362,'BASE TARIFA 2025'!C:F,4,0)</f>
        <v>15709.5</v>
      </c>
    </row>
    <row r="363" spans="1:18" s="28" customFormat="1" ht="14.4" x14ac:dyDescent="0.3">
      <c r="A363" s="28">
        <v>73043</v>
      </c>
      <c r="B363" s="28" t="s">
        <v>2314</v>
      </c>
      <c r="C363" s="28">
        <v>1067945268</v>
      </c>
      <c r="D363" s="28" t="s">
        <v>2315</v>
      </c>
      <c r="E363" s="28" t="s">
        <v>2315</v>
      </c>
      <c r="F363" s="28" t="s">
        <v>2315</v>
      </c>
      <c r="G363" s="28" t="s">
        <v>2316</v>
      </c>
      <c r="H363" s="28" t="s">
        <v>2317</v>
      </c>
      <c r="I363" s="28" t="s">
        <v>2318</v>
      </c>
      <c r="J363" s="28" t="s">
        <v>70</v>
      </c>
      <c r="K363" s="28" t="s">
        <v>123</v>
      </c>
      <c r="L363" s="28" t="s">
        <v>123</v>
      </c>
      <c r="M363" s="28">
        <v>25649</v>
      </c>
      <c r="N363" s="29" t="s">
        <v>716</v>
      </c>
      <c r="O363" s="24">
        <f>VLOOKUP(A363,Hoja1!A:C,3,0)</f>
        <v>16</v>
      </c>
      <c r="P363" s="30" t="str">
        <f>VLOOKUP(M363,[1]TIPOLOGIAS!$A:$F,4,0)</f>
        <v>BOGOTA</v>
      </c>
      <c r="Q363" s="30" t="str">
        <f>VLOOKUP(P363,'BASE TARIFA 2025'!C:D,2,0)</f>
        <v>WOMPI CENTRO</v>
      </c>
      <c r="R363" s="31">
        <f>VLOOKUP(P363,'BASE TARIFA 2025'!C:F,4,0)</f>
        <v>15709.5</v>
      </c>
    </row>
    <row r="364" spans="1:18" s="28" customFormat="1" ht="14.4" x14ac:dyDescent="0.3">
      <c r="A364" s="28">
        <v>72143</v>
      </c>
      <c r="B364" s="28" t="s">
        <v>2319</v>
      </c>
      <c r="C364" s="28">
        <v>1131108725</v>
      </c>
      <c r="D364" s="28" t="s">
        <v>2320</v>
      </c>
      <c r="E364" s="28" t="s">
        <v>2320</v>
      </c>
      <c r="G364" s="28" t="s">
        <v>2321</v>
      </c>
      <c r="H364" s="28" t="s">
        <v>2322</v>
      </c>
      <c r="I364" s="28" t="s">
        <v>2323</v>
      </c>
      <c r="J364" s="28" t="s">
        <v>70</v>
      </c>
      <c r="K364" s="28" t="s">
        <v>123</v>
      </c>
      <c r="L364" s="28" t="s">
        <v>123</v>
      </c>
      <c r="M364" s="28">
        <v>25649</v>
      </c>
      <c r="N364" s="29" t="s">
        <v>716</v>
      </c>
      <c r="O364" s="24">
        <f>VLOOKUP(A364,Hoja1!A:C,3,0)</f>
        <v>8</v>
      </c>
      <c r="P364" s="30" t="str">
        <f>VLOOKUP(M364,[1]TIPOLOGIAS!$A:$F,4,0)</f>
        <v>BOGOTA</v>
      </c>
      <c r="Q364" s="30" t="str">
        <f>VLOOKUP(P364,'BASE TARIFA 2025'!C:D,2,0)</f>
        <v>WOMPI CENTRO</v>
      </c>
      <c r="R364" s="31">
        <f>VLOOKUP(P364,'BASE TARIFA 2025'!C:F,4,0)</f>
        <v>15709.5</v>
      </c>
    </row>
    <row r="365" spans="1:18" s="28" customFormat="1" ht="14.4" x14ac:dyDescent="0.3">
      <c r="A365" s="28">
        <v>72144</v>
      </c>
      <c r="B365" s="28" t="s">
        <v>2324</v>
      </c>
      <c r="C365" s="28">
        <v>1131108725</v>
      </c>
      <c r="D365" s="28" t="s">
        <v>2325</v>
      </c>
      <c r="E365" s="28" t="s">
        <v>2325</v>
      </c>
      <c r="F365" s="28" t="s">
        <v>2326</v>
      </c>
      <c r="G365" s="28" t="s">
        <v>2327</v>
      </c>
      <c r="H365" s="28" t="s">
        <v>2328</v>
      </c>
      <c r="I365" s="28" t="s">
        <v>2329</v>
      </c>
      <c r="J365" s="28" t="s">
        <v>70</v>
      </c>
      <c r="K365" s="28" t="s">
        <v>123</v>
      </c>
      <c r="L365" s="28" t="s">
        <v>123</v>
      </c>
      <c r="M365" s="28">
        <v>25649</v>
      </c>
      <c r="N365" s="29" t="s">
        <v>716</v>
      </c>
      <c r="O365" s="24">
        <f>VLOOKUP(A365,Hoja1!A:C,3,0)</f>
        <v>8</v>
      </c>
      <c r="P365" s="30" t="str">
        <f>VLOOKUP(M365,[1]TIPOLOGIAS!$A:$F,4,0)</f>
        <v>BOGOTA</v>
      </c>
      <c r="Q365" s="30" t="str">
        <f>VLOOKUP(P365,'BASE TARIFA 2025'!C:D,2,0)</f>
        <v>WOMPI CENTRO</v>
      </c>
      <c r="R365" s="31">
        <f>VLOOKUP(P365,'BASE TARIFA 2025'!C:F,4,0)</f>
        <v>15709.5</v>
      </c>
    </row>
    <row r="366" spans="1:18" s="28" customFormat="1" ht="14.4" x14ac:dyDescent="0.3">
      <c r="A366" s="28">
        <v>70481</v>
      </c>
      <c r="B366" s="28" t="s">
        <v>2330</v>
      </c>
      <c r="C366" s="28">
        <v>43045431</v>
      </c>
      <c r="D366" s="28" t="s">
        <v>2331</v>
      </c>
      <c r="E366" s="28" t="s">
        <v>2332</v>
      </c>
      <c r="F366" s="28" t="s">
        <v>2332</v>
      </c>
      <c r="G366" s="28" t="s">
        <v>2333</v>
      </c>
      <c r="H366" s="28" t="s">
        <v>2334</v>
      </c>
      <c r="I366" s="28" t="s">
        <v>2335</v>
      </c>
      <c r="J366" s="28" t="s">
        <v>70</v>
      </c>
      <c r="K366" s="28" t="s">
        <v>147</v>
      </c>
      <c r="L366" s="28" t="s">
        <v>147</v>
      </c>
      <c r="M366" s="28">
        <v>25662</v>
      </c>
      <c r="N366" s="29" t="s">
        <v>536</v>
      </c>
      <c r="O366" s="24">
        <f>VLOOKUP(A366,Hoja1!A:C,3,0)</f>
        <v>16</v>
      </c>
      <c r="P366" s="30" t="str">
        <f>VLOOKUP(M366,[1]TIPOLOGIAS!$A:$F,4,0)</f>
        <v>BOGOTA</v>
      </c>
      <c r="Q366" s="30" t="str">
        <f>VLOOKUP(P366,'BASE TARIFA 2025'!C:D,2,0)</f>
        <v>WOMPI CENTRO</v>
      </c>
      <c r="R366" s="31">
        <f>VLOOKUP(P366,'BASE TARIFA 2025'!C:F,4,0)</f>
        <v>15709.5</v>
      </c>
    </row>
    <row r="367" spans="1:18" s="28" customFormat="1" ht="14.4" x14ac:dyDescent="0.3">
      <c r="A367" s="28">
        <v>68962</v>
      </c>
      <c r="B367" s="28" t="s">
        <v>2336</v>
      </c>
      <c r="C367" s="28">
        <v>34994459</v>
      </c>
      <c r="D367" s="28" t="s">
        <v>146</v>
      </c>
      <c r="E367" s="28" t="s">
        <v>2337</v>
      </c>
      <c r="F367" s="28" t="s">
        <v>2337</v>
      </c>
      <c r="G367" s="28" t="s">
        <v>2338</v>
      </c>
      <c r="H367" s="28" t="s">
        <v>2339</v>
      </c>
      <c r="I367" s="28" t="s">
        <v>2340</v>
      </c>
      <c r="J367" s="28" t="s">
        <v>70</v>
      </c>
      <c r="K367" s="28" t="s">
        <v>147</v>
      </c>
      <c r="L367" s="28" t="s">
        <v>147</v>
      </c>
      <c r="M367" s="28">
        <v>25662</v>
      </c>
      <c r="N367" s="29" t="s">
        <v>560</v>
      </c>
      <c r="O367" s="24">
        <f>VLOOKUP(A367,Hoja1!A:C,3,0)</f>
        <v>8</v>
      </c>
      <c r="P367" s="30" t="str">
        <f>VLOOKUP(M367,[1]TIPOLOGIAS!$A:$F,4,0)</f>
        <v>BOGOTA</v>
      </c>
      <c r="Q367" s="30" t="str">
        <f>VLOOKUP(P367,'BASE TARIFA 2025'!C:D,2,0)</f>
        <v>WOMPI CENTRO</v>
      </c>
      <c r="R367" s="31">
        <f>VLOOKUP(P367,'BASE TARIFA 2025'!C:F,4,0)</f>
        <v>15709.5</v>
      </c>
    </row>
    <row r="368" spans="1:18" s="28" customFormat="1" ht="14.4" x14ac:dyDescent="0.3">
      <c r="A368" s="28">
        <v>69036</v>
      </c>
      <c r="B368" s="28" t="s">
        <v>2341</v>
      </c>
      <c r="C368" s="28">
        <v>34996196</v>
      </c>
      <c r="E368" s="28" t="s">
        <v>2342</v>
      </c>
      <c r="F368" s="28" t="s">
        <v>2343</v>
      </c>
      <c r="G368" s="28" t="s">
        <v>2344</v>
      </c>
      <c r="H368" s="28" t="s">
        <v>2345</v>
      </c>
      <c r="I368" s="28" t="s">
        <v>2346</v>
      </c>
      <c r="J368" s="28" t="s">
        <v>70</v>
      </c>
      <c r="K368" s="28" t="s">
        <v>147</v>
      </c>
      <c r="L368" s="28" t="s">
        <v>147</v>
      </c>
      <c r="M368" s="28">
        <v>25662</v>
      </c>
      <c r="N368" s="29" t="s">
        <v>536</v>
      </c>
      <c r="O368" s="24">
        <f>VLOOKUP(A368,Hoja1!A:C,3,0)</f>
        <v>8</v>
      </c>
      <c r="P368" s="30" t="str">
        <f>VLOOKUP(M368,[1]TIPOLOGIAS!$A:$F,4,0)</f>
        <v>BOGOTA</v>
      </c>
      <c r="Q368" s="30" t="str">
        <f>VLOOKUP(P368,'BASE TARIFA 2025'!C:D,2,0)</f>
        <v>WOMPI CENTRO</v>
      </c>
      <c r="R368" s="31">
        <f>VLOOKUP(P368,'BASE TARIFA 2025'!C:F,4,0)</f>
        <v>15709.5</v>
      </c>
    </row>
    <row r="369" spans="1:18" s="28" customFormat="1" ht="14.4" x14ac:dyDescent="0.3">
      <c r="A369" s="28">
        <v>68357</v>
      </c>
      <c r="B369" s="28" t="s">
        <v>2347</v>
      </c>
      <c r="C369" s="28">
        <v>15077605</v>
      </c>
      <c r="E369" s="28" t="s">
        <v>2348</v>
      </c>
      <c r="F369" s="28" t="s">
        <v>2349</v>
      </c>
      <c r="G369" s="28" t="s">
        <v>2350</v>
      </c>
      <c r="H369" s="28" t="s">
        <v>2351</v>
      </c>
      <c r="I369" s="28" t="s">
        <v>2352</v>
      </c>
      <c r="J369" s="28" t="s">
        <v>70</v>
      </c>
      <c r="K369" s="28" t="s">
        <v>147</v>
      </c>
      <c r="L369" s="28" t="s">
        <v>147</v>
      </c>
      <c r="M369" s="28">
        <v>25662</v>
      </c>
      <c r="N369" s="29" t="s">
        <v>536</v>
      </c>
      <c r="O369" s="24">
        <f>VLOOKUP(A369,Hoja1!A:C,3,0)</f>
        <v>16</v>
      </c>
      <c r="P369" s="30" t="str">
        <f>VLOOKUP(M369,[1]TIPOLOGIAS!$A:$F,4,0)</f>
        <v>BOGOTA</v>
      </c>
      <c r="Q369" s="30" t="str">
        <f>VLOOKUP(P369,'BASE TARIFA 2025'!C:D,2,0)</f>
        <v>WOMPI CENTRO</v>
      </c>
      <c r="R369" s="31">
        <f>VLOOKUP(P369,'BASE TARIFA 2025'!C:F,4,0)</f>
        <v>15709.5</v>
      </c>
    </row>
    <row r="370" spans="1:18" s="28" customFormat="1" ht="14.4" x14ac:dyDescent="0.3">
      <c r="A370" s="28">
        <v>66406</v>
      </c>
      <c r="B370" s="28" t="s">
        <v>2353</v>
      </c>
      <c r="C370" s="28">
        <v>1067845530</v>
      </c>
      <c r="D370" s="28" t="s">
        <v>69</v>
      </c>
      <c r="E370" s="28" t="s">
        <v>2354</v>
      </c>
      <c r="F370" s="28" t="s">
        <v>2354</v>
      </c>
      <c r="G370" s="28" t="s">
        <v>2355</v>
      </c>
      <c r="H370" s="28" t="s">
        <v>2356</v>
      </c>
      <c r="I370" s="28" t="s">
        <v>2357</v>
      </c>
      <c r="J370" s="28" t="s">
        <v>70</v>
      </c>
      <c r="K370" s="28" t="s">
        <v>147</v>
      </c>
      <c r="L370" s="28" t="s">
        <v>147</v>
      </c>
      <c r="M370" s="28">
        <v>25662</v>
      </c>
      <c r="N370" s="29" t="s">
        <v>536</v>
      </c>
      <c r="O370" s="24">
        <f>VLOOKUP(A370,Hoja1!A:C,3,0)</f>
        <v>8</v>
      </c>
      <c r="P370" s="30" t="str">
        <f>VLOOKUP(M370,[1]TIPOLOGIAS!$A:$F,4,0)</f>
        <v>BOGOTA</v>
      </c>
      <c r="Q370" s="30" t="str">
        <f>VLOOKUP(P370,'BASE TARIFA 2025'!C:D,2,0)</f>
        <v>WOMPI CENTRO</v>
      </c>
      <c r="R370" s="31">
        <f>VLOOKUP(P370,'BASE TARIFA 2025'!C:F,4,0)</f>
        <v>15709.5</v>
      </c>
    </row>
    <row r="371" spans="1:18" s="28" customFormat="1" ht="14.4" x14ac:dyDescent="0.3">
      <c r="A371" s="28">
        <v>67801</v>
      </c>
      <c r="B371" s="28" t="s">
        <v>2358</v>
      </c>
      <c r="C371" s="28">
        <v>1067965085</v>
      </c>
      <c r="D371" s="28" t="s">
        <v>2359</v>
      </c>
      <c r="E371" s="28" t="s">
        <v>2359</v>
      </c>
      <c r="F371" s="28" t="s">
        <v>2359</v>
      </c>
      <c r="G371" s="28" t="s">
        <v>2360</v>
      </c>
      <c r="H371" s="28" t="s">
        <v>2361</v>
      </c>
      <c r="I371" s="28" t="s">
        <v>2362</v>
      </c>
      <c r="J371" s="28" t="s">
        <v>70</v>
      </c>
      <c r="K371" s="28" t="s">
        <v>147</v>
      </c>
      <c r="L371" s="28" t="s">
        <v>147</v>
      </c>
      <c r="M371" s="28">
        <v>25662</v>
      </c>
      <c r="N371" s="29" t="s">
        <v>560</v>
      </c>
      <c r="O371" s="24">
        <f>VLOOKUP(A371,Hoja1!A:C,3,0)</f>
        <v>8</v>
      </c>
      <c r="P371" s="30" t="str">
        <f>VLOOKUP(M371,[1]TIPOLOGIAS!$A:$F,4,0)</f>
        <v>BOGOTA</v>
      </c>
      <c r="Q371" s="30" t="str">
        <f>VLOOKUP(P371,'BASE TARIFA 2025'!C:D,2,0)</f>
        <v>WOMPI CENTRO</v>
      </c>
      <c r="R371" s="31">
        <f>VLOOKUP(P371,'BASE TARIFA 2025'!C:F,4,0)</f>
        <v>15709.5</v>
      </c>
    </row>
    <row r="372" spans="1:18" s="28" customFormat="1" ht="14.4" x14ac:dyDescent="0.3">
      <c r="A372" s="28">
        <v>65136</v>
      </c>
      <c r="B372" s="28" t="s">
        <v>2363</v>
      </c>
      <c r="C372" s="28">
        <v>25799836</v>
      </c>
      <c r="D372" s="28" t="s">
        <v>2364</v>
      </c>
      <c r="E372" s="28" t="s">
        <v>2364</v>
      </c>
      <c r="F372" s="28" t="s">
        <v>2364</v>
      </c>
      <c r="G372" s="28" t="s">
        <v>2365</v>
      </c>
      <c r="H372" s="28" t="s">
        <v>2366</v>
      </c>
      <c r="I372" s="28" t="s">
        <v>2367</v>
      </c>
      <c r="J372" s="28" t="s">
        <v>70</v>
      </c>
      <c r="K372" s="28" t="s">
        <v>148</v>
      </c>
      <c r="L372" s="28" t="s">
        <v>148</v>
      </c>
      <c r="M372" s="28">
        <v>25718</v>
      </c>
      <c r="N372" s="29" t="s">
        <v>638</v>
      </c>
      <c r="O372" s="24">
        <f>VLOOKUP(A372,Hoja1!A:C,3,0)</f>
        <v>16</v>
      </c>
      <c r="P372" s="30" t="str">
        <f>VLOOKUP(M372,[1]TIPOLOGIAS!$A:$F,4,0)</f>
        <v>BOGOTA</v>
      </c>
      <c r="Q372" s="30" t="str">
        <f>VLOOKUP(P372,'BASE TARIFA 2025'!C:D,2,0)</f>
        <v>WOMPI CENTRO</v>
      </c>
      <c r="R372" s="31">
        <f>VLOOKUP(P372,'BASE TARIFA 2025'!C:F,4,0)</f>
        <v>15709.5</v>
      </c>
    </row>
    <row r="373" spans="1:18" s="28" customFormat="1" ht="14.4" x14ac:dyDescent="0.3">
      <c r="A373" s="28">
        <v>45965</v>
      </c>
      <c r="B373" s="28" t="s">
        <v>2368</v>
      </c>
      <c r="C373" s="28">
        <v>43620095</v>
      </c>
      <c r="D373" s="28" t="s">
        <v>108</v>
      </c>
      <c r="E373" s="28" t="s">
        <v>109</v>
      </c>
      <c r="F373" s="28" t="s">
        <v>108</v>
      </c>
      <c r="G373" s="28" t="s">
        <v>2369</v>
      </c>
      <c r="H373" s="28" t="s">
        <v>2370</v>
      </c>
      <c r="I373" s="28" t="s">
        <v>2371</v>
      </c>
      <c r="J373" s="28" t="s">
        <v>92</v>
      </c>
      <c r="K373" s="28" t="s">
        <v>107</v>
      </c>
      <c r="L373" s="28" t="s">
        <v>107</v>
      </c>
      <c r="M373" s="28">
        <v>54874</v>
      </c>
      <c r="N373" s="29" t="s">
        <v>744</v>
      </c>
      <c r="O373" s="24">
        <f>VLOOKUP(A373,Hoja1!A:C,3,0)</f>
        <v>16</v>
      </c>
      <c r="P373" s="30" t="str">
        <f>VLOOKUP(M373,[1]TIPOLOGIAS!$A:$F,4,0)</f>
        <v>CUCUTA</v>
      </c>
      <c r="Q373" s="30" t="str">
        <f>VLOOKUP(P373,'BASE TARIFA 2025'!C:D,2,0)</f>
        <v>WOMPI SANTANDERES</v>
      </c>
      <c r="R373" s="31">
        <f>VLOOKUP(P373,'BASE TARIFA 2025'!C:F,4,0)</f>
        <v>28277.100000000002</v>
      </c>
    </row>
    <row r="374" spans="1:18" s="28" customFormat="1" ht="14.4" x14ac:dyDescent="0.3">
      <c r="A374" s="28">
        <v>45399</v>
      </c>
      <c r="B374" s="28" t="s">
        <v>2372</v>
      </c>
      <c r="C374" s="28">
        <v>900873271</v>
      </c>
      <c r="D374" s="28" t="s">
        <v>69</v>
      </c>
      <c r="E374" s="28" t="s">
        <v>2373</v>
      </c>
      <c r="F374" s="28" t="s">
        <v>2373</v>
      </c>
      <c r="G374" s="28" t="s">
        <v>2374</v>
      </c>
      <c r="H374" s="28" t="s">
        <v>2375</v>
      </c>
      <c r="I374" s="28" t="s">
        <v>2376</v>
      </c>
      <c r="J374" s="28" t="s">
        <v>92</v>
      </c>
      <c r="K374" s="28" t="s">
        <v>107</v>
      </c>
      <c r="L374" s="28" t="s">
        <v>107</v>
      </c>
      <c r="M374" s="28">
        <v>54874</v>
      </c>
      <c r="N374" s="29" t="s">
        <v>756</v>
      </c>
      <c r="O374" s="24">
        <f>VLOOKUP(A374,Hoja1!A:C,3,0)</f>
        <v>8</v>
      </c>
      <c r="P374" s="30" t="str">
        <f>VLOOKUP(M374,[1]TIPOLOGIAS!$A:$F,4,0)</f>
        <v>CUCUTA</v>
      </c>
      <c r="Q374" s="30" t="str">
        <f>VLOOKUP(P374,'BASE TARIFA 2025'!C:D,2,0)</f>
        <v>WOMPI SANTANDERES</v>
      </c>
      <c r="R374" s="31">
        <f>VLOOKUP(P374,'BASE TARIFA 2025'!C:F,4,0)</f>
        <v>28277.100000000002</v>
      </c>
    </row>
    <row r="375" spans="1:18" s="28" customFormat="1" ht="14.4" x14ac:dyDescent="0.3">
      <c r="A375" s="28">
        <v>10030</v>
      </c>
      <c r="B375" s="28" t="s">
        <v>2377</v>
      </c>
      <c r="C375" s="28">
        <v>9800568</v>
      </c>
      <c r="D375" s="28" t="s">
        <v>2378</v>
      </c>
      <c r="E375" s="28" t="s">
        <v>69</v>
      </c>
      <c r="F375" s="28" t="s">
        <v>2379</v>
      </c>
      <c r="G375" s="28" t="s">
        <v>2380</v>
      </c>
      <c r="H375" s="28" t="s">
        <v>2381</v>
      </c>
      <c r="I375" s="28" t="s">
        <v>2382</v>
      </c>
      <c r="J375" s="28" t="s">
        <v>92</v>
      </c>
      <c r="K375" s="28" t="s">
        <v>107</v>
      </c>
      <c r="L375" s="28" t="s">
        <v>107</v>
      </c>
      <c r="M375" s="28">
        <v>54874</v>
      </c>
      <c r="N375" s="29" t="s">
        <v>744</v>
      </c>
      <c r="O375" s="24" t="e">
        <f>VLOOKUP(A375,Hoja1!A:C,3,0)</f>
        <v>#N/A</v>
      </c>
      <c r="P375" s="30" t="str">
        <f>VLOOKUP(M375,[1]TIPOLOGIAS!$A:$F,4,0)</f>
        <v>CUCUTA</v>
      </c>
      <c r="Q375" s="30" t="str">
        <f>VLOOKUP(P375,'BASE TARIFA 2025'!C:D,2,0)</f>
        <v>WOMPI SANTANDERES</v>
      </c>
      <c r="R375" s="31">
        <f>VLOOKUP(P375,'BASE TARIFA 2025'!C:F,4,0)</f>
        <v>28277.100000000002</v>
      </c>
    </row>
    <row r="376" spans="1:18" s="28" customFormat="1" ht="14.4" x14ac:dyDescent="0.3">
      <c r="A376" s="28">
        <v>73624</v>
      </c>
      <c r="B376" s="28" t="s">
        <v>2383</v>
      </c>
      <c r="C376" s="28">
        <v>901524537</v>
      </c>
      <c r="D376" s="28" t="s">
        <v>2384</v>
      </c>
      <c r="E376" s="28" t="s">
        <v>2384</v>
      </c>
      <c r="F376" s="28" t="s">
        <v>2385</v>
      </c>
      <c r="G376" s="28" t="s">
        <v>2386</v>
      </c>
      <c r="H376" s="28" t="s">
        <v>2387</v>
      </c>
      <c r="I376" s="28" t="s">
        <v>2388</v>
      </c>
      <c r="J376" s="28" t="s">
        <v>94</v>
      </c>
      <c r="K376" s="28" t="s">
        <v>2226</v>
      </c>
      <c r="L376" s="28" t="s">
        <v>2226</v>
      </c>
      <c r="M376" s="28">
        <v>68533</v>
      </c>
      <c r="N376" s="29" t="s">
        <v>1012</v>
      </c>
      <c r="O376" s="24" t="e">
        <f>VLOOKUP(A376,Hoja1!A:C,3,0)</f>
        <v>#N/A</v>
      </c>
      <c r="P376" s="30" t="str">
        <f>VLOOKUP(M376,[1]TIPOLOGIAS!$A:$F,4,0)</f>
        <v>BUCARAMANGA</v>
      </c>
      <c r="Q376" s="30" t="str">
        <f>VLOOKUP(P376,'BASE TARIFA 2025'!C:D,2,0)</f>
        <v>WOMPI SANTANDERES</v>
      </c>
      <c r="R376" s="31">
        <f>VLOOKUP(P376,'BASE TARIFA 2025'!C:F,4,0)</f>
        <v>15709.5</v>
      </c>
    </row>
    <row r="377" spans="1:18" s="28" customFormat="1" ht="14.4" x14ac:dyDescent="0.3">
      <c r="A377" s="28">
        <v>59635</v>
      </c>
      <c r="B377" s="28" t="s">
        <v>2389</v>
      </c>
      <c r="C377" s="28">
        <v>900312766</v>
      </c>
      <c r="D377" s="28" t="s">
        <v>2390</v>
      </c>
      <c r="E377" s="28" t="s">
        <v>2390</v>
      </c>
      <c r="G377" s="28" t="s">
        <v>2391</v>
      </c>
      <c r="H377" s="28" t="s">
        <v>2392</v>
      </c>
      <c r="I377" s="28" t="s">
        <v>2393</v>
      </c>
      <c r="J377" s="28" t="s">
        <v>94</v>
      </c>
      <c r="K377" s="28" t="s">
        <v>204</v>
      </c>
      <c r="L377" s="28" t="s">
        <v>204</v>
      </c>
      <c r="M377" s="28">
        <v>68547</v>
      </c>
      <c r="N377" s="29" t="s">
        <v>542</v>
      </c>
      <c r="O377" s="24">
        <f>VLOOKUP(A377,Hoja1!A:C,3,0)</f>
        <v>8</v>
      </c>
      <c r="P377" s="30" t="str">
        <f>VLOOKUP(M377,[1]TIPOLOGIAS!$A:$F,4,0)</f>
        <v>BUCARAMANGA</v>
      </c>
      <c r="Q377" s="30" t="str">
        <f>VLOOKUP(P377,'BASE TARIFA 2025'!C:D,2,0)</f>
        <v>WOMPI SANTANDERES</v>
      </c>
      <c r="R377" s="31">
        <f>VLOOKUP(P377,'BASE TARIFA 2025'!C:F,4,0)</f>
        <v>15709.5</v>
      </c>
    </row>
    <row r="378" spans="1:18" s="28" customFormat="1" ht="14.4" x14ac:dyDescent="0.3">
      <c r="A378" s="28">
        <v>60721</v>
      </c>
      <c r="B378" s="28" t="s">
        <v>2394</v>
      </c>
      <c r="C378" s="28">
        <v>25799771</v>
      </c>
      <c r="D378" s="28" t="s">
        <v>115</v>
      </c>
      <c r="E378" s="28" t="s">
        <v>115</v>
      </c>
      <c r="F378" s="28" t="s">
        <v>115</v>
      </c>
      <c r="G378" s="28" t="s">
        <v>2395</v>
      </c>
      <c r="H378" s="28" t="s">
        <v>2396</v>
      </c>
      <c r="I378" s="28" t="s">
        <v>2397</v>
      </c>
      <c r="J378" s="28" t="s">
        <v>94</v>
      </c>
      <c r="K378" s="28" t="s">
        <v>204</v>
      </c>
      <c r="L378" s="28" t="s">
        <v>204</v>
      </c>
      <c r="M378" s="28">
        <v>68547</v>
      </c>
      <c r="N378" s="29" t="s">
        <v>638</v>
      </c>
      <c r="O378" s="24">
        <f>VLOOKUP(A378,Hoja1!A:C,3,0)</f>
        <v>16</v>
      </c>
      <c r="P378" s="30" t="str">
        <f>VLOOKUP(M378,[1]TIPOLOGIAS!$A:$F,4,0)</f>
        <v>BUCARAMANGA</v>
      </c>
      <c r="Q378" s="30" t="str">
        <f>VLOOKUP(P378,'BASE TARIFA 2025'!C:D,2,0)</f>
        <v>WOMPI SANTANDERES</v>
      </c>
      <c r="R378" s="31">
        <f>VLOOKUP(P378,'BASE TARIFA 2025'!C:F,4,0)</f>
        <v>15709.5</v>
      </c>
    </row>
    <row r="379" spans="1:18" s="28" customFormat="1" ht="14.4" x14ac:dyDescent="0.3">
      <c r="A379" s="28">
        <v>54245</v>
      </c>
      <c r="B379" s="28" t="s">
        <v>2398</v>
      </c>
      <c r="C379" s="28">
        <v>1067901073</v>
      </c>
      <c r="D379" s="28" t="s">
        <v>2399</v>
      </c>
      <c r="E379" s="28" t="s">
        <v>2399</v>
      </c>
      <c r="F379" s="28" t="s">
        <v>2399</v>
      </c>
      <c r="G379" s="28" t="s">
        <v>2400</v>
      </c>
      <c r="H379" s="28" t="s">
        <v>2401</v>
      </c>
      <c r="I379" s="28" t="s">
        <v>2402</v>
      </c>
      <c r="J379" s="28" t="s">
        <v>94</v>
      </c>
      <c r="K379" s="28" t="s">
        <v>204</v>
      </c>
      <c r="L379" s="28" t="s">
        <v>204</v>
      </c>
      <c r="M379" s="28">
        <v>68547</v>
      </c>
      <c r="N379" s="29" t="s">
        <v>542</v>
      </c>
      <c r="O379" s="24">
        <f>VLOOKUP(A379,Hoja1!A:C,3,0)</f>
        <v>16</v>
      </c>
      <c r="P379" s="30" t="str">
        <f>VLOOKUP(M379,[1]TIPOLOGIAS!$A:$F,4,0)</f>
        <v>BUCARAMANGA</v>
      </c>
      <c r="Q379" s="30" t="str">
        <f>VLOOKUP(P379,'BASE TARIFA 2025'!C:D,2,0)</f>
        <v>WOMPI SANTANDERES</v>
      </c>
      <c r="R379" s="31">
        <f>VLOOKUP(P379,'BASE TARIFA 2025'!C:F,4,0)</f>
        <v>15709.5</v>
      </c>
    </row>
    <row r="380" spans="1:18" s="28" customFormat="1" ht="14.4" x14ac:dyDescent="0.3">
      <c r="A380" s="28">
        <v>57788</v>
      </c>
      <c r="B380" s="28" t="s">
        <v>2403</v>
      </c>
      <c r="C380" s="28">
        <v>1067845530</v>
      </c>
      <c r="D380" s="28" t="s">
        <v>2404</v>
      </c>
      <c r="E380" s="28" t="s">
        <v>2404</v>
      </c>
      <c r="G380" s="28" t="s">
        <v>2405</v>
      </c>
      <c r="H380" s="28" t="s">
        <v>2406</v>
      </c>
      <c r="I380" s="28" t="s">
        <v>2407</v>
      </c>
      <c r="J380" s="28" t="s">
        <v>94</v>
      </c>
      <c r="K380" s="28" t="s">
        <v>204</v>
      </c>
      <c r="L380" s="28" t="s">
        <v>204</v>
      </c>
      <c r="M380" s="28">
        <v>68547</v>
      </c>
      <c r="N380" s="29" t="s">
        <v>722</v>
      </c>
      <c r="O380" s="24">
        <f>VLOOKUP(A380,Hoja1!A:C,3,0)</f>
        <v>8</v>
      </c>
      <c r="P380" s="30" t="str">
        <f>VLOOKUP(M380,[1]TIPOLOGIAS!$A:$F,4,0)</f>
        <v>BUCARAMANGA</v>
      </c>
      <c r="Q380" s="30" t="str">
        <f>VLOOKUP(P380,'BASE TARIFA 2025'!C:D,2,0)</f>
        <v>WOMPI SANTANDERES</v>
      </c>
      <c r="R380" s="31">
        <f>VLOOKUP(P380,'BASE TARIFA 2025'!C:F,4,0)</f>
        <v>15709.5</v>
      </c>
    </row>
    <row r="381" spans="1:18" s="28" customFormat="1" ht="14.4" x14ac:dyDescent="0.3">
      <c r="A381" s="28">
        <v>51592</v>
      </c>
      <c r="B381" s="28" t="s">
        <v>2408</v>
      </c>
      <c r="C381" s="28">
        <v>6890589</v>
      </c>
      <c r="D381" s="28" t="s">
        <v>2409</v>
      </c>
      <c r="E381" s="28" t="s">
        <v>2409</v>
      </c>
      <c r="F381" s="28" t="s">
        <v>2409</v>
      </c>
      <c r="G381" s="28" t="s">
        <v>2410</v>
      </c>
      <c r="H381" s="28" t="s">
        <v>2411</v>
      </c>
      <c r="I381" s="28" t="s">
        <v>2412</v>
      </c>
      <c r="J381" s="28" t="s">
        <v>94</v>
      </c>
      <c r="K381" s="28" t="s">
        <v>204</v>
      </c>
      <c r="L381" s="28" t="s">
        <v>204</v>
      </c>
      <c r="M381" s="28">
        <v>68547</v>
      </c>
      <c r="N381" s="29" t="s">
        <v>542</v>
      </c>
      <c r="O381" s="24">
        <f>VLOOKUP(A381,Hoja1!A:C,3,0)</f>
        <v>16</v>
      </c>
      <c r="P381" s="30" t="str">
        <f>VLOOKUP(M381,[1]TIPOLOGIAS!$A:$F,4,0)</f>
        <v>BUCARAMANGA</v>
      </c>
      <c r="Q381" s="30" t="str">
        <f>VLOOKUP(P381,'BASE TARIFA 2025'!C:D,2,0)</f>
        <v>WOMPI SANTANDERES</v>
      </c>
      <c r="R381" s="31">
        <f>VLOOKUP(P381,'BASE TARIFA 2025'!C:F,4,0)</f>
        <v>15709.5</v>
      </c>
    </row>
    <row r="382" spans="1:18" s="28" customFormat="1" ht="14.4" x14ac:dyDescent="0.3">
      <c r="A382" s="28">
        <v>49766</v>
      </c>
      <c r="B382" s="28" t="s">
        <v>2413</v>
      </c>
      <c r="C382" s="28">
        <v>10775736</v>
      </c>
      <c r="D382" s="28" t="s">
        <v>2414</v>
      </c>
      <c r="E382" s="28" t="s">
        <v>2414</v>
      </c>
      <c r="F382" s="28" t="s">
        <v>2414</v>
      </c>
      <c r="G382" s="28" t="s">
        <v>2415</v>
      </c>
      <c r="H382" s="28" t="s">
        <v>2416</v>
      </c>
      <c r="I382" s="28" t="s">
        <v>2417</v>
      </c>
      <c r="J382" s="28" t="s">
        <v>94</v>
      </c>
      <c r="K382" s="28" t="s">
        <v>204</v>
      </c>
      <c r="L382" s="28" t="s">
        <v>204</v>
      </c>
      <c r="M382" s="28">
        <v>68547</v>
      </c>
      <c r="N382" s="29" t="s">
        <v>542</v>
      </c>
      <c r="O382" s="24">
        <f>VLOOKUP(A382,Hoja1!A:C,3,0)</f>
        <v>8</v>
      </c>
      <c r="P382" s="30" t="str">
        <f>VLOOKUP(M382,[1]TIPOLOGIAS!$A:$F,4,0)</f>
        <v>BUCARAMANGA</v>
      </c>
      <c r="Q382" s="30" t="str">
        <f>VLOOKUP(P382,'BASE TARIFA 2025'!C:D,2,0)</f>
        <v>WOMPI SANTANDERES</v>
      </c>
      <c r="R382" s="31">
        <f>VLOOKUP(P382,'BASE TARIFA 2025'!C:F,4,0)</f>
        <v>15709.5</v>
      </c>
    </row>
    <row r="383" spans="1:18" s="28" customFormat="1" ht="14.4" x14ac:dyDescent="0.3">
      <c r="A383" s="28">
        <v>38746</v>
      </c>
      <c r="B383" s="28" t="s">
        <v>2418</v>
      </c>
      <c r="C383" s="28">
        <v>98761464</v>
      </c>
      <c r="D383" s="28" t="s">
        <v>2419</v>
      </c>
      <c r="E383" s="28" t="s">
        <v>2419</v>
      </c>
      <c r="G383" s="28" t="s">
        <v>2420</v>
      </c>
      <c r="H383" s="28" t="s">
        <v>2421</v>
      </c>
      <c r="I383" s="28" t="s">
        <v>2422</v>
      </c>
      <c r="J383" s="28" t="s">
        <v>94</v>
      </c>
      <c r="K383" s="28" t="s">
        <v>204</v>
      </c>
      <c r="L383" s="28" t="s">
        <v>204</v>
      </c>
      <c r="M383" s="28">
        <v>68547</v>
      </c>
      <c r="N383" s="29" t="s">
        <v>542</v>
      </c>
      <c r="O383" s="24">
        <f>VLOOKUP(A383,Hoja1!A:C,3,0)</f>
        <v>16</v>
      </c>
      <c r="P383" s="30" t="str">
        <f>VLOOKUP(M383,[1]TIPOLOGIAS!$A:$F,4,0)</f>
        <v>BUCARAMANGA</v>
      </c>
      <c r="Q383" s="30" t="str">
        <f>VLOOKUP(P383,'BASE TARIFA 2025'!C:D,2,0)</f>
        <v>WOMPI SANTANDERES</v>
      </c>
      <c r="R383" s="31">
        <f>VLOOKUP(P383,'BASE TARIFA 2025'!C:F,4,0)</f>
        <v>15709.5</v>
      </c>
    </row>
    <row r="384" spans="1:18" s="28" customFormat="1" ht="14.4" x14ac:dyDescent="0.3">
      <c r="A384" s="28">
        <v>43642</v>
      </c>
      <c r="B384" s="28" t="s">
        <v>2423</v>
      </c>
      <c r="C384" s="28">
        <v>44000656</v>
      </c>
      <c r="D384" s="28" t="s">
        <v>2424</v>
      </c>
      <c r="E384" s="28" t="s">
        <v>2425</v>
      </c>
      <c r="F384" s="28" t="s">
        <v>2425</v>
      </c>
      <c r="G384" s="28" t="s">
        <v>2426</v>
      </c>
      <c r="H384" s="28" t="s">
        <v>2427</v>
      </c>
      <c r="I384" s="28" t="s">
        <v>2428</v>
      </c>
      <c r="J384" s="28" t="s">
        <v>94</v>
      </c>
      <c r="K384" s="28" t="s">
        <v>204</v>
      </c>
      <c r="L384" s="28" t="s">
        <v>204</v>
      </c>
      <c r="M384" s="28">
        <v>68547</v>
      </c>
      <c r="N384" s="29" t="s">
        <v>744</v>
      </c>
      <c r="O384" s="24">
        <f>VLOOKUP(A384,Hoja1!A:C,3,0)</f>
        <v>16</v>
      </c>
      <c r="P384" s="30" t="str">
        <f>VLOOKUP(M384,[1]TIPOLOGIAS!$A:$F,4,0)</f>
        <v>BUCARAMANGA</v>
      </c>
      <c r="Q384" s="30" t="str">
        <f>VLOOKUP(P384,'BASE TARIFA 2025'!C:D,2,0)</f>
        <v>WOMPI SANTANDERES</v>
      </c>
      <c r="R384" s="31">
        <f>VLOOKUP(P384,'BASE TARIFA 2025'!C:F,4,0)</f>
        <v>15709.5</v>
      </c>
    </row>
    <row r="385" spans="1:18" s="28" customFormat="1" ht="14.4" x14ac:dyDescent="0.3">
      <c r="A385" s="28">
        <v>36213</v>
      </c>
      <c r="B385" s="28" t="s">
        <v>2429</v>
      </c>
      <c r="C385" s="28">
        <v>900324648</v>
      </c>
      <c r="D385" s="28" t="s">
        <v>2430</v>
      </c>
      <c r="E385" s="28" t="s">
        <v>2431</v>
      </c>
      <c r="F385" s="28" t="s">
        <v>2430</v>
      </c>
      <c r="G385" s="28" t="s">
        <v>2432</v>
      </c>
      <c r="H385" s="28" t="s">
        <v>2433</v>
      </c>
      <c r="I385" s="28" t="s">
        <v>2434</v>
      </c>
      <c r="J385" s="28" t="s">
        <v>94</v>
      </c>
      <c r="K385" s="28" t="s">
        <v>204</v>
      </c>
      <c r="L385" s="28" t="s">
        <v>204</v>
      </c>
      <c r="M385" s="28">
        <v>68547</v>
      </c>
      <c r="N385" s="29" t="s">
        <v>722</v>
      </c>
      <c r="O385" s="24">
        <f>VLOOKUP(A385,Hoja1!A:C,3,0)</f>
        <v>8</v>
      </c>
      <c r="P385" s="30" t="str">
        <f>VLOOKUP(M385,[1]TIPOLOGIAS!$A:$F,4,0)</f>
        <v>BUCARAMANGA</v>
      </c>
      <c r="Q385" s="30" t="str">
        <f>VLOOKUP(P385,'BASE TARIFA 2025'!C:D,2,0)</f>
        <v>WOMPI SANTANDERES</v>
      </c>
      <c r="R385" s="31">
        <f>VLOOKUP(P385,'BASE TARIFA 2025'!C:F,4,0)</f>
        <v>15709.5</v>
      </c>
    </row>
    <row r="386" spans="1:18" s="28" customFormat="1" ht="14.4" x14ac:dyDescent="0.3">
      <c r="A386" s="28">
        <v>43550</v>
      </c>
      <c r="B386" s="28" t="s">
        <v>2435</v>
      </c>
      <c r="C386" s="28">
        <v>10933021</v>
      </c>
      <c r="D386" s="28" t="s">
        <v>69</v>
      </c>
      <c r="E386" s="28" t="s">
        <v>2436</v>
      </c>
      <c r="F386" s="28" t="s">
        <v>2436</v>
      </c>
      <c r="G386" s="28" t="s">
        <v>2437</v>
      </c>
      <c r="H386" s="28" t="s">
        <v>2438</v>
      </c>
      <c r="I386" s="28" t="s">
        <v>2439</v>
      </c>
      <c r="J386" s="28" t="s">
        <v>74</v>
      </c>
      <c r="K386" s="28" t="s">
        <v>98</v>
      </c>
      <c r="L386" s="28" t="s">
        <v>98</v>
      </c>
      <c r="M386" s="28">
        <v>52207</v>
      </c>
      <c r="N386" s="29" t="s">
        <v>756</v>
      </c>
      <c r="O386" s="24">
        <f>VLOOKUP(A386,Hoja1!A:C,3,0)</f>
        <v>8</v>
      </c>
      <c r="P386" s="30" t="str">
        <f>VLOOKUP(M386,[1]TIPOLOGIAS!$A:$F,4,0)</f>
        <v>PASTO</v>
      </c>
      <c r="Q386" s="30" t="str">
        <f>VLOOKUP(P386,'BASE TARIFA 2025'!C:D,2,0)</f>
        <v>WOMPI SUROCCIDENTE</v>
      </c>
      <c r="R386" s="31">
        <f>VLOOKUP(P386,'BASE TARIFA 2025'!C:F,4,0)</f>
        <v>28277.100000000002</v>
      </c>
    </row>
    <row r="387" spans="1:18" s="28" customFormat="1" ht="14.4" x14ac:dyDescent="0.3">
      <c r="A387" s="28">
        <v>48514</v>
      </c>
      <c r="B387" s="28" t="s">
        <v>2440</v>
      </c>
      <c r="C387" s="28">
        <v>10772008</v>
      </c>
      <c r="D387" s="28" t="s">
        <v>2441</v>
      </c>
      <c r="E387" s="28" t="s">
        <v>2441</v>
      </c>
      <c r="G387" s="28" t="s">
        <v>2442</v>
      </c>
      <c r="H387" s="28" t="s">
        <v>2443</v>
      </c>
      <c r="I387" s="28" t="s">
        <v>2444</v>
      </c>
      <c r="J387" s="28" t="s">
        <v>74</v>
      </c>
      <c r="K387" s="28" t="s">
        <v>98</v>
      </c>
      <c r="L387" s="28" t="s">
        <v>98</v>
      </c>
      <c r="M387" s="28">
        <v>52207</v>
      </c>
      <c r="N387" s="29" t="s">
        <v>560</v>
      </c>
      <c r="O387" s="24">
        <f>VLOOKUP(A387,Hoja1!A:C,3,0)</f>
        <v>8</v>
      </c>
      <c r="P387" s="30" t="str">
        <f>VLOOKUP(M387,[1]TIPOLOGIAS!$A:$F,4,0)</f>
        <v>PASTO</v>
      </c>
      <c r="Q387" s="30" t="str">
        <f>VLOOKUP(P387,'BASE TARIFA 2025'!C:D,2,0)</f>
        <v>WOMPI SUROCCIDENTE</v>
      </c>
      <c r="R387" s="31">
        <f>VLOOKUP(P387,'BASE TARIFA 2025'!C:F,4,0)</f>
        <v>28277.100000000002</v>
      </c>
    </row>
    <row r="388" spans="1:18" s="28" customFormat="1" ht="14.4" x14ac:dyDescent="0.3">
      <c r="A388" s="28">
        <v>13849</v>
      </c>
      <c r="B388" s="28" t="s">
        <v>2445</v>
      </c>
      <c r="C388" s="28">
        <v>36312190</v>
      </c>
      <c r="D388" s="28" t="s">
        <v>2446</v>
      </c>
      <c r="E388" s="28" t="s">
        <v>2447</v>
      </c>
      <c r="F388" s="28" t="s">
        <v>2447</v>
      </c>
      <c r="G388" s="28" t="s">
        <v>2448</v>
      </c>
      <c r="H388" s="28" t="s">
        <v>2449</v>
      </c>
      <c r="I388" s="28" t="s">
        <v>2450</v>
      </c>
      <c r="J388" s="28" t="s">
        <v>92</v>
      </c>
      <c r="K388" s="28" t="s">
        <v>157</v>
      </c>
      <c r="L388" s="28" t="s">
        <v>157</v>
      </c>
      <c r="M388" s="28">
        <v>54001</v>
      </c>
      <c r="N388" s="29" t="s">
        <v>655</v>
      </c>
      <c r="O388" s="24">
        <f>VLOOKUP(A388,Hoja1!A:C,3,0)</f>
        <v>16</v>
      </c>
      <c r="P388" s="30" t="str">
        <f>VLOOKUP(M388,[1]TIPOLOGIAS!$A:$F,4,0)</f>
        <v>CUCUTA</v>
      </c>
      <c r="Q388" s="30" t="str">
        <f>VLOOKUP(P388,'BASE TARIFA 2025'!C:D,2,0)</f>
        <v>WOMPI SANTANDERES</v>
      </c>
      <c r="R388" s="31">
        <f>VLOOKUP(P388,'BASE TARIFA 2025'!C:F,4,0)</f>
        <v>28277.100000000002</v>
      </c>
    </row>
    <row r="389" spans="1:18" s="28" customFormat="1" ht="14.4" x14ac:dyDescent="0.3">
      <c r="A389" s="28">
        <v>31447</v>
      </c>
      <c r="B389" s="28" t="s">
        <v>2451</v>
      </c>
      <c r="C389" s="28">
        <v>21894255</v>
      </c>
      <c r="D389" s="28" t="s">
        <v>2452</v>
      </c>
      <c r="E389" s="28" t="s">
        <v>2452</v>
      </c>
      <c r="G389" s="28" t="s">
        <v>2453</v>
      </c>
      <c r="H389" s="28" t="s">
        <v>2454</v>
      </c>
      <c r="I389" s="28" t="s">
        <v>2455</v>
      </c>
      <c r="J389" s="28" t="s">
        <v>92</v>
      </c>
      <c r="K389" s="28" t="s">
        <v>157</v>
      </c>
      <c r="L389" s="28" t="s">
        <v>157</v>
      </c>
      <c r="M389" s="28">
        <v>54001</v>
      </c>
      <c r="N389" s="29" t="s">
        <v>553</v>
      </c>
      <c r="O389" s="24">
        <f>VLOOKUP(A389,Hoja1!A:C,3,0)</f>
        <v>8</v>
      </c>
      <c r="P389" s="30" t="str">
        <f>VLOOKUP(M389,[1]TIPOLOGIAS!$A:$F,4,0)</f>
        <v>CUCUTA</v>
      </c>
      <c r="Q389" s="30" t="str">
        <f>VLOOKUP(P389,'BASE TARIFA 2025'!C:D,2,0)</f>
        <v>WOMPI SANTANDERES</v>
      </c>
      <c r="R389" s="31">
        <f>VLOOKUP(P389,'BASE TARIFA 2025'!C:F,4,0)</f>
        <v>28277.100000000002</v>
      </c>
    </row>
    <row r="390" spans="1:18" s="28" customFormat="1" ht="14.4" x14ac:dyDescent="0.3">
      <c r="A390" s="28">
        <v>27988</v>
      </c>
      <c r="B390" s="28" t="s">
        <v>2456</v>
      </c>
      <c r="C390" s="28">
        <v>900411976</v>
      </c>
      <c r="D390" s="28" t="s">
        <v>2457</v>
      </c>
      <c r="E390" s="28" t="s">
        <v>2457</v>
      </c>
      <c r="G390" s="28" t="s">
        <v>2458</v>
      </c>
      <c r="H390" s="28" t="s">
        <v>2459</v>
      </c>
      <c r="I390" s="28" t="s">
        <v>2460</v>
      </c>
      <c r="J390" s="28" t="s">
        <v>92</v>
      </c>
      <c r="K390" s="28" t="s">
        <v>157</v>
      </c>
      <c r="L390" s="28" t="s">
        <v>157</v>
      </c>
      <c r="M390" s="28">
        <v>54001</v>
      </c>
      <c r="N390" s="29" t="s">
        <v>542</v>
      </c>
      <c r="O390" s="24">
        <f>VLOOKUP(A390,Hoja1!A:C,3,0)</f>
        <v>8</v>
      </c>
      <c r="P390" s="30" t="str">
        <f>VLOOKUP(M390,[1]TIPOLOGIAS!$A:$F,4,0)</f>
        <v>CUCUTA</v>
      </c>
      <c r="Q390" s="30" t="str">
        <f>VLOOKUP(P390,'BASE TARIFA 2025'!C:D,2,0)</f>
        <v>WOMPI SANTANDERES</v>
      </c>
      <c r="R390" s="31">
        <f>VLOOKUP(P390,'BASE TARIFA 2025'!C:F,4,0)</f>
        <v>28277.100000000002</v>
      </c>
    </row>
    <row r="391" spans="1:18" s="28" customFormat="1" ht="14.4" x14ac:dyDescent="0.3">
      <c r="A391" s="28">
        <v>30195</v>
      </c>
      <c r="B391" s="28" t="s">
        <v>2461</v>
      </c>
      <c r="C391" s="28">
        <v>98668669</v>
      </c>
      <c r="D391" s="28" t="s">
        <v>286</v>
      </c>
      <c r="E391" s="28" t="s">
        <v>286</v>
      </c>
      <c r="G391" s="28" t="s">
        <v>287</v>
      </c>
      <c r="H391" s="28" t="s">
        <v>288</v>
      </c>
      <c r="I391" s="28" t="s">
        <v>289</v>
      </c>
      <c r="J391" s="28" t="s">
        <v>92</v>
      </c>
      <c r="K391" s="28" t="s">
        <v>157</v>
      </c>
      <c r="L391" s="28" t="s">
        <v>157</v>
      </c>
      <c r="M391" s="28">
        <v>54001</v>
      </c>
      <c r="N391" s="29" t="s">
        <v>744</v>
      </c>
      <c r="O391" s="24">
        <f>VLOOKUP(A391,Hoja1!A:C,3,0)</f>
        <v>16</v>
      </c>
      <c r="P391" s="30" t="str">
        <f>VLOOKUP(M391,[1]TIPOLOGIAS!$A:$F,4,0)</f>
        <v>CUCUTA</v>
      </c>
      <c r="Q391" s="30" t="str">
        <f>VLOOKUP(P391,'BASE TARIFA 2025'!C:D,2,0)</f>
        <v>WOMPI SANTANDERES</v>
      </c>
      <c r="R391" s="31">
        <f>VLOOKUP(P391,'BASE TARIFA 2025'!C:F,4,0)</f>
        <v>28277.100000000002</v>
      </c>
    </row>
    <row r="392" spans="1:18" s="28" customFormat="1" ht="14.4" x14ac:dyDescent="0.3">
      <c r="A392" s="28">
        <v>39687</v>
      </c>
      <c r="B392" s="28" t="s">
        <v>2462</v>
      </c>
      <c r="C392" s="28">
        <v>890306372</v>
      </c>
      <c r="D392" s="28" t="s">
        <v>2463</v>
      </c>
      <c r="E392" s="28" t="s">
        <v>2463</v>
      </c>
      <c r="G392" s="28" t="s">
        <v>2464</v>
      </c>
      <c r="H392" s="28" t="s">
        <v>2465</v>
      </c>
      <c r="I392" s="28" t="s">
        <v>2466</v>
      </c>
      <c r="J392" s="28" t="s">
        <v>92</v>
      </c>
      <c r="K392" s="28" t="s">
        <v>157</v>
      </c>
      <c r="L392" s="28" t="s">
        <v>157</v>
      </c>
      <c r="M392" s="28">
        <v>54001</v>
      </c>
      <c r="N392" s="29" t="s">
        <v>744</v>
      </c>
      <c r="O392" s="24" t="e">
        <f>VLOOKUP(A392,Hoja1!A:C,3,0)</f>
        <v>#N/A</v>
      </c>
      <c r="P392" s="30" t="str">
        <f>VLOOKUP(M392,[1]TIPOLOGIAS!$A:$F,4,0)</f>
        <v>CUCUTA</v>
      </c>
      <c r="Q392" s="30" t="str">
        <f>VLOOKUP(P392,'BASE TARIFA 2025'!C:D,2,0)</f>
        <v>WOMPI SANTANDERES</v>
      </c>
      <c r="R392" s="31">
        <f>VLOOKUP(P392,'BASE TARIFA 2025'!C:F,4,0)</f>
        <v>28277.100000000002</v>
      </c>
    </row>
    <row r="393" spans="1:18" s="28" customFormat="1" ht="14.4" x14ac:dyDescent="0.3">
      <c r="A393" s="28">
        <v>68947</v>
      </c>
      <c r="B393" s="28" t="s">
        <v>2467</v>
      </c>
      <c r="C393" s="28">
        <v>801002644</v>
      </c>
      <c r="D393" s="28" t="s">
        <v>2468</v>
      </c>
      <c r="E393" s="28" t="s">
        <v>2468</v>
      </c>
      <c r="G393" s="28" t="s">
        <v>2469</v>
      </c>
      <c r="H393" s="28" t="s">
        <v>2470</v>
      </c>
      <c r="I393" s="28" t="s">
        <v>2471</v>
      </c>
      <c r="J393" s="28" t="s">
        <v>92</v>
      </c>
      <c r="K393" s="28" t="s">
        <v>157</v>
      </c>
      <c r="L393" s="28" t="s">
        <v>157</v>
      </c>
      <c r="M393" s="28">
        <v>54001</v>
      </c>
      <c r="N393" s="29" t="s">
        <v>542</v>
      </c>
      <c r="O393" s="24">
        <f>VLOOKUP(A393,Hoja1!A:C,3,0)</f>
        <v>8</v>
      </c>
      <c r="P393" s="30" t="str">
        <f>VLOOKUP(M393,[1]TIPOLOGIAS!$A:$F,4,0)</f>
        <v>CUCUTA</v>
      </c>
      <c r="Q393" s="30" t="str">
        <f>VLOOKUP(P393,'BASE TARIFA 2025'!C:D,2,0)</f>
        <v>WOMPI SANTANDERES</v>
      </c>
      <c r="R393" s="31">
        <f>VLOOKUP(P393,'BASE TARIFA 2025'!C:F,4,0)</f>
        <v>28277.100000000002</v>
      </c>
    </row>
    <row r="394" spans="1:18" s="28" customFormat="1" ht="14.4" x14ac:dyDescent="0.3">
      <c r="A394" s="28">
        <v>70058</v>
      </c>
      <c r="B394" s="28" t="s">
        <v>2472</v>
      </c>
      <c r="C394" s="28">
        <v>1075308669</v>
      </c>
      <c r="D394" s="28" t="s">
        <v>2473</v>
      </c>
      <c r="E394" s="28" t="s">
        <v>2473</v>
      </c>
      <c r="G394" s="28" t="s">
        <v>2474</v>
      </c>
      <c r="H394" s="28" t="s">
        <v>2475</v>
      </c>
      <c r="I394" s="28" t="s">
        <v>2476</v>
      </c>
      <c r="J394" s="28" t="s">
        <v>92</v>
      </c>
      <c r="K394" s="28" t="s">
        <v>157</v>
      </c>
      <c r="L394" s="28" t="s">
        <v>157</v>
      </c>
      <c r="M394" s="28">
        <v>54001</v>
      </c>
      <c r="N394" s="29" t="s">
        <v>536</v>
      </c>
      <c r="O394" s="24">
        <f>VLOOKUP(A394,Hoja1!A:C,3,0)</f>
        <v>8</v>
      </c>
      <c r="P394" s="30" t="str">
        <f>VLOOKUP(M394,[1]TIPOLOGIAS!$A:$F,4,0)</f>
        <v>CUCUTA</v>
      </c>
      <c r="Q394" s="30" t="str">
        <f>VLOOKUP(P394,'BASE TARIFA 2025'!C:D,2,0)</f>
        <v>WOMPI SANTANDERES</v>
      </c>
      <c r="R394" s="31">
        <f>VLOOKUP(P394,'BASE TARIFA 2025'!C:F,4,0)</f>
        <v>28277.100000000002</v>
      </c>
    </row>
    <row r="395" spans="1:18" s="28" customFormat="1" ht="14.4" x14ac:dyDescent="0.3">
      <c r="A395" s="28">
        <v>67890</v>
      </c>
      <c r="B395" s="28" t="s">
        <v>2477</v>
      </c>
      <c r="C395" s="28">
        <v>36347643</v>
      </c>
      <c r="D395" s="28" t="s">
        <v>294</v>
      </c>
      <c r="E395" s="28" t="s">
        <v>294</v>
      </c>
      <c r="G395" s="28" t="s">
        <v>295</v>
      </c>
      <c r="H395" s="28" t="s">
        <v>296</v>
      </c>
      <c r="I395" s="28" t="s">
        <v>297</v>
      </c>
      <c r="J395" s="28" t="s">
        <v>92</v>
      </c>
      <c r="K395" s="28" t="s">
        <v>157</v>
      </c>
      <c r="L395" s="28" t="s">
        <v>157</v>
      </c>
      <c r="M395" s="28">
        <v>54001</v>
      </c>
      <c r="N395" s="29" t="s">
        <v>744</v>
      </c>
      <c r="O395" s="24">
        <f>VLOOKUP(A395,Hoja1!A:C,3,0)</f>
        <v>8</v>
      </c>
      <c r="P395" s="30" t="str">
        <f>VLOOKUP(M395,[1]TIPOLOGIAS!$A:$F,4,0)</f>
        <v>CUCUTA</v>
      </c>
      <c r="Q395" s="30" t="str">
        <f>VLOOKUP(P395,'BASE TARIFA 2025'!C:D,2,0)</f>
        <v>WOMPI SANTANDERES</v>
      </c>
      <c r="R395" s="31">
        <f>VLOOKUP(P395,'BASE TARIFA 2025'!C:F,4,0)</f>
        <v>28277.100000000002</v>
      </c>
    </row>
    <row r="396" spans="1:18" s="28" customFormat="1" ht="14.4" x14ac:dyDescent="0.3">
      <c r="A396" s="28">
        <v>67804</v>
      </c>
      <c r="B396" s="28" t="s">
        <v>2478</v>
      </c>
      <c r="C396" s="28">
        <v>900397839</v>
      </c>
      <c r="D396" s="28" t="s">
        <v>298</v>
      </c>
      <c r="E396" s="28" t="s">
        <v>298</v>
      </c>
      <c r="G396" s="28" t="s">
        <v>299</v>
      </c>
      <c r="H396" s="28" t="s">
        <v>300</v>
      </c>
      <c r="I396" s="28" t="s">
        <v>301</v>
      </c>
      <c r="J396" s="28" t="s">
        <v>92</v>
      </c>
      <c r="K396" s="28" t="s">
        <v>157</v>
      </c>
      <c r="L396" s="28" t="s">
        <v>157</v>
      </c>
      <c r="M396" s="28">
        <v>54001</v>
      </c>
      <c r="N396" s="29" t="s">
        <v>744</v>
      </c>
      <c r="O396" s="24">
        <f>VLOOKUP(A396,Hoja1!A:C,3,0)</f>
        <v>8</v>
      </c>
      <c r="P396" s="30" t="str">
        <f>VLOOKUP(M396,[1]TIPOLOGIAS!$A:$F,4,0)</f>
        <v>CUCUTA</v>
      </c>
      <c r="Q396" s="30" t="str">
        <f>VLOOKUP(P396,'BASE TARIFA 2025'!C:D,2,0)</f>
        <v>WOMPI SANTANDERES</v>
      </c>
      <c r="R396" s="31">
        <f>VLOOKUP(P396,'BASE TARIFA 2025'!C:F,4,0)</f>
        <v>28277.100000000002</v>
      </c>
    </row>
    <row r="397" spans="1:18" s="28" customFormat="1" ht="14.4" x14ac:dyDescent="0.3">
      <c r="A397" s="28">
        <v>64277</v>
      </c>
      <c r="B397" s="28" t="s">
        <v>2479</v>
      </c>
      <c r="C397" s="28">
        <v>36346152</v>
      </c>
      <c r="D397" s="28" t="s">
        <v>2480</v>
      </c>
      <c r="E397" s="28" t="s">
        <v>2481</v>
      </c>
      <c r="F397" s="28" t="s">
        <v>2481</v>
      </c>
      <c r="G397" s="28" t="s">
        <v>2482</v>
      </c>
      <c r="H397" s="28" t="s">
        <v>2483</v>
      </c>
      <c r="I397" s="28" t="s">
        <v>2484</v>
      </c>
      <c r="J397" s="28" t="s">
        <v>94</v>
      </c>
      <c r="K397" s="28" t="s">
        <v>2485</v>
      </c>
      <c r="L397" s="28" t="s">
        <v>2485</v>
      </c>
      <c r="M397" s="28">
        <v>68264</v>
      </c>
      <c r="N397" s="29" t="s">
        <v>996</v>
      </c>
      <c r="O397" s="24">
        <f>VLOOKUP(A397,Hoja1!A:C,3,0)</f>
        <v>16</v>
      </c>
      <c r="P397" s="30" t="str">
        <f>VLOOKUP(M397,[1]TIPOLOGIAS!$A:$F,4,0)</f>
        <v>BUCARAMANGA</v>
      </c>
      <c r="Q397" s="30" t="str">
        <f>VLOOKUP(P397,'BASE TARIFA 2025'!C:D,2,0)</f>
        <v>WOMPI SANTANDERES</v>
      </c>
      <c r="R397" s="31">
        <f>VLOOKUP(P397,'BASE TARIFA 2025'!C:F,4,0)</f>
        <v>15709.5</v>
      </c>
    </row>
    <row r="398" spans="1:18" s="28" customFormat="1" ht="14.4" x14ac:dyDescent="0.3">
      <c r="A398" s="28">
        <v>56762</v>
      </c>
      <c r="B398" s="28" t="s">
        <v>2486</v>
      </c>
      <c r="C398" s="28">
        <v>900651102</v>
      </c>
      <c r="D398" s="28" t="s">
        <v>2487</v>
      </c>
      <c r="E398" s="28" t="s">
        <v>69</v>
      </c>
      <c r="F398" s="28" t="s">
        <v>2487</v>
      </c>
      <c r="G398" s="28" t="s">
        <v>2488</v>
      </c>
      <c r="H398" s="28" t="s">
        <v>2489</v>
      </c>
      <c r="I398" s="28" t="s">
        <v>2490</v>
      </c>
      <c r="J398" s="28" t="s">
        <v>94</v>
      </c>
      <c r="K398" s="28" t="s">
        <v>2491</v>
      </c>
      <c r="L398" s="28" t="s">
        <v>2491</v>
      </c>
      <c r="M398" s="28">
        <v>68318</v>
      </c>
      <c r="N398" s="29" t="s">
        <v>582</v>
      </c>
      <c r="O398" s="24">
        <f>VLOOKUP(A398,Hoja1!A:C,3,0)</f>
        <v>8</v>
      </c>
      <c r="P398" s="30" t="str">
        <f>VLOOKUP(M398,[1]TIPOLOGIAS!$A:$F,4,0)</f>
        <v>BUCARAMANGA</v>
      </c>
      <c r="Q398" s="30" t="str">
        <f>VLOOKUP(P398,'BASE TARIFA 2025'!C:D,2,0)</f>
        <v>WOMPI SANTANDERES</v>
      </c>
      <c r="R398" s="31">
        <f>VLOOKUP(P398,'BASE TARIFA 2025'!C:F,4,0)</f>
        <v>15709.5</v>
      </c>
    </row>
    <row r="399" spans="1:18" s="28" customFormat="1" ht="14.4" x14ac:dyDescent="0.3">
      <c r="A399" s="28">
        <v>28357</v>
      </c>
      <c r="B399" s="28" t="s">
        <v>2492</v>
      </c>
      <c r="C399" s="28">
        <v>1035427036</v>
      </c>
      <c r="D399" s="28" t="s">
        <v>2493</v>
      </c>
      <c r="E399" s="28" t="s">
        <v>2494</v>
      </c>
      <c r="F399" s="28" t="s">
        <v>2494</v>
      </c>
      <c r="G399" s="28" t="s">
        <v>2495</v>
      </c>
      <c r="H399" s="28" t="s">
        <v>2496</v>
      </c>
      <c r="I399" s="28" t="s">
        <v>2497</v>
      </c>
      <c r="J399" s="28" t="s">
        <v>110</v>
      </c>
      <c r="K399" s="28" t="s">
        <v>156</v>
      </c>
      <c r="L399" s="28" t="s">
        <v>156</v>
      </c>
      <c r="M399" s="28">
        <v>76520</v>
      </c>
      <c r="N399" s="29" t="s">
        <v>655</v>
      </c>
      <c r="O399" s="24">
        <f>VLOOKUP(A399,Hoja1!A:C,3,0)</f>
        <v>16</v>
      </c>
      <c r="P399" s="30" t="str">
        <f>VLOOKUP(M399,[1]TIPOLOGIAS!$A:$F,4,0)</f>
        <v>CALI</v>
      </c>
      <c r="Q399" s="30" t="str">
        <f>VLOOKUP(P399,'BASE TARIFA 2025'!C:D,2,0)</f>
        <v>WOMPI SUROCCIDENTE</v>
      </c>
      <c r="R399" s="31">
        <f>VLOOKUP(P399,'BASE TARIFA 2025'!C:F,4,0)</f>
        <v>15709.5</v>
      </c>
    </row>
    <row r="400" spans="1:18" s="28" customFormat="1" ht="14.4" x14ac:dyDescent="0.3">
      <c r="A400" s="28">
        <v>18323</v>
      </c>
      <c r="B400" s="28" t="s">
        <v>2498</v>
      </c>
      <c r="C400" s="28">
        <v>900470242</v>
      </c>
      <c r="D400" s="28" t="s">
        <v>2499</v>
      </c>
      <c r="E400" s="28" t="s">
        <v>2500</v>
      </c>
      <c r="F400" s="28" t="s">
        <v>2499</v>
      </c>
      <c r="G400" s="28" t="s">
        <v>2501</v>
      </c>
      <c r="H400" s="28" t="s">
        <v>2502</v>
      </c>
      <c r="I400" s="28" t="s">
        <v>2503</v>
      </c>
      <c r="J400" s="28" t="s">
        <v>110</v>
      </c>
      <c r="K400" s="28" t="s">
        <v>156</v>
      </c>
      <c r="L400" s="28" t="s">
        <v>156</v>
      </c>
      <c r="M400" s="28">
        <v>76520</v>
      </c>
      <c r="N400" s="29" t="s">
        <v>589</v>
      </c>
      <c r="O400" s="24">
        <f>VLOOKUP(A400,Hoja1!A:C,3,0)</f>
        <v>8</v>
      </c>
      <c r="P400" s="30" t="str">
        <f>VLOOKUP(M400,[1]TIPOLOGIAS!$A:$F,4,0)</f>
        <v>CALI</v>
      </c>
      <c r="Q400" s="30" t="str">
        <f>VLOOKUP(P400,'BASE TARIFA 2025'!C:D,2,0)</f>
        <v>WOMPI SUROCCIDENTE</v>
      </c>
      <c r="R400" s="31">
        <f>VLOOKUP(P400,'BASE TARIFA 2025'!C:F,4,0)</f>
        <v>15709.5</v>
      </c>
    </row>
    <row r="401" spans="1:18" s="28" customFormat="1" ht="14.4" x14ac:dyDescent="0.3">
      <c r="A401" s="28">
        <v>57051</v>
      </c>
      <c r="B401" s="28" t="s">
        <v>2504</v>
      </c>
      <c r="C401" s="28">
        <v>1075311341</v>
      </c>
      <c r="D401" s="28" t="s">
        <v>2505</v>
      </c>
      <c r="E401" s="28" t="s">
        <v>2506</v>
      </c>
      <c r="F401" s="28" t="s">
        <v>2505</v>
      </c>
      <c r="G401" s="28" t="s">
        <v>2507</v>
      </c>
      <c r="H401" s="28" t="s">
        <v>2508</v>
      </c>
      <c r="I401" s="28" t="s">
        <v>2509</v>
      </c>
      <c r="J401" s="28" t="s">
        <v>110</v>
      </c>
      <c r="K401" s="28" t="s">
        <v>156</v>
      </c>
      <c r="L401" s="28" t="s">
        <v>156</v>
      </c>
      <c r="M401" s="28">
        <v>76520</v>
      </c>
      <c r="N401" s="29" t="s">
        <v>553</v>
      </c>
      <c r="O401" s="24">
        <f>VLOOKUP(A401,Hoja1!A:C,3,0)</f>
        <v>8</v>
      </c>
      <c r="P401" s="30" t="str">
        <f>VLOOKUP(M401,[1]TIPOLOGIAS!$A:$F,4,0)</f>
        <v>CALI</v>
      </c>
      <c r="Q401" s="30" t="str">
        <f>VLOOKUP(P401,'BASE TARIFA 2025'!C:D,2,0)</f>
        <v>WOMPI SUROCCIDENTE</v>
      </c>
      <c r="R401" s="31">
        <f>VLOOKUP(P401,'BASE TARIFA 2025'!C:F,4,0)</f>
        <v>15709.5</v>
      </c>
    </row>
    <row r="402" spans="1:18" s="28" customFormat="1" ht="14.4" x14ac:dyDescent="0.3">
      <c r="A402" s="28">
        <v>58404</v>
      </c>
      <c r="B402" s="28" t="s">
        <v>2510</v>
      </c>
      <c r="C402" s="28">
        <v>17655564</v>
      </c>
      <c r="E402" s="28" t="s">
        <v>2511</v>
      </c>
      <c r="F402" s="28" t="s">
        <v>2511</v>
      </c>
      <c r="G402" s="28" t="s">
        <v>2512</v>
      </c>
      <c r="H402" s="28" t="s">
        <v>2513</v>
      </c>
      <c r="I402" s="28" t="s">
        <v>2514</v>
      </c>
      <c r="J402" s="28" t="s">
        <v>95</v>
      </c>
      <c r="K402" s="28" t="s">
        <v>169</v>
      </c>
      <c r="L402" s="28" t="s">
        <v>170</v>
      </c>
      <c r="M402" s="28">
        <v>70742</v>
      </c>
      <c r="N402" s="29" t="s">
        <v>542</v>
      </c>
      <c r="O402" s="24">
        <f>VLOOKUP(A402,Hoja1!A:C,3,0)</f>
        <v>8</v>
      </c>
      <c r="P402" s="30" t="str">
        <f>VLOOKUP(M402,[1]TIPOLOGIAS!$A:$F,4,0)</f>
        <v>SINCELEJO</v>
      </c>
      <c r="Q402" s="30" t="str">
        <f>VLOOKUP(P402,'BASE TARIFA 2025'!C:D,2,0)</f>
        <v>WOMPI COSTA</v>
      </c>
      <c r="R402" s="31">
        <f>VLOOKUP(P402,'BASE TARIFA 2025'!C:F,4,0)</f>
        <v>28277.100000000002</v>
      </c>
    </row>
    <row r="403" spans="1:18" s="28" customFormat="1" ht="14.4" x14ac:dyDescent="0.3">
      <c r="A403" s="28">
        <v>53374</v>
      </c>
      <c r="B403" s="28" t="s">
        <v>2515</v>
      </c>
      <c r="C403" s="28">
        <v>36183212</v>
      </c>
      <c r="D403" s="28" t="s">
        <v>2516</v>
      </c>
      <c r="E403" s="28" t="s">
        <v>2516</v>
      </c>
      <c r="G403" s="28" t="s">
        <v>2517</v>
      </c>
      <c r="H403" s="28" t="s">
        <v>2518</v>
      </c>
      <c r="I403" s="28" t="s">
        <v>2519</v>
      </c>
      <c r="J403" s="28" t="s">
        <v>95</v>
      </c>
      <c r="K403" s="28" t="s">
        <v>171</v>
      </c>
      <c r="L403" s="28" t="s">
        <v>171</v>
      </c>
      <c r="M403" s="28">
        <v>70820</v>
      </c>
      <c r="N403" s="29" t="s">
        <v>1012</v>
      </c>
      <c r="O403" s="24">
        <f>VLOOKUP(A403,Hoja1!A:C,3,0)</f>
        <v>16</v>
      </c>
      <c r="P403" s="30" t="str">
        <f>VLOOKUP(M403,[1]TIPOLOGIAS!$A:$F,4,0)</f>
        <v>SINCELEJO</v>
      </c>
      <c r="Q403" s="30" t="str">
        <f>VLOOKUP(P403,'BASE TARIFA 2025'!C:D,2,0)</f>
        <v>WOMPI COSTA</v>
      </c>
      <c r="R403" s="31">
        <f>VLOOKUP(P403,'BASE TARIFA 2025'!C:F,4,0)</f>
        <v>28277.100000000002</v>
      </c>
    </row>
    <row r="404" spans="1:18" s="28" customFormat="1" ht="14.4" x14ac:dyDescent="0.3">
      <c r="A404" s="28">
        <v>50490</v>
      </c>
      <c r="B404" s="28" t="s">
        <v>2520</v>
      </c>
      <c r="C404" s="28">
        <v>1088294525</v>
      </c>
      <c r="D404" s="28" t="s">
        <v>2521</v>
      </c>
      <c r="E404" s="28" t="s">
        <v>2522</v>
      </c>
      <c r="F404" s="28" t="s">
        <v>2522</v>
      </c>
      <c r="G404" s="28" t="s">
        <v>2523</v>
      </c>
      <c r="H404" s="28" t="s">
        <v>2524</v>
      </c>
      <c r="I404" s="28" t="s">
        <v>2525</v>
      </c>
      <c r="J404" s="28" t="s">
        <v>95</v>
      </c>
      <c r="K404" s="28" t="s">
        <v>172</v>
      </c>
      <c r="L404" s="28" t="s">
        <v>172</v>
      </c>
      <c r="M404" s="28">
        <v>70823</v>
      </c>
      <c r="N404" s="29" t="s">
        <v>1012</v>
      </c>
      <c r="O404" s="24">
        <f>VLOOKUP(A404,Hoja1!A:C,3,0)</f>
        <v>8</v>
      </c>
      <c r="P404" s="30" t="str">
        <f>VLOOKUP(M404,[1]TIPOLOGIAS!$A:$F,4,0)</f>
        <v>SINCELEJO</v>
      </c>
      <c r="Q404" s="30" t="str">
        <f>VLOOKUP(P404,'BASE TARIFA 2025'!C:D,2,0)</f>
        <v>WOMPI COSTA</v>
      </c>
      <c r="R404" s="31">
        <f>VLOOKUP(P404,'BASE TARIFA 2025'!C:F,4,0)</f>
        <v>28277.100000000002</v>
      </c>
    </row>
    <row r="405" spans="1:18" s="28" customFormat="1" ht="14.4" x14ac:dyDescent="0.3">
      <c r="A405" s="28">
        <v>39911</v>
      </c>
      <c r="B405" s="28" t="s">
        <v>2526</v>
      </c>
      <c r="C405" s="28">
        <v>7687030</v>
      </c>
      <c r="E405" s="28" t="s">
        <v>2527</v>
      </c>
      <c r="F405" s="28" t="s">
        <v>2527</v>
      </c>
      <c r="G405" s="28" t="s">
        <v>2528</v>
      </c>
      <c r="H405" s="28" t="s">
        <v>2529</v>
      </c>
      <c r="I405" s="28" t="s">
        <v>2530</v>
      </c>
      <c r="J405" s="28" t="s">
        <v>95</v>
      </c>
      <c r="K405" s="28" t="s">
        <v>172</v>
      </c>
      <c r="L405" s="28" t="s">
        <v>172</v>
      </c>
      <c r="M405" s="28">
        <v>70823</v>
      </c>
      <c r="N405" s="29" t="s">
        <v>1012</v>
      </c>
      <c r="O405" s="24">
        <f>VLOOKUP(A405,Hoja1!A:C,3,0)</f>
        <v>8</v>
      </c>
      <c r="P405" s="30" t="str">
        <f>VLOOKUP(M405,[1]TIPOLOGIAS!$A:$F,4,0)</f>
        <v>SINCELEJO</v>
      </c>
      <c r="Q405" s="30" t="str">
        <f>VLOOKUP(P405,'BASE TARIFA 2025'!C:D,2,0)</f>
        <v>WOMPI COSTA</v>
      </c>
      <c r="R405" s="31">
        <f>VLOOKUP(P405,'BASE TARIFA 2025'!C:F,4,0)</f>
        <v>28277.100000000002</v>
      </c>
    </row>
    <row r="406" spans="1:18" s="28" customFormat="1" ht="14.4" x14ac:dyDescent="0.3">
      <c r="A406" s="28">
        <v>36993</v>
      </c>
      <c r="B406" s="28" t="s">
        <v>2531</v>
      </c>
      <c r="C406" s="28">
        <v>7718323</v>
      </c>
      <c r="D406" s="28" t="s">
        <v>2532</v>
      </c>
      <c r="E406" s="28" t="s">
        <v>2533</v>
      </c>
      <c r="F406" s="28" t="s">
        <v>2532</v>
      </c>
      <c r="G406" s="28" t="s">
        <v>2534</v>
      </c>
      <c r="H406" s="28" t="s">
        <v>2535</v>
      </c>
      <c r="I406" s="28" t="s">
        <v>2536</v>
      </c>
      <c r="J406" s="28" t="s">
        <v>110</v>
      </c>
      <c r="K406" s="28" t="s">
        <v>205</v>
      </c>
      <c r="L406" s="28" t="s">
        <v>205</v>
      </c>
      <c r="M406" s="28">
        <v>76364</v>
      </c>
      <c r="N406" s="29" t="s">
        <v>996</v>
      </c>
      <c r="O406" s="24">
        <f>VLOOKUP(A406,Hoja1!A:C,3,0)</f>
        <v>16</v>
      </c>
      <c r="P406" s="30" t="str">
        <f>VLOOKUP(M406,[1]TIPOLOGIAS!$A:$F,4,0)</f>
        <v>CALI</v>
      </c>
      <c r="Q406" s="30" t="str">
        <f>VLOOKUP(P406,'BASE TARIFA 2025'!C:D,2,0)</f>
        <v>WOMPI SUROCCIDENTE</v>
      </c>
      <c r="R406" s="31">
        <f>VLOOKUP(P406,'BASE TARIFA 2025'!C:F,4,0)</f>
        <v>15709.5</v>
      </c>
    </row>
    <row r="407" spans="1:18" s="28" customFormat="1" ht="14.4" x14ac:dyDescent="0.3">
      <c r="A407" s="28">
        <v>37409</v>
      </c>
      <c r="B407" s="28" t="s">
        <v>2537</v>
      </c>
      <c r="C407" s="28">
        <v>1075270403</v>
      </c>
      <c r="D407" s="28" t="s">
        <v>2538</v>
      </c>
      <c r="E407" s="28" t="s">
        <v>2538</v>
      </c>
      <c r="G407" s="28" t="s">
        <v>2539</v>
      </c>
      <c r="H407" s="28" t="s">
        <v>2540</v>
      </c>
      <c r="I407" s="28" t="s">
        <v>2541</v>
      </c>
      <c r="J407" s="28" t="s">
        <v>110</v>
      </c>
      <c r="K407" s="28" t="s">
        <v>205</v>
      </c>
      <c r="L407" s="28" t="s">
        <v>205</v>
      </c>
      <c r="M407" s="28">
        <v>76364</v>
      </c>
      <c r="N407" s="29" t="s">
        <v>996</v>
      </c>
      <c r="O407" s="24">
        <f>VLOOKUP(A407,Hoja1!A:C,3,0)</f>
        <v>16</v>
      </c>
      <c r="P407" s="30" t="str">
        <f>VLOOKUP(M407,[1]TIPOLOGIAS!$A:$F,4,0)</f>
        <v>CALI</v>
      </c>
      <c r="Q407" s="30" t="str">
        <f>VLOOKUP(P407,'BASE TARIFA 2025'!C:D,2,0)</f>
        <v>WOMPI SUROCCIDENTE</v>
      </c>
      <c r="R407" s="31">
        <f>VLOOKUP(P407,'BASE TARIFA 2025'!C:F,4,0)</f>
        <v>15709.5</v>
      </c>
    </row>
    <row r="408" spans="1:18" s="28" customFormat="1" ht="14.4" x14ac:dyDescent="0.3">
      <c r="A408" s="28">
        <v>16748</v>
      </c>
      <c r="B408" s="28" t="s">
        <v>2542</v>
      </c>
      <c r="C408" s="28">
        <v>801002644</v>
      </c>
      <c r="D408" s="28" t="s">
        <v>2543</v>
      </c>
      <c r="E408" s="28" t="s">
        <v>2543</v>
      </c>
      <c r="F408" s="28" t="s">
        <v>2543</v>
      </c>
      <c r="G408" s="28" t="s">
        <v>2544</v>
      </c>
      <c r="H408" s="28" t="s">
        <v>2545</v>
      </c>
      <c r="I408" s="28" t="s">
        <v>2546</v>
      </c>
      <c r="J408" s="28" t="s">
        <v>110</v>
      </c>
      <c r="K408" s="28" t="s">
        <v>205</v>
      </c>
      <c r="L408" s="28" t="s">
        <v>205</v>
      </c>
      <c r="M408" s="28">
        <v>76364</v>
      </c>
      <c r="N408" s="29" t="s">
        <v>996</v>
      </c>
      <c r="O408" s="24">
        <f>VLOOKUP(A408,Hoja1!A:C,3,0)</f>
        <v>8</v>
      </c>
      <c r="P408" s="30" t="str">
        <f>VLOOKUP(M408,[1]TIPOLOGIAS!$A:$F,4,0)</f>
        <v>CALI</v>
      </c>
      <c r="Q408" s="30" t="str">
        <f>VLOOKUP(P408,'BASE TARIFA 2025'!C:D,2,0)</f>
        <v>WOMPI SUROCCIDENTE</v>
      </c>
      <c r="R408" s="31">
        <f>VLOOKUP(P408,'BASE TARIFA 2025'!C:F,4,0)</f>
        <v>15709.5</v>
      </c>
    </row>
    <row r="409" spans="1:18" s="28" customFormat="1" ht="14.4" x14ac:dyDescent="0.3">
      <c r="A409" s="28">
        <v>35096</v>
      </c>
      <c r="B409" s="28" t="s">
        <v>2547</v>
      </c>
      <c r="C409" s="28">
        <v>1075224615</v>
      </c>
      <c r="D409" s="28" t="s">
        <v>2548</v>
      </c>
      <c r="E409" s="28" t="s">
        <v>2549</v>
      </c>
      <c r="F409" s="28" t="s">
        <v>2549</v>
      </c>
      <c r="G409" s="28" t="s">
        <v>2550</v>
      </c>
      <c r="H409" s="28" t="s">
        <v>2551</v>
      </c>
      <c r="I409" s="28" t="s">
        <v>2552</v>
      </c>
      <c r="J409" s="28" t="s">
        <v>110</v>
      </c>
      <c r="K409" s="28" t="s">
        <v>2553</v>
      </c>
      <c r="L409" s="28" t="s">
        <v>2553</v>
      </c>
      <c r="M409" s="28">
        <v>76377</v>
      </c>
      <c r="N409" s="29" t="s">
        <v>756</v>
      </c>
      <c r="O409" s="24">
        <f>VLOOKUP(A409,Hoja1!A:C,3,0)</f>
        <v>8</v>
      </c>
      <c r="P409" s="30" t="str">
        <f>VLOOKUP(M409,[1]TIPOLOGIAS!$A:$F,4,0)</f>
        <v>CALI</v>
      </c>
      <c r="Q409" s="30" t="str">
        <f>VLOOKUP(P409,'BASE TARIFA 2025'!C:D,2,0)</f>
        <v>WOMPI SUROCCIDENTE</v>
      </c>
      <c r="R409" s="31">
        <f>VLOOKUP(P409,'BASE TARIFA 2025'!C:F,4,0)</f>
        <v>15709.5</v>
      </c>
    </row>
    <row r="410" spans="1:18" s="28" customFormat="1" ht="14.4" x14ac:dyDescent="0.3">
      <c r="A410" s="28">
        <v>27156</v>
      </c>
      <c r="B410" s="28" t="s">
        <v>2554</v>
      </c>
      <c r="C410" s="28">
        <v>83224064</v>
      </c>
      <c r="D410" s="28" t="s">
        <v>2555</v>
      </c>
      <c r="E410" s="28" t="s">
        <v>2556</v>
      </c>
      <c r="F410" s="28" t="s">
        <v>2556</v>
      </c>
      <c r="G410" s="28" t="s">
        <v>2557</v>
      </c>
      <c r="H410" s="28" t="s">
        <v>2558</v>
      </c>
      <c r="I410" s="28" t="s">
        <v>2559</v>
      </c>
      <c r="J410" s="28" t="s">
        <v>67</v>
      </c>
      <c r="K410" s="28" t="s">
        <v>68</v>
      </c>
      <c r="L410" s="28" t="s">
        <v>68</v>
      </c>
      <c r="M410" s="28">
        <v>5615</v>
      </c>
      <c r="N410" s="29" t="s">
        <v>582</v>
      </c>
      <c r="O410" s="24">
        <f>VLOOKUP(A410,Hoja1!A:C,3,0)</f>
        <v>8</v>
      </c>
      <c r="P410" s="30" t="str">
        <f>VLOOKUP(M410,[1]TIPOLOGIAS!$A:$F,4,0)</f>
        <v>MEDELLIN</v>
      </c>
      <c r="Q410" s="30" t="str">
        <f>VLOOKUP(P410,'BASE TARIFA 2025'!C:D,2,0)</f>
        <v>WOMPI NOROCCIDENTE</v>
      </c>
      <c r="R410" s="31">
        <f>VLOOKUP(P410,'BASE TARIFA 2025'!C:F,4,0)</f>
        <v>15709.5</v>
      </c>
    </row>
    <row r="411" spans="1:18" s="28" customFormat="1" ht="14.4" x14ac:dyDescent="0.3">
      <c r="A411" s="28">
        <v>25614</v>
      </c>
      <c r="B411" s="28" t="s">
        <v>2560</v>
      </c>
      <c r="C411" s="28">
        <v>55063537</v>
      </c>
      <c r="D411" s="28" t="s">
        <v>2561</v>
      </c>
      <c r="E411" s="28" t="s">
        <v>2562</v>
      </c>
      <c r="F411" s="28" t="s">
        <v>2562</v>
      </c>
      <c r="G411" s="28" t="s">
        <v>2563</v>
      </c>
      <c r="H411" s="28" t="s">
        <v>2564</v>
      </c>
      <c r="I411" s="28" t="s">
        <v>2565</v>
      </c>
      <c r="J411" s="28" t="s">
        <v>67</v>
      </c>
      <c r="K411" s="28" t="s">
        <v>68</v>
      </c>
      <c r="L411" s="28" t="s">
        <v>68</v>
      </c>
      <c r="M411" s="28">
        <v>5615</v>
      </c>
      <c r="N411" s="29" t="s">
        <v>560</v>
      </c>
      <c r="O411" s="24">
        <f>VLOOKUP(A411,Hoja1!A:C,3,0)</f>
        <v>8</v>
      </c>
      <c r="P411" s="30" t="str">
        <f>VLOOKUP(M411,[1]TIPOLOGIAS!$A:$F,4,0)</f>
        <v>MEDELLIN</v>
      </c>
      <c r="Q411" s="30" t="str">
        <f>VLOOKUP(P411,'BASE TARIFA 2025'!C:D,2,0)</f>
        <v>WOMPI NOROCCIDENTE</v>
      </c>
      <c r="R411" s="31">
        <f>VLOOKUP(P411,'BASE TARIFA 2025'!C:F,4,0)</f>
        <v>15709.5</v>
      </c>
    </row>
    <row r="412" spans="1:18" s="28" customFormat="1" ht="14.4" x14ac:dyDescent="0.3">
      <c r="A412" s="28">
        <v>18978</v>
      </c>
      <c r="B412" s="28" t="s">
        <v>2566</v>
      </c>
      <c r="C412" s="28">
        <v>55162620</v>
      </c>
      <c r="D412" s="28" t="s">
        <v>2567</v>
      </c>
      <c r="E412" s="28" t="s">
        <v>2568</v>
      </c>
      <c r="F412" s="28" t="s">
        <v>2568</v>
      </c>
      <c r="G412" s="28" t="s">
        <v>2569</v>
      </c>
      <c r="H412" s="28" t="s">
        <v>2570</v>
      </c>
      <c r="I412" s="28" t="s">
        <v>2571</v>
      </c>
      <c r="J412" s="28" t="s">
        <v>67</v>
      </c>
      <c r="K412" s="28" t="s">
        <v>68</v>
      </c>
      <c r="L412" s="28" t="s">
        <v>68</v>
      </c>
      <c r="M412" s="28">
        <v>5615</v>
      </c>
      <c r="N412" s="29" t="s">
        <v>582</v>
      </c>
      <c r="O412" s="24">
        <f>VLOOKUP(A412,Hoja1!A:C,3,0)</f>
        <v>8</v>
      </c>
      <c r="P412" s="30" t="str">
        <f>VLOOKUP(M412,[1]TIPOLOGIAS!$A:$F,4,0)</f>
        <v>MEDELLIN</v>
      </c>
      <c r="Q412" s="30" t="str">
        <f>VLOOKUP(P412,'BASE TARIFA 2025'!C:D,2,0)</f>
        <v>WOMPI NOROCCIDENTE</v>
      </c>
      <c r="R412" s="31">
        <f>VLOOKUP(P412,'BASE TARIFA 2025'!C:F,4,0)</f>
        <v>15709.5</v>
      </c>
    </row>
    <row r="413" spans="1:18" s="28" customFormat="1" ht="14.4" x14ac:dyDescent="0.3">
      <c r="A413" s="28">
        <v>14661</v>
      </c>
      <c r="B413" s="28" t="s">
        <v>2572</v>
      </c>
      <c r="C413" s="28">
        <v>900020155</v>
      </c>
      <c r="D413" s="28" t="s">
        <v>2573</v>
      </c>
      <c r="E413" s="28" t="s">
        <v>2574</v>
      </c>
      <c r="F413" s="28" t="s">
        <v>2574</v>
      </c>
      <c r="G413" s="28" t="s">
        <v>2575</v>
      </c>
      <c r="H413" s="28" t="s">
        <v>2576</v>
      </c>
      <c r="I413" s="28" t="s">
        <v>2577</v>
      </c>
      <c r="J413" s="28" t="s">
        <v>67</v>
      </c>
      <c r="K413" s="28" t="s">
        <v>68</v>
      </c>
      <c r="L413" s="28" t="s">
        <v>68</v>
      </c>
      <c r="M413" s="28">
        <v>5615</v>
      </c>
      <c r="N413" s="29" t="s">
        <v>560</v>
      </c>
      <c r="O413" s="24">
        <f>VLOOKUP(A413,Hoja1!A:C,3,0)</f>
        <v>8</v>
      </c>
      <c r="P413" s="30" t="str">
        <f>VLOOKUP(M413,[1]TIPOLOGIAS!$A:$F,4,0)</f>
        <v>MEDELLIN</v>
      </c>
      <c r="Q413" s="30" t="str">
        <f>VLOOKUP(P413,'BASE TARIFA 2025'!C:D,2,0)</f>
        <v>WOMPI NOROCCIDENTE</v>
      </c>
      <c r="R413" s="31">
        <f>VLOOKUP(P413,'BASE TARIFA 2025'!C:F,4,0)</f>
        <v>15709.5</v>
      </c>
    </row>
    <row r="414" spans="1:18" s="28" customFormat="1" ht="14.4" x14ac:dyDescent="0.3">
      <c r="A414" s="28">
        <v>63001</v>
      </c>
      <c r="B414" s="28" t="s">
        <v>2578</v>
      </c>
      <c r="C414" s="28">
        <v>900912012</v>
      </c>
      <c r="D414" s="28" t="s">
        <v>290</v>
      </c>
      <c r="E414" s="28" t="s">
        <v>290</v>
      </c>
      <c r="G414" s="28" t="s">
        <v>291</v>
      </c>
      <c r="H414" s="28" t="s">
        <v>292</v>
      </c>
      <c r="I414" s="28" t="s">
        <v>293</v>
      </c>
      <c r="J414" s="28" t="s">
        <v>92</v>
      </c>
      <c r="K414" s="28" t="s">
        <v>157</v>
      </c>
      <c r="L414" s="28" t="s">
        <v>157</v>
      </c>
      <c r="M414" s="28">
        <v>54001</v>
      </c>
      <c r="N414" s="29" t="s">
        <v>744</v>
      </c>
      <c r="O414" s="24" t="e">
        <f>VLOOKUP(A414,Hoja1!A:C,3,0)</f>
        <v>#N/A</v>
      </c>
      <c r="P414" s="30" t="str">
        <f>VLOOKUP(M414,[1]TIPOLOGIAS!$A:$F,4,0)</f>
        <v>CUCUTA</v>
      </c>
      <c r="Q414" s="30" t="str">
        <f>VLOOKUP(P414,'BASE TARIFA 2025'!C:D,2,0)</f>
        <v>WOMPI SANTANDERES</v>
      </c>
      <c r="R414" s="31">
        <f>VLOOKUP(P414,'BASE TARIFA 2025'!C:F,4,0)</f>
        <v>28277.100000000002</v>
      </c>
    </row>
    <row r="415" spans="1:18" s="28" customFormat="1" ht="14.4" x14ac:dyDescent="0.3">
      <c r="A415" s="28">
        <v>79152</v>
      </c>
      <c r="B415" s="28" t="s">
        <v>2579</v>
      </c>
      <c r="C415" s="28">
        <v>1065598928</v>
      </c>
      <c r="D415" s="28" t="s">
        <v>2580</v>
      </c>
      <c r="E415" s="28" t="s">
        <v>2581</v>
      </c>
      <c r="F415" s="28" t="s">
        <v>2581</v>
      </c>
      <c r="G415" s="28" t="s">
        <v>2582</v>
      </c>
      <c r="H415" s="28" t="s">
        <v>2583</v>
      </c>
      <c r="I415" s="28" t="s">
        <v>2584</v>
      </c>
      <c r="J415" s="28" t="s">
        <v>92</v>
      </c>
      <c r="K415" s="28" t="s">
        <v>157</v>
      </c>
      <c r="L415" s="28" t="s">
        <v>157</v>
      </c>
      <c r="M415" s="28">
        <v>54001</v>
      </c>
      <c r="N415" s="29" t="s">
        <v>553</v>
      </c>
      <c r="O415" s="24">
        <f>VLOOKUP(A415,Hoja1!A:C,3,0)</f>
        <v>8</v>
      </c>
      <c r="P415" s="30" t="str">
        <f>VLOOKUP(M415,[1]TIPOLOGIAS!$A:$F,4,0)</f>
        <v>CUCUTA</v>
      </c>
      <c r="Q415" s="30" t="str">
        <f>VLOOKUP(P415,'BASE TARIFA 2025'!C:D,2,0)</f>
        <v>WOMPI SANTANDERES</v>
      </c>
      <c r="R415" s="31">
        <f>VLOOKUP(P415,'BASE TARIFA 2025'!C:F,4,0)</f>
        <v>28277.100000000002</v>
      </c>
    </row>
    <row r="416" spans="1:18" s="28" customFormat="1" ht="14.4" x14ac:dyDescent="0.3">
      <c r="A416" s="28">
        <v>76396</v>
      </c>
      <c r="B416" s="28" t="s">
        <v>2585</v>
      </c>
      <c r="C416" s="28">
        <v>901014521</v>
      </c>
      <c r="D416" s="28" t="s">
        <v>2586</v>
      </c>
      <c r="E416" s="28" t="s">
        <v>2586</v>
      </c>
      <c r="F416" s="28" t="s">
        <v>2586</v>
      </c>
      <c r="G416" s="28" t="s">
        <v>2587</v>
      </c>
      <c r="H416" s="28" t="s">
        <v>2588</v>
      </c>
      <c r="I416" s="28" t="s">
        <v>2589</v>
      </c>
      <c r="J416" s="28" t="s">
        <v>92</v>
      </c>
      <c r="K416" s="28" t="s">
        <v>157</v>
      </c>
      <c r="L416" s="28" t="s">
        <v>157</v>
      </c>
      <c r="M416" s="28">
        <v>54001</v>
      </c>
      <c r="N416" s="29" t="s">
        <v>744</v>
      </c>
      <c r="O416" s="24">
        <f>VLOOKUP(A416,Hoja1!A:C,3,0)</f>
        <v>8</v>
      </c>
      <c r="P416" s="30" t="str">
        <f>VLOOKUP(M416,[1]TIPOLOGIAS!$A:$F,4,0)</f>
        <v>CUCUTA</v>
      </c>
      <c r="Q416" s="30" t="str">
        <f>VLOOKUP(P416,'BASE TARIFA 2025'!C:D,2,0)</f>
        <v>WOMPI SANTANDERES</v>
      </c>
      <c r="R416" s="31">
        <f>VLOOKUP(P416,'BASE TARIFA 2025'!C:F,4,0)</f>
        <v>28277.100000000002</v>
      </c>
    </row>
    <row r="417" spans="1:18" s="28" customFormat="1" ht="14.4" x14ac:dyDescent="0.3">
      <c r="A417" s="28">
        <v>78444</v>
      </c>
      <c r="B417" s="28" t="s">
        <v>2590</v>
      </c>
      <c r="C417" s="28">
        <v>1098200028</v>
      </c>
      <c r="D417" s="28" t="s">
        <v>2373</v>
      </c>
      <c r="E417" s="28" t="s">
        <v>2373</v>
      </c>
      <c r="G417" s="28" t="s">
        <v>2591</v>
      </c>
      <c r="H417" s="28" t="s">
        <v>2592</v>
      </c>
      <c r="I417" s="28" t="s">
        <v>2593</v>
      </c>
      <c r="J417" s="28" t="s">
        <v>92</v>
      </c>
      <c r="K417" s="28" t="s">
        <v>157</v>
      </c>
      <c r="L417" s="28" t="s">
        <v>157</v>
      </c>
      <c r="M417" s="28">
        <v>54001</v>
      </c>
      <c r="N417" s="29" t="s">
        <v>744</v>
      </c>
      <c r="O417" s="24">
        <f>VLOOKUP(A417,Hoja1!A:C,3,0)</f>
        <v>16</v>
      </c>
      <c r="P417" s="30" t="str">
        <f>VLOOKUP(M417,[1]TIPOLOGIAS!$A:$F,4,0)</f>
        <v>CUCUTA</v>
      </c>
      <c r="Q417" s="30" t="str">
        <f>VLOOKUP(P417,'BASE TARIFA 2025'!C:D,2,0)</f>
        <v>WOMPI SANTANDERES</v>
      </c>
      <c r="R417" s="31">
        <f>VLOOKUP(P417,'BASE TARIFA 2025'!C:F,4,0)</f>
        <v>28277.100000000002</v>
      </c>
    </row>
    <row r="418" spans="1:18" s="28" customFormat="1" ht="14.4" x14ac:dyDescent="0.3">
      <c r="A418" s="28">
        <v>77715</v>
      </c>
      <c r="B418" s="28" t="s">
        <v>2594</v>
      </c>
      <c r="C418" s="28">
        <v>49609355</v>
      </c>
      <c r="D418" s="28" t="s">
        <v>2595</v>
      </c>
      <c r="E418" s="28" t="s">
        <v>2595</v>
      </c>
      <c r="G418" s="28" t="s">
        <v>2596</v>
      </c>
      <c r="H418" s="28" t="s">
        <v>2597</v>
      </c>
      <c r="I418" s="28" t="s">
        <v>2598</v>
      </c>
      <c r="J418" s="28" t="s">
        <v>92</v>
      </c>
      <c r="K418" s="28" t="s">
        <v>157</v>
      </c>
      <c r="L418" s="28" t="s">
        <v>157</v>
      </c>
      <c r="M418" s="28">
        <v>54001</v>
      </c>
      <c r="N418" s="29" t="s">
        <v>744</v>
      </c>
      <c r="O418" s="24">
        <f>VLOOKUP(A418,Hoja1!A:C,3,0)</f>
        <v>8</v>
      </c>
      <c r="P418" s="30" t="str">
        <f>VLOOKUP(M418,[1]TIPOLOGIAS!$A:$F,4,0)</f>
        <v>CUCUTA</v>
      </c>
      <c r="Q418" s="30" t="str">
        <f>VLOOKUP(P418,'BASE TARIFA 2025'!C:D,2,0)</f>
        <v>WOMPI SANTANDERES</v>
      </c>
      <c r="R418" s="31">
        <f>VLOOKUP(P418,'BASE TARIFA 2025'!C:F,4,0)</f>
        <v>28277.100000000002</v>
      </c>
    </row>
    <row r="419" spans="1:18" s="28" customFormat="1" ht="14.4" x14ac:dyDescent="0.3">
      <c r="A419" s="28">
        <v>66013</v>
      </c>
      <c r="B419" s="28" t="s">
        <v>2599</v>
      </c>
      <c r="C419" s="28">
        <v>901154313</v>
      </c>
      <c r="D419" s="28" t="s">
        <v>2600</v>
      </c>
      <c r="E419" s="28" t="s">
        <v>2600</v>
      </c>
      <c r="F419" s="28" t="s">
        <v>2600</v>
      </c>
      <c r="G419" s="28" t="s">
        <v>2601</v>
      </c>
      <c r="H419" s="28" t="s">
        <v>2602</v>
      </c>
      <c r="I419" s="28" t="s">
        <v>2603</v>
      </c>
      <c r="J419" s="28" t="s">
        <v>92</v>
      </c>
      <c r="K419" s="28" t="s">
        <v>157</v>
      </c>
      <c r="L419" s="28" t="s">
        <v>157</v>
      </c>
      <c r="M419" s="28">
        <v>54001</v>
      </c>
      <c r="N419" s="29" t="s">
        <v>553</v>
      </c>
      <c r="O419" s="24">
        <f>VLOOKUP(A419,Hoja1!A:C,3,0)</f>
        <v>16</v>
      </c>
      <c r="P419" s="30" t="str">
        <f>VLOOKUP(M419,[1]TIPOLOGIAS!$A:$F,4,0)</f>
        <v>CUCUTA</v>
      </c>
      <c r="Q419" s="30" t="str">
        <f>VLOOKUP(P419,'BASE TARIFA 2025'!C:D,2,0)</f>
        <v>WOMPI SANTANDERES</v>
      </c>
      <c r="R419" s="31">
        <f>VLOOKUP(P419,'BASE TARIFA 2025'!C:F,4,0)</f>
        <v>28277.100000000002</v>
      </c>
    </row>
    <row r="420" spans="1:18" s="28" customFormat="1" ht="14.4" x14ac:dyDescent="0.3">
      <c r="A420" s="28">
        <v>59108</v>
      </c>
      <c r="B420" s="28" t="s">
        <v>2604</v>
      </c>
      <c r="C420" s="28">
        <v>71229268</v>
      </c>
      <c r="D420" s="28" t="s">
        <v>2463</v>
      </c>
      <c r="E420" s="28" t="s">
        <v>2463</v>
      </c>
      <c r="F420" s="28" t="s">
        <v>2463</v>
      </c>
      <c r="G420" s="28" t="s">
        <v>2605</v>
      </c>
      <c r="H420" s="28" t="s">
        <v>2606</v>
      </c>
      <c r="I420" s="28" t="s">
        <v>2607</v>
      </c>
      <c r="J420" s="28" t="s">
        <v>92</v>
      </c>
      <c r="K420" s="28" t="s">
        <v>157</v>
      </c>
      <c r="L420" s="28" t="s">
        <v>157</v>
      </c>
      <c r="M420" s="28">
        <v>54001</v>
      </c>
      <c r="N420" s="29" t="s">
        <v>1173</v>
      </c>
      <c r="O420" s="24">
        <f>VLOOKUP(A420,Hoja1!A:C,3,0)</f>
        <v>16</v>
      </c>
      <c r="P420" s="30" t="str">
        <f>VLOOKUP(M420,[1]TIPOLOGIAS!$A:$F,4,0)</f>
        <v>CUCUTA</v>
      </c>
      <c r="Q420" s="30" t="str">
        <f>VLOOKUP(P420,'BASE TARIFA 2025'!C:D,2,0)</f>
        <v>WOMPI SANTANDERES</v>
      </c>
      <c r="R420" s="31">
        <f>VLOOKUP(P420,'BASE TARIFA 2025'!C:F,4,0)</f>
        <v>28277.100000000002</v>
      </c>
    </row>
    <row r="421" spans="1:18" s="28" customFormat="1" ht="14.4" x14ac:dyDescent="0.3">
      <c r="A421" s="28">
        <v>61400</v>
      </c>
      <c r="B421" s="28" t="s">
        <v>2608</v>
      </c>
      <c r="C421" s="28">
        <v>1152439346</v>
      </c>
      <c r="D421" s="28" t="s">
        <v>2609</v>
      </c>
      <c r="E421" s="28" t="s">
        <v>2610</v>
      </c>
      <c r="F421" s="28" t="s">
        <v>2609</v>
      </c>
      <c r="G421" s="28" t="s">
        <v>2611</v>
      </c>
      <c r="H421" s="28" t="s">
        <v>2612</v>
      </c>
      <c r="I421" s="28" t="s">
        <v>2613</v>
      </c>
      <c r="J421" s="28" t="s">
        <v>110</v>
      </c>
      <c r="K421" s="28" t="s">
        <v>156</v>
      </c>
      <c r="L421" s="28" t="s">
        <v>156</v>
      </c>
      <c r="M421" s="28">
        <v>76520</v>
      </c>
      <c r="N421" s="29" t="s">
        <v>1012</v>
      </c>
      <c r="O421" s="24">
        <f>VLOOKUP(A421,Hoja1!A:C,3,0)</f>
        <v>8</v>
      </c>
      <c r="P421" s="30" t="str">
        <f>VLOOKUP(M421,[1]TIPOLOGIAS!$A:$F,4,0)</f>
        <v>CALI</v>
      </c>
      <c r="Q421" s="30" t="str">
        <f>VLOOKUP(P421,'BASE TARIFA 2025'!C:D,2,0)</f>
        <v>WOMPI SUROCCIDENTE</v>
      </c>
      <c r="R421" s="31">
        <f>VLOOKUP(P421,'BASE TARIFA 2025'!C:F,4,0)</f>
        <v>15709.5</v>
      </c>
    </row>
    <row r="422" spans="1:18" s="28" customFormat="1" ht="14.4" x14ac:dyDescent="0.3">
      <c r="A422" s="28">
        <v>56825</v>
      </c>
      <c r="B422" s="28" t="s">
        <v>2614</v>
      </c>
      <c r="C422" s="28">
        <v>71758980</v>
      </c>
      <c r="D422" s="28" t="s">
        <v>2615</v>
      </c>
      <c r="E422" s="28" t="s">
        <v>2615</v>
      </c>
      <c r="F422" s="28" t="s">
        <v>2615</v>
      </c>
      <c r="G422" s="28" t="s">
        <v>2616</v>
      </c>
      <c r="H422" s="28" t="s">
        <v>2617</v>
      </c>
      <c r="I422" s="28" t="s">
        <v>2618</v>
      </c>
      <c r="J422" s="28" t="s">
        <v>110</v>
      </c>
      <c r="K422" s="28" t="s">
        <v>156</v>
      </c>
      <c r="L422" s="28" t="s">
        <v>156</v>
      </c>
      <c r="M422" s="28">
        <v>76520</v>
      </c>
      <c r="N422" s="29" t="s">
        <v>553</v>
      </c>
      <c r="O422" s="24">
        <f>VLOOKUP(A422,Hoja1!A:C,3,0)</f>
        <v>8</v>
      </c>
      <c r="P422" s="30" t="str">
        <f>VLOOKUP(M422,[1]TIPOLOGIAS!$A:$F,4,0)</f>
        <v>CALI</v>
      </c>
      <c r="Q422" s="30" t="str">
        <f>VLOOKUP(P422,'BASE TARIFA 2025'!C:D,2,0)</f>
        <v>WOMPI SUROCCIDENTE</v>
      </c>
      <c r="R422" s="31">
        <f>VLOOKUP(P422,'BASE TARIFA 2025'!C:F,4,0)</f>
        <v>15709.5</v>
      </c>
    </row>
    <row r="423" spans="1:18" s="28" customFormat="1" ht="14.4" x14ac:dyDescent="0.3">
      <c r="A423" s="28">
        <v>58468</v>
      </c>
      <c r="B423" s="28" t="s">
        <v>2619</v>
      </c>
      <c r="C423" s="28">
        <v>901038123</v>
      </c>
      <c r="D423" s="28" t="s">
        <v>69</v>
      </c>
      <c r="E423" s="28" t="s">
        <v>2620</v>
      </c>
      <c r="F423" s="28" t="s">
        <v>2620</v>
      </c>
      <c r="G423" s="28" t="s">
        <v>2621</v>
      </c>
      <c r="H423" s="28" t="s">
        <v>2622</v>
      </c>
      <c r="I423" s="28" t="s">
        <v>2623</v>
      </c>
      <c r="J423" s="28" t="s">
        <v>110</v>
      </c>
      <c r="K423" s="28" t="s">
        <v>156</v>
      </c>
      <c r="L423" s="28" t="s">
        <v>156</v>
      </c>
      <c r="M423" s="28">
        <v>76520</v>
      </c>
      <c r="N423" s="29" t="s">
        <v>589</v>
      </c>
      <c r="O423" s="24">
        <f>VLOOKUP(A423,Hoja1!A:C,3,0)</f>
        <v>16</v>
      </c>
      <c r="P423" s="30" t="str">
        <f>VLOOKUP(M423,[1]TIPOLOGIAS!$A:$F,4,0)</f>
        <v>CALI</v>
      </c>
      <c r="Q423" s="30" t="str">
        <f>VLOOKUP(P423,'BASE TARIFA 2025'!C:D,2,0)</f>
        <v>WOMPI SUROCCIDENTE</v>
      </c>
      <c r="R423" s="31">
        <f>VLOOKUP(P423,'BASE TARIFA 2025'!C:F,4,0)</f>
        <v>15709.5</v>
      </c>
    </row>
    <row r="424" spans="1:18" s="28" customFormat="1" ht="14.4" x14ac:dyDescent="0.3">
      <c r="A424" s="28">
        <v>58469</v>
      </c>
      <c r="B424" s="28" t="s">
        <v>2624</v>
      </c>
      <c r="C424" s="28">
        <v>901038123</v>
      </c>
      <c r="D424" s="28" t="s">
        <v>2625</v>
      </c>
      <c r="E424" s="28" t="s">
        <v>2626</v>
      </c>
      <c r="F424" s="28" t="s">
        <v>2627</v>
      </c>
      <c r="G424" s="28" t="s">
        <v>2628</v>
      </c>
      <c r="H424" s="28" t="s">
        <v>2629</v>
      </c>
      <c r="I424" s="28" t="s">
        <v>2630</v>
      </c>
      <c r="J424" s="28" t="s">
        <v>110</v>
      </c>
      <c r="K424" s="28" t="s">
        <v>156</v>
      </c>
      <c r="L424" s="28" t="s">
        <v>156</v>
      </c>
      <c r="M424" s="28">
        <v>76520</v>
      </c>
      <c r="N424" s="29" t="s">
        <v>1012</v>
      </c>
      <c r="O424" s="24">
        <f>VLOOKUP(A424,Hoja1!A:C,3,0)</f>
        <v>16</v>
      </c>
      <c r="P424" s="30" t="str">
        <f>VLOOKUP(M424,[1]TIPOLOGIAS!$A:$F,4,0)</f>
        <v>CALI</v>
      </c>
      <c r="Q424" s="30" t="str">
        <f>VLOOKUP(P424,'BASE TARIFA 2025'!C:D,2,0)</f>
        <v>WOMPI SUROCCIDENTE</v>
      </c>
      <c r="R424" s="31">
        <f>VLOOKUP(P424,'BASE TARIFA 2025'!C:F,4,0)</f>
        <v>15709.5</v>
      </c>
    </row>
    <row r="425" spans="1:18" s="28" customFormat="1" ht="14.4" x14ac:dyDescent="0.3">
      <c r="A425" s="28">
        <v>75060</v>
      </c>
      <c r="B425" s="28" t="s">
        <v>2631</v>
      </c>
      <c r="C425" s="28">
        <v>1064116488</v>
      </c>
      <c r="D425" s="28" t="s">
        <v>2632</v>
      </c>
      <c r="E425" s="28" t="s">
        <v>2633</v>
      </c>
      <c r="F425" s="28" t="s">
        <v>2632</v>
      </c>
      <c r="G425" s="28" t="s">
        <v>2634</v>
      </c>
      <c r="H425" s="28" t="s">
        <v>2635</v>
      </c>
      <c r="I425" s="28" t="s">
        <v>2636</v>
      </c>
      <c r="J425" s="28" t="s">
        <v>67</v>
      </c>
      <c r="K425" s="28" t="s">
        <v>68</v>
      </c>
      <c r="L425" s="28" t="s">
        <v>68</v>
      </c>
      <c r="M425" s="28">
        <v>5615</v>
      </c>
      <c r="N425" s="29" t="s">
        <v>560</v>
      </c>
      <c r="O425" s="24">
        <f>VLOOKUP(A425,Hoja1!A:C,3,0)</f>
        <v>16</v>
      </c>
      <c r="P425" s="30" t="str">
        <f>VLOOKUP(M425,[1]TIPOLOGIAS!$A:$F,4,0)</f>
        <v>MEDELLIN</v>
      </c>
      <c r="Q425" s="30" t="str">
        <f>VLOOKUP(P425,'BASE TARIFA 2025'!C:D,2,0)</f>
        <v>WOMPI NOROCCIDENTE</v>
      </c>
      <c r="R425" s="31">
        <f>VLOOKUP(P425,'BASE TARIFA 2025'!C:F,4,0)</f>
        <v>15709.5</v>
      </c>
    </row>
    <row r="426" spans="1:18" s="28" customFormat="1" ht="14.4" x14ac:dyDescent="0.3">
      <c r="A426" s="28">
        <v>77093</v>
      </c>
      <c r="B426" s="28" t="s">
        <v>2637</v>
      </c>
      <c r="C426" s="28">
        <v>1065589072</v>
      </c>
      <c r="D426" s="28" t="s">
        <v>2638</v>
      </c>
      <c r="E426" s="28" t="s">
        <v>2639</v>
      </c>
      <c r="F426" s="28" t="s">
        <v>2638</v>
      </c>
      <c r="G426" s="28" t="s">
        <v>2640</v>
      </c>
      <c r="H426" s="28" t="s">
        <v>2641</v>
      </c>
      <c r="I426" s="28" t="s">
        <v>2642</v>
      </c>
      <c r="J426" s="28" t="s">
        <v>67</v>
      </c>
      <c r="K426" s="28" t="s">
        <v>68</v>
      </c>
      <c r="L426" s="28" t="s">
        <v>68</v>
      </c>
      <c r="M426" s="28">
        <v>5615</v>
      </c>
      <c r="N426" s="29" t="s">
        <v>582</v>
      </c>
      <c r="O426" s="24">
        <f>VLOOKUP(A426,Hoja1!A:C,3,0)</f>
        <v>8</v>
      </c>
      <c r="P426" s="30" t="str">
        <f>VLOOKUP(M426,[1]TIPOLOGIAS!$A:$F,4,0)</f>
        <v>MEDELLIN</v>
      </c>
      <c r="Q426" s="30" t="str">
        <f>VLOOKUP(P426,'BASE TARIFA 2025'!C:D,2,0)</f>
        <v>WOMPI NOROCCIDENTE</v>
      </c>
      <c r="R426" s="31">
        <f>VLOOKUP(P426,'BASE TARIFA 2025'!C:F,4,0)</f>
        <v>15709.5</v>
      </c>
    </row>
    <row r="427" spans="1:18" s="28" customFormat="1" ht="14.4" x14ac:dyDescent="0.3">
      <c r="A427" s="28">
        <v>75424</v>
      </c>
      <c r="B427" s="28" t="s">
        <v>2643</v>
      </c>
      <c r="C427" s="28">
        <v>49718237</v>
      </c>
      <c r="D427" s="28" t="s">
        <v>2644</v>
      </c>
      <c r="E427" s="28" t="s">
        <v>2645</v>
      </c>
      <c r="F427" s="28" t="s">
        <v>2645</v>
      </c>
      <c r="G427" s="28" t="s">
        <v>2646</v>
      </c>
      <c r="H427" s="28" t="s">
        <v>2647</v>
      </c>
      <c r="I427" s="28" t="s">
        <v>2648</v>
      </c>
      <c r="J427" s="28" t="s">
        <v>67</v>
      </c>
      <c r="K427" s="28" t="s">
        <v>68</v>
      </c>
      <c r="L427" s="28" t="s">
        <v>68</v>
      </c>
      <c r="M427" s="28">
        <v>5615</v>
      </c>
      <c r="N427" s="29" t="s">
        <v>560</v>
      </c>
      <c r="O427" s="24">
        <f>VLOOKUP(A427,Hoja1!A:C,3,0)</f>
        <v>8</v>
      </c>
      <c r="P427" s="30" t="str">
        <f>VLOOKUP(M427,[1]TIPOLOGIAS!$A:$F,4,0)</f>
        <v>MEDELLIN</v>
      </c>
      <c r="Q427" s="30" t="str">
        <f>VLOOKUP(P427,'BASE TARIFA 2025'!C:D,2,0)</f>
        <v>WOMPI NOROCCIDENTE</v>
      </c>
      <c r="R427" s="31">
        <f>VLOOKUP(P427,'BASE TARIFA 2025'!C:F,4,0)</f>
        <v>15709.5</v>
      </c>
    </row>
    <row r="428" spans="1:18" s="28" customFormat="1" ht="14.4" x14ac:dyDescent="0.3">
      <c r="A428" s="28">
        <v>76687</v>
      </c>
      <c r="B428" s="28" t="s">
        <v>2649</v>
      </c>
      <c r="C428" s="28">
        <v>1065656417</v>
      </c>
      <c r="D428" s="28" t="s">
        <v>2650</v>
      </c>
      <c r="E428" s="28" t="s">
        <v>2651</v>
      </c>
      <c r="F428" s="28" t="s">
        <v>2652</v>
      </c>
      <c r="G428" s="28" t="s">
        <v>2653</v>
      </c>
      <c r="H428" s="28" t="s">
        <v>2654</v>
      </c>
      <c r="I428" s="28" t="s">
        <v>2655</v>
      </c>
      <c r="J428" s="28" t="s">
        <v>67</v>
      </c>
      <c r="K428" s="28" t="s">
        <v>68</v>
      </c>
      <c r="L428" s="28" t="s">
        <v>68</v>
      </c>
      <c r="M428" s="28">
        <v>5615</v>
      </c>
      <c r="N428" s="29" t="s">
        <v>582</v>
      </c>
      <c r="O428" s="24">
        <f>VLOOKUP(A428,Hoja1!A:C,3,0)</f>
        <v>8</v>
      </c>
      <c r="P428" s="30" t="str">
        <f>VLOOKUP(M428,[1]TIPOLOGIAS!$A:$F,4,0)</f>
        <v>MEDELLIN</v>
      </c>
      <c r="Q428" s="30" t="str">
        <f>VLOOKUP(P428,'BASE TARIFA 2025'!C:D,2,0)</f>
        <v>WOMPI NOROCCIDENTE</v>
      </c>
      <c r="R428" s="31">
        <f>VLOOKUP(P428,'BASE TARIFA 2025'!C:F,4,0)</f>
        <v>15709.5</v>
      </c>
    </row>
    <row r="429" spans="1:18" s="28" customFormat="1" ht="14.4" x14ac:dyDescent="0.3">
      <c r="A429" s="28">
        <v>75059</v>
      </c>
      <c r="B429" s="28" t="s">
        <v>2656</v>
      </c>
      <c r="C429" s="28">
        <v>1067594516</v>
      </c>
      <c r="D429" s="28" t="s">
        <v>2657</v>
      </c>
      <c r="E429" s="28" t="s">
        <v>2657</v>
      </c>
      <c r="F429" s="28" t="s">
        <v>2657</v>
      </c>
      <c r="G429" s="28" t="s">
        <v>2658</v>
      </c>
      <c r="H429" s="28" t="s">
        <v>2659</v>
      </c>
      <c r="I429" s="28" t="s">
        <v>2660</v>
      </c>
      <c r="J429" s="28" t="s">
        <v>67</v>
      </c>
      <c r="K429" s="28" t="s">
        <v>2661</v>
      </c>
      <c r="L429" s="28" t="s">
        <v>2661</v>
      </c>
      <c r="M429" s="28">
        <v>5631</v>
      </c>
      <c r="N429" s="29" t="s">
        <v>536</v>
      </c>
      <c r="O429" s="24">
        <f>VLOOKUP(A429,Hoja1!A:C,3,0)</f>
        <v>8</v>
      </c>
      <c r="P429" s="30" t="str">
        <f>VLOOKUP(M429,[1]TIPOLOGIAS!$A:$F,4,0)</f>
        <v>MEDELLIN</v>
      </c>
      <c r="Q429" s="30" t="str">
        <f>VLOOKUP(P429,'BASE TARIFA 2025'!C:D,2,0)</f>
        <v>WOMPI NOROCCIDENTE</v>
      </c>
      <c r="R429" s="31">
        <f>VLOOKUP(P429,'BASE TARIFA 2025'!C:F,4,0)</f>
        <v>15709.5</v>
      </c>
    </row>
    <row r="430" spans="1:18" s="28" customFormat="1" ht="14.4" x14ac:dyDescent="0.3">
      <c r="A430" s="28">
        <v>72957</v>
      </c>
      <c r="B430" s="28" t="s">
        <v>2662</v>
      </c>
      <c r="C430" s="28">
        <v>72260553</v>
      </c>
      <c r="E430" s="28" t="s">
        <v>2663</v>
      </c>
      <c r="F430" s="28" t="s">
        <v>2664</v>
      </c>
      <c r="G430" s="28" t="s">
        <v>2665</v>
      </c>
      <c r="H430" s="28" t="s">
        <v>2666</v>
      </c>
      <c r="I430" s="28" t="s">
        <v>2667</v>
      </c>
      <c r="J430" s="28" t="s">
        <v>110</v>
      </c>
      <c r="K430" s="28" t="s">
        <v>156</v>
      </c>
      <c r="L430" s="28" t="s">
        <v>156</v>
      </c>
      <c r="M430" s="28">
        <v>76520</v>
      </c>
      <c r="N430" s="29" t="s">
        <v>996</v>
      </c>
      <c r="O430" s="24">
        <f>VLOOKUP(A430,Hoja1!A:C,3,0)</f>
        <v>8</v>
      </c>
      <c r="P430" s="30" t="str">
        <f>VLOOKUP(M430,[1]TIPOLOGIAS!$A:$F,4,0)</f>
        <v>CALI</v>
      </c>
      <c r="Q430" s="30" t="str">
        <f>VLOOKUP(P430,'BASE TARIFA 2025'!C:D,2,0)</f>
        <v>WOMPI SUROCCIDENTE</v>
      </c>
      <c r="R430" s="31">
        <f>VLOOKUP(P430,'BASE TARIFA 2025'!C:F,4,0)</f>
        <v>15709.5</v>
      </c>
    </row>
    <row r="431" spans="1:18" s="28" customFormat="1" ht="14.4" x14ac:dyDescent="0.3">
      <c r="A431" s="28">
        <v>72573</v>
      </c>
      <c r="B431" s="28" t="s">
        <v>2668</v>
      </c>
      <c r="C431" s="28">
        <v>1066291207</v>
      </c>
      <c r="D431" s="28" t="s">
        <v>2669</v>
      </c>
      <c r="E431" s="28" t="s">
        <v>2670</v>
      </c>
      <c r="F431" s="28" t="s">
        <v>2671</v>
      </c>
      <c r="G431" s="28" t="s">
        <v>2672</v>
      </c>
      <c r="H431" s="28" t="s">
        <v>2673</v>
      </c>
      <c r="I431" s="28" t="s">
        <v>2674</v>
      </c>
      <c r="J431" s="28" t="s">
        <v>110</v>
      </c>
      <c r="K431" s="28" t="s">
        <v>156</v>
      </c>
      <c r="L431" s="28" t="s">
        <v>156</v>
      </c>
      <c r="M431" s="28">
        <v>76520</v>
      </c>
      <c r="N431" s="29" t="s">
        <v>553</v>
      </c>
      <c r="O431" s="24">
        <f>VLOOKUP(A431,Hoja1!A:C,3,0)</f>
        <v>8</v>
      </c>
      <c r="P431" s="30" t="str">
        <f>VLOOKUP(M431,[1]TIPOLOGIAS!$A:$F,4,0)</f>
        <v>CALI</v>
      </c>
      <c r="Q431" s="30" t="str">
        <f>VLOOKUP(P431,'BASE TARIFA 2025'!C:D,2,0)</f>
        <v>WOMPI SUROCCIDENTE</v>
      </c>
      <c r="R431" s="31">
        <f>VLOOKUP(P431,'BASE TARIFA 2025'!C:F,4,0)</f>
        <v>15709.5</v>
      </c>
    </row>
    <row r="432" spans="1:18" s="28" customFormat="1" ht="14.4" x14ac:dyDescent="0.3">
      <c r="A432" s="28">
        <v>66078</v>
      </c>
      <c r="B432" s="28" t="s">
        <v>2675</v>
      </c>
      <c r="C432" s="28">
        <v>1065635801</v>
      </c>
      <c r="D432" s="28" t="s">
        <v>2676</v>
      </c>
      <c r="E432" s="28" t="s">
        <v>2677</v>
      </c>
      <c r="F432" s="28" t="s">
        <v>2677</v>
      </c>
      <c r="G432" s="28" t="s">
        <v>2678</v>
      </c>
      <c r="H432" s="28" t="s">
        <v>2679</v>
      </c>
      <c r="I432" s="28" t="s">
        <v>2680</v>
      </c>
      <c r="J432" s="28" t="s">
        <v>110</v>
      </c>
      <c r="K432" s="28" t="s">
        <v>156</v>
      </c>
      <c r="L432" s="28" t="s">
        <v>156</v>
      </c>
      <c r="M432" s="28">
        <v>76520</v>
      </c>
      <c r="N432" s="29" t="s">
        <v>553</v>
      </c>
      <c r="O432" s="24">
        <f>VLOOKUP(A432,Hoja1!A:C,3,0)</f>
        <v>8</v>
      </c>
      <c r="P432" s="30" t="str">
        <f>VLOOKUP(M432,[1]TIPOLOGIAS!$A:$F,4,0)</f>
        <v>CALI</v>
      </c>
      <c r="Q432" s="30" t="str">
        <f>VLOOKUP(P432,'BASE TARIFA 2025'!C:D,2,0)</f>
        <v>WOMPI SUROCCIDENTE</v>
      </c>
      <c r="R432" s="31">
        <f>VLOOKUP(P432,'BASE TARIFA 2025'!C:F,4,0)</f>
        <v>15709.5</v>
      </c>
    </row>
    <row r="433" spans="1:18" s="28" customFormat="1" ht="14.4" x14ac:dyDescent="0.3">
      <c r="A433" s="28">
        <v>67359</v>
      </c>
      <c r="B433" s="28" t="s">
        <v>2681</v>
      </c>
      <c r="C433" s="28">
        <v>1065639200</v>
      </c>
      <c r="D433" s="28" t="s">
        <v>2682</v>
      </c>
      <c r="E433" s="28" t="s">
        <v>2683</v>
      </c>
      <c r="F433" s="28" t="s">
        <v>2684</v>
      </c>
      <c r="G433" s="28" t="s">
        <v>2685</v>
      </c>
      <c r="H433" s="28" t="s">
        <v>2686</v>
      </c>
      <c r="I433" s="28" t="s">
        <v>2687</v>
      </c>
      <c r="J433" s="28" t="s">
        <v>110</v>
      </c>
      <c r="K433" s="28" t="s">
        <v>156</v>
      </c>
      <c r="L433" s="28" t="s">
        <v>156</v>
      </c>
      <c r="M433" s="28">
        <v>76520</v>
      </c>
      <c r="N433" s="29" t="s">
        <v>996</v>
      </c>
      <c r="O433" s="24">
        <f>VLOOKUP(A433,Hoja1!A:C,3,0)</f>
        <v>8</v>
      </c>
      <c r="P433" s="30" t="str">
        <f>VLOOKUP(M433,[1]TIPOLOGIAS!$A:$F,4,0)</f>
        <v>CALI</v>
      </c>
      <c r="Q433" s="30" t="str">
        <f>VLOOKUP(P433,'BASE TARIFA 2025'!C:D,2,0)</f>
        <v>WOMPI SUROCCIDENTE</v>
      </c>
      <c r="R433" s="31">
        <f>VLOOKUP(P433,'BASE TARIFA 2025'!C:F,4,0)</f>
        <v>15709.5</v>
      </c>
    </row>
    <row r="434" spans="1:18" s="28" customFormat="1" ht="14.4" x14ac:dyDescent="0.3">
      <c r="A434" s="28">
        <v>68355</v>
      </c>
      <c r="B434" s="28" t="s">
        <v>2688</v>
      </c>
      <c r="C434" s="28">
        <v>1121300546</v>
      </c>
      <c r="D434" s="28" t="s">
        <v>2689</v>
      </c>
      <c r="E434" s="28" t="s">
        <v>2690</v>
      </c>
      <c r="F434" s="28" t="s">
        <v>2690</v>
      </c>
      <c r="G434" s="28" t="s">
        <v>1886</v>
      </c>
      <c r="H434" s="28" t="s">
        <v>2691</v>
      </c>
      <c r="I434" s="28" t="s">
        <v>2692</v>
      </c>
      <c r="J434" s="28" t="s">
        <v>67</v>
      </c>
      <c r="K434" s="28" t="s">
        <v>111</v>
      </c>
      <c r="L434" s="28" t="s">
        <v>111</v>
      </c>
      <c r="M434" s="28">
        <v>5659</v>
      </c>
      <c r="N434" s="29" t="s">
        <v>744</v>
      </c>
      <c r="O434" s="24">
        <f>VLOOKUP(A434,Hoja1!A:C,3,0)</f>
        <v>8</v>
      </c>
      <c r="P434" s="30" t="str">
        <f>VLOOKUP(M434,[1]TIPOLOGIAS!$A:$F,4,0)</f>
        <v>MONTERIA</v>
      </c>
      <c r="Q434" s="30" t="str">
        <f>VLOOKUP(P434,'BASE TARIFA 2025'!C:D,2,0)</f>
        <v>WOMPI COSTA</v>
      </c>
      <c r="R434" s="31">
        <f>VLOOKUP(P434,'BASE TARIFA 2025'!C:F,4,0)</f>
        <v>15709.5</v>
      </c>
    </row>
    <row r="435" spans="1:18" s="28" customFormat="1" ht="14.4" x14ac:dyDescent="0.3">
      <c r="A435" s="28">
        <v>41093</v>
      </c>
      <c r="B435" s="28" t="s">
        <v>2693</v>
      </c>
      <c r="C435" s="28">
        <v>98645876</v>
      </c>
      <c r="D435" s="28" t="s">
        <v>126</v>
      </c>
      <c r="E435" s="28" t="s">
        <v>2694</v>
      </c>
      <c r="F435" s="28" t="s">
        <v>2694</v>
      </c>
      <c r="G435" s="28" t="s">
        <v>2695</v>
      </c>
      <c r="H435" s="28" t="s">
        <v>2696</v>
      </c>
      <c r="I435" s="28" t="s">
        <v>2697</v>
      </c>
      <c r="J435" s="28" t="s">
        <v>73</v>
      </c>
      <c r="K435" s="28" t="s">
        <v>2698</v>
      </c>
      <c r="L435" s="28" t="s">
        <v>2698</v>
      </c>
      <c r="M435" s="28">
        <v>15762</v>
      </c>
      <c r="N435" s="29" t="s">
        <v>553</v>
      </c>
      <c r="O435" s="24">
        <f>VLOOKUP(A435,Hoja1!A:C,3,0)</f>
        <v>8</v>
      </c>
      <c r="P435" s="30" t="str">
        <f>VLOOKUP(M435,[1]TIPOLOGIAS!$A:$F,4,0)</f>
        <v>TUNJA</v>
      </c>
      <c r="Q435" s="30" t="str">
        <f>VLOOKUP(P435,'BASE TARIFA 2025'!C:D,2,0)</f>
        <v>WOMPI SANTANDERES</v>
      </c>
      <c r="R435" s="31">
        <f>VLOOKUP(P435,'BASE TARIFA 2025'!C:F,4,0)</f>
        <v>28277.100000000002</v>
      </c>
    </row>
    <row r="436" spans="1:18" s="28" customFormat="1" ht="14.4" x14ac:dyDescent="0.3">
      <c r="A436" s="28">
        <v>40187</v>
      </c>
      <c r="B436" s="28" t="s">
        <v>2699</v>
      </c>
      <c r="C436" s="28">
        <v>94503783</v>
      </c>
      <c r="E436" s="28" t="s">
        <v>2700</v>
      </c>
      <c r="F436" s="28" t="s">
        <v>2700</v>
      </c>
      <c r="G436" s="28" t="s">
        <v>2701</v>
      </c>
      <c r="H436" s="28" t="s">
        <v>2702</v>
      </c>
      <c r="I436" s="28" t="s">
        <v>2703</v>
      </c>
      <c r="J436" s="28" t="s">
        <v>73</v>
      </c>
      <c r="K436" s="28" t="s">
        <v>2704</v>
      </c>
      <c r="L436" s="28" t="s">
        <v>2704</v>
      </c>
      <c r="M436" s="28">
        <v>15816</v>
      </c>
      <c r="N436" s="29" t="s">
        <v>560</v>
      </c>
      <c r="O436" s="24">
        <f>VLOOKUP(A436,Hoja1!A:C,3,0)</f>
        <v>16</v>
      </c>
      <c r="P436" s="30" t="str">
        <f>VLOOKUP(M436,[1]TIPOLOGIAS!$A:$F,4,0)</f>
        <v>TUNJA</v>
      </c>
      <c r="Q436" s="30" t="str">
        <f>VLOOKUP(P436,'BASE TARIFA 2025'!C:D,2,0)</f>
        <v>WOMPI SANTANDERES</v>
      </c>
      <c r="R436" s="31">
        <f>VLOOKUP(P436,'BASE TARIFA 2025'!C:F,4,0)</f>
        <v>28277.100000000002</v>
      </c>
    </row>
    <row r="437" spans="1:18" s="28" customFormat="1" ht="14.4" x14ac:dyDescent="0.3">
      <c r="A437" s="28">
        <v>45938</v>
      </c>
      <c r="B437" s="28" t="s">
        <v>2705</v>
      </c>
      <c r="C437" s="28">
        <v>901246235</v>
      </c>
      <c r="D437" s="28" t="s">
        <v>2706</v>
      </c>
      <c r="E437" s="28" t="s">
        <v>2706</v>
      </c>
      <c r="F437" s="28" t="s">
        <v>2706</v>
      </c>
      <c r="G437" s="28" t="s">
        <v>2707</v>
      </c>
      <c r="H437" s="28" t="s">
        <v>2708</v>
      </c>
      <c r="I437" s="28" t="s">
        <v>2709</v>
      </c>
      <c r="J437" s="28" t="s">
        <v>73</v>
      </c>
      <c r="K437" s="28" t="s">
        <v>2704</v>
      </c>
      <c r="L437" s="28" t="s">
        <v>2704</v>
      </c>
      <c r="M437" s="28">
        <v>15816</v>
      </c>
      <c r="N437" s="29" t="s">
        <v>560</v>
      </c>
      <c r="O437" s="24">
        <f>VLOOKUP(A437,Hoja1!A:C,3,0)</f>
        <v>8</v>
      </c>
      <c r="P437" s="30" t="str">
        <f>VLOOKUP(M437,[1]TIPOLOGIAS!$A:$F,4,0)</f>
        <v>TUNJA</v>
      </c>
      <c r="Q437" s="30" t="str">
        <f>VLOOKUP(P437,'BASE TARIFA 2025'!C:D,2,0)</f>
        <v>WOMPI SANTANDERES</v>
      </c>
      <c r="R437" s="31">
        <f>VLOOKUP(P437,'BASE TARIFA 2025'!C:F,4,0)</f>
        <v>28277.100000000002</v>
      </c>
    </row>
    <row r="438" spans="1:18" s="28" customFormat="1" ht="14.4" x14ac:dyDescent="0.3">
      <c r="A438" s="28">
        <v>51699</v>
      </c>
      <c r="B438" s="28" t="s">
        <v>2710</v>
      </c>
      <c r="C438" s="28">
        <v>80111622</v>
      </c>
      <c r="D438" s="28" t="s">
        <v>2711</v>
      </c>
      <c r="E438" s="28" t="s">
        <v>2711</v>
      </c>
      <c r="F438" s="28" t="s">
        <v>2711</v>
      </c>
      <c r="G438" s="28" t="s">
        <v>2712</v>
      </c>
      <c r="H438" s="28" t="s">
        <v>2713</v>
      </c>
      <c r="I438" s="28" t="s">
        <v>2714</v>
      </c>
      <c r="J438" s="28" t="s">
        <v>73</v>
      </c>
      <c r="K438" s="28" t="s">
        <v>2704</v>
      </c>
      <c r="L438" s="28" t="s">
        <v>2704</v>
      </c>
      <c r="M438" s="28">
        <v>15816</v>
      </c>
      <c r="N438" s="29" t="s">
        <v>756</v>
      </c>
      <c r="O438" s="24">
        <f>VLOOKUP(A438,Hoja1!A:C,3,0)</f>
        <v>16</v>
      </c>
      <c r="P438" s="30" t="str">
        <f>VLOOKUP(M438,[1]TIPOLOGIAS!$A:$F,4,0)</f>
        <v>TUNJA</v>
      </c>
      <c r="Q438" s="30" t="str">
        <f>VLOOKUP(P438,'BASE TARIFA 2025'!C:D,2,0)</f>
        <v>WOMPI SANTANDERES</v>
      </c>
      <c r="R438" s="31">
        <f>VLOOKUP(P438,'BASE TARIFA 2025'!C:F,4,0)</f>
        <v>28277.100000000002</v>
      </c>
    </row>
    <row r="439" spans="1:18" s="28" customFormat="1" ht="14.4" x14ac:dyDescent="0.3">
      <c r="A439" s="28">
        <v>51038</v>
      </c>
      <c r="B439" s="28" t="s">
        <v>2715</v>
      </c>
      <c r="C439" s="28">
        <v>900220829</v>
      </c>
      <c r="D439" s="28" t="s">
        <v>2716</v>
      </c>
      <c r="E439" s="28" t="s">
        <v>2716</v>
      </c>
      <c r="F439" s="28" t="s">
        <v>2717</v>
      </c>
      <c r="G439" s="28" t="s">
        <v>2718</v>
      </c>
      <c r="H439" s="28" t="s">
        <v>2719</v>
      </c>
      <c r="I439" s="28" t="s">
        <v>2720</v>
      </c>
      <c r="J439" s="28" t="s">
        <v>73</v>
      </c>
      <c r="K439" s="28" t="s">
        <v>83</v>
      </c>
      <c r="L439" s="28" t="s">
        <v>83</v>
      </c>
      <c r="M439" s="28">
        <v>15879</v>
      </c>
      <c r="N439" s="29" t="s">
        <v>542</v>
      </c>
      <c r="O439" s="24">
        <f>VLOOKUP(A439,Hoja1!A:C,3,0)</f>
        <v>8</v>
      </c>
      <c r="P439" s="30" t="str">
        <f>VLOOKUP(M439,[1]TIPOLOGIAS!$A:$F,4,0)</f>
        <v>TUNJA</v>
      </c>
      <c r="Q439" s="30" t="str">
        <f>VLOOKUP(P439,'BASE TARIFA 2025'!C:D,2,0)</f>
        <v>WOMPI SANTANDERES</v>
      </c>
      <c r="R439" s="31">
        <f>VLOOKUP(P439,'BASE TARIFA 2025'!C:F,4,0)</f>
        <v>28277.100000000002</v>
      </c>
    </row>
    <row r="440" spans="1:18" s="28" customFormat="1" ht="14.4" x14ac:dyDescent="0.3">
      <c r="A440" s="28">
        <v>38670</v>
      </c>
      <c r="B440" s="28" t="s">
        <v>2721</v>
      </c>
      <c r="C440" s="28">
        <v>806013052</v>
      </c>
      <c r="D440" s="28" t="s">
        <v>2722</v>
      </c>
      <c r="E440" s="28" t="s">
        <v>2722</v>
      </c>
      <c r="F440" s="28" t="s">
        <v>2722</v>
      </c>
      <c r="G440" s="28" t="s">
        <v>2723</v>
      </c>
      <c r="H440" s="28" t="s">
        <v>2724</v>
      </c>
      <c r="I440" s="28" t="s">
        <v>2725</v>
      </c>
      <c r="J440" s="28" t="s">
        <v>79</v>
      </c>
      <c r="K440" s="28" t="s">
        <v>84</v>
      </c>
      <c r="L440" s="28" t="s">
        <v>84</v>
      </c>
      <c r="M440" s="28">
        <v>17050</v>
      </c>
      <c r="N440" s="29" t="s">
        <v>589</v>
      </c>
      <c r="O440" s="24">
        <f>VLOOKUP(A440,Hoja1!A:C,3,0)</f>
        <v>8</v>
      </c>
      <c r="P440" s="30" t="str">
        <f>VLOOKUP(M440,[1]TIPOLOGIAS!$A:$F,4,0)</f>
        <v>MANIZALES</v>
      </c>
      <c r="Q440" s="30" t="str">
        <f>VLOOKUP(P440,'BASE TARIFA 2025'!C:D,2,0)</f>
        <v>WOMPI EJE CAFETERO</v>
      </c>
      <c r="R440" s="31">
        <f>VLOOKUP(P440,'BASE TARIFA 2025'!C:F,4,0)</f>
        <v>28277.100000000002</v>
      </c>
    </row>
    <row r="441" spans="1:18" s="28" customFormat="1" ht="14.4" x14ac:dyDescent="0.3">
      <c r="A441" s="28">
        <v>43270</v>
      </c>
      <c r="B441" s="28" t="s">
        <v>2726</v>
      </c>
      <c r="C441" s="28">
        <v>66862923</v>
      </c>
      <c r="D441" s="28" t="s">
        <v>2727</v>
      </c>
      <c r="E441" s="28" t="s">
        <v>2728</v>
      </c>
      <c r="F441" s="28" t="s">
        <v>2729</v>
      </c>
      <c r="G441" s="28" t="s">
        <v>2730</v>
      </c>
      <c r="H441" s="28" t="s">
        <v>2731</v>
      </c>
      <c r="I441" s="28" t="s">
        <v>2732</v>
      </c>
      <c r="J441" s="28" t="s">
        <v>79</v>
      </c>
      <c r="K441" s="28" t="s">
        <v>182</v>
      </c>
      <c r="L441" s="28" t="s">
        <v>182</v>
      </c>
      <c r="M441" s="28">
        <v>17088</v>
      </c>
      <c r="N441" s="29" t="s">
        <v>582</v>
      </c>
      <c r="O441" s="24">
        <f>VLOOKUP(A441,Hoja1!A:C,3,0)</f>
        <v>16</v>
      </c>
      <c r="P441" s="30" t="str">
        <f>VLOOKUP(M441,[1]TIPOLOGIAS!$A:$F,4,0)</f>
        <v>MANIZALES</v>
      </c>
      <c r="Q441" s="30" t="str">
        <f>VLOOKUP(P441,'BASE TARIFA 2025'!C:D,2,0)</f>
        <v>WOMPI EJE CAFETERO</v>
      </c>
      <c r="R441" s="31">
        <f>VLOOKUP(P441,'BASE TARIFA 2025'!C:F,4,0)</f>
        <v>28277.100000000002</v>
      </c>
    </row>
    <row r="442" spans="1:18" s="28" customFormat="1" ht="14.4" x14ac:dyDescent="0.3">
      <c r="A442" s="28">
        <v>43271</v>
      </c>
      <c r="B442" s="28" t="s">
        <v>2733</v>
      </c>
      <c r="C442" s="28">
        <v>16212279</v>
      </c>
      <c r="E442" s="28" t="s">
        <v>2734</v>
      </c>
      <c r="F442" s="28" t="s">
        <v>2735</v>
      </c>
      <c r="G442" s="28" t="s">
        <v>2736</v>
      </c>
      <c r="H442" s="28" t="s">
        <v>2737</v>
      </c>
      <c r="I442" s="28" t="s">
        <v>2738</v>
      </c>
      <c r="J442" s="28" t="s">
        <v>79</v>
      </c>
      <c r="K442" s="28" t="s">
        <v>182</v>
      </c>
      <c r="L442" s="28" t="s">
        <v>182</v>
      </c>
      <c r="M442" s="28">
        <v>17088</v>
      </c>
      <c r="N442" s="29" t="s">
        <v>582</v>
      </c>
      <c r="O442" s="24">
        <f>VLOOKUP(A442,Hoja1!A:C,3,0)</f>
        <v>8</v>
      </c>
      <c r="P442" s="30" t="str">
        <f>VLOOKUP(M442,[1]TIPOLOGIAS!$A:$F,4,0)</f>
        <v>MANIZALES</v>
      </c>
      <c r="Q442" s="30" t="str">
        <f>VLOOKUP(P442,'BASE TARIFA 2025'!C:D,2,0)</f>
        <v>WOMPI EJE CAFETERO</v>
      </c>
      <c r="R442" s="31">
        <f>VLOOKUP(P442,'BASE TARIFA 2025'!C:F,4,0)</f>
        <v>28277.100000000002</v>
      </c>
    </row>
    <row r="443" spans="1:18" s="28" customFormat="1" ht="14.4" x14ac:dyDescent="0.3">
      <c r="A443" s="28">
        <v>24759</v>
      </c>
      <c r="B443" s="28" t="s">
        <v>2739</v>
      </c>
      <c r="C443" s="28">
        <v>93437085</v>
      </c>
      <c r="D443" s="28" t="s">
        <v>2740</v>
      </c>
      <c r="E443" s="28" t="s">
        <v>2740</v>
      </c>
      <c r="F443" s="28" t="s">
        <v>2741</v>
      </c>
      <c r="G443" s="28" t="s">
        <v>2742</v>
      </c>
      <c r="H443" s="28" t="s">
        <v>2743</v>
      </c>
      <c r="I443" s="28" t="s">
        <v>2744</v>
      </c>
      <c r="J443" s="28" t="s">
        <v>75</v>
      </c>
      <c r="K443" s="28" t="s">
        <v>129</v>
      </c>
      <c r="L443" s="28" t="s">
        <v>129</v>
      </c>
      <c r="M443" s="28">
        <v>19256</v>
      </c>
      <c r="N443" s="29" t="s">
        <v>1012</v>
      </c>
      <c r="O443" s="24">
        <f>VLOOKUP(A443,Hoja1!A:C,3,0)</f>
        <v>8</v>
      </c>
      <c r="P443" s="30" t="str">
        <f>VLOOKUP(M443,[1]TIPOLOGIAS!$A:$F,4,0)</f>
        <v>CALI</v>
      </c>
      <c r="Q443" s="30" t="str">
        <f>VLOOKUP(P443,'BASE TARIFA 2025'!C:D,2,0)</f>
        <v>WOMPI SUROCCIDENTE</v>
      </c>
      <c r="R443" s="31">
        <f>VLOOKUP(P443,'BASE TARIFA 2025'!C:F,4,0)</f>
        <v>15709.5</v>
      </c>
    </row>
    <row r="444" spans="1:18" s="28" customFormat="1" ht="14.4" x14ac:dyDescent="0.3">
      <c r="A444" s="28">
        <v>62622</v>
      </c>
      <c r="B444" s="28" t="s">
        <v>2745</v>
      </c>
      <c r="C444" s="28">
        <v>900078103</v>
      </c>
      <c r="D444" s="28" t="s">
        <v>2746</v>
      </c>
      <c r="E444" s="28" t="s">
        <v>2746</v>
      </c>
      <c r="F444" s="28" t="s">
        <v>188</v>
      </c>
      <c r="G444" s="28" t="s">
        <v>2747</v>
      </c>
      <c r="H444" s="28" t="s">
        <v>2748</v>
      </c>
      <c r="I444" s="28" t="s">
        <v>2749</v>
      </c>
      <c r="J444" s="28" t="s">
        <v>75</v>
      </c>
      <c r="K444" s="28" t="s">
        <v>129</v>
      </c>
      <c r="L444" s="28" t="s">
        <v>129</v>
      </c>
      <c r="M444" s="28">
        <v>19256</v>
      </c>
      <c r="N444" s="29" t="s">
        <v>1012</v>
      </c>
      <c r="O444" s="24" t="e">
        <f>VLOOKUP(A444,Hoja1!A:C,3,0)</f>
        <v>#N/A</v>
      </c>
      <c r="P444" s="30" t="str">
        <f>VLOOKUP(M444,[1]TIPOLOGIAS!$A:$F,4,0)</f>
        <v>CALI</v>
      </c>
      <c r="Q444" s="30" t="str">
        <f>VLOOKUP(P444,'BASE TARIFA 2025'!C:D,2,0)</f>
        <v>WOMPI SUROCCIDENTE</v>
      </c>
      <c r="R444" s="31">
        <f>VLOOKUP(P444,'BASE TARIFA 2025'!C:F,4,0)</f>
        <v>15709.5</v>
      </c>
    </row>
    <row r="445" spans="1:18" s="28" customFormat="1" ht="14.4" x14ac:dyDescent="0.3">
      <c r="A445" s="28">
        <v>64784</v>
      </c>
      <c r="B445" s="28" t="s">
        <v>2750</v>
      </c>
      <c r="C445" s="28">
        <v>1075282651</v>
      </c>
      <c r="D445" s="28" t="s">
        <v>2751</v>
      </c>
      <c r="E445" s="28" t="s">
        <v>2752</v>
      </c>
      <c r="F445" s="28" t="s">
        <v>2753</v>
      </c>
      <c r="G445" s="28" t="s">
        <v>2754</v>
      </c>
      <c r="H445" s="28" t="s">
        <v>2755</v>
      </c>
      <c r="I445" s="28" t="s">
        <v>2756</v>
      </c>
      <c r="J445" s="28" t="s">
        <v>75</v>
      </c>
      <c r="K445" s="28" t="s">
        <v>129</v>
      </c>
      <c r="L445" s="28" t="s">
        <v>129</v>
      </c>
      <c r="M445" s="28">
        <v>19256</v>
      </c>
      <c r="N445" s="29" t="s">
        <v>1012</v>
      </c>
      <c r="O445" s="24" t="e">
        <f>VLOOKUP(A445,Hoja1!A:C,3,0)</f>
        <v>#N/A</v>
      </c>
      <c r="P445" s="30" t="str">
        <f>VLOOKUP(M445,[1]TIPOLOGIAS!$A:$F,4,0)</f>
        <v>CALI</v>
      </c>
      <c r="Q445" s="30" t="str">
        <f>VLOOKUP(P445,'BASE TARIFA 2025'!C:D,2,0)</f>
        <v>WOMPI SUROCCIDENTE</v>
      </c>
      <c r="R445" s="31">
        <f>VLOOKUP(P445,'BASE TARIFA 2025'!C:F,4,0)</f>
        <v>15709.5</v>
      </c>
    </row>
    <row r="446" spans="1:18" s="28" customFormat="1" ht="14.4" x14ac:dyDescent="0.3">
      <c r="A446" s="28">
        <v>29998</v>
      </c>
      <c r="B446" s="28" t="s">
        <v>2757</v>
      </c>
      <c r="C446" s="28">
        <v>901038123</v>
      </c>
      <c r="D446" s="28" t="s">
        <v>2758</v>
      </c>
      <c r="E446" s="28" t="s">
        <v>2758</v>
      </c>
      <c r="F446" s="28" t="s">
        <v>2758</v>
      </c>
      <c r="G446" s="28" t="s">
        <v>2759</v>
      </c>
      <c r="H446" s="28" t="s">
        <v>2760</v>
      </c>
      <c r="I446" s="28" t="s">
        <v>2761</v>
      </c>
      <c r="J446" s="28" t="s">
        <v>92</v>
      </c>
      <c r="K446" s="28" t="s">
        <v>157</v>
      </c>
      <c r="L446" s="28" t="s">
        <v>157</v>
      </c>
      <c r="M446" s="28">
        <v>54001</v>
      </c>
      <c r="N446" s="29" t="s">
        <v>638</v>
      </c>
      <c r="O446" s="24">
        <f>VLOOKUP(A446,Hoja1!A:C,3,0)</f>
        <v>16</v>
      </c>
      <c r="P446" s="30" t="str">
        <f>VLOOKUP(M446,[1]TIPOLOGIAS!$A:$F,4,0)</f>
        <v>CUCUTA</v>
      </c>
      <c r="Q446" s="30" t="str">
        <f>VLOOKUP(P446,'BASE TARIFA 2025'!C:D,2,0)</f>
        <v>WOMPI SANTANDERES</v>
      </c>
      <c r="R446" s="31">
        <f>VLOOKUP(P446,'BASE TARIFA 2025'!C:F,4,0)</f>
        <v>28277.100000000002</v>
      </c>
    </row>
    <row r="447" spans="1:18" s="28" customFormat="1" ht="14.4" x14ac:dyDescent="0.3">
      <c r="A447" s="28">
        <v>13676</v>
      </c>
      <c r="B447" s="28" t="s">
        <v>2762</v>
      </c>
      <c r="C447" s="28">
        <v>27978881</v>
      </c>
      <c r="D447" s="28" t="s">
        <v>2763</v>
      </c>
      <c r="E447" s="28" t="s">
        <v>2763</v>
      </c>
      <c r="F447" s="28" t="s">
        <v>2764</v>
      </c>
      <c r="G447" s="28" t="s">
        <v>2765</v>
      </c>
      <c r="H447" s="28" t="s">
        <v>2766</v>
      </c>
      <c r="I447" s="28" t="s">
        <v>2767</v>
      </c>
      <c r="J447" s="28" t="s">
        <v>92</v>
      </c>
      <c r="K447" s="28" t="s">
        <v>157</v>
      </c>
      <c r="L447" s="28" t="s">
        <v>157</v>
      </c>
      <c r="M447" s="28">
        <v>54001</v>
      </c>
      <c r="N447" s="29" t="s">
        <v>1173</v>
      </c>
      <c r="O447" s="24">
        <f>VLOOKUP(A447,Hoja1!A:C,3,0)</f>
        <v>16</v>
      </c>
      <c r="P447" s="30" t="str">
        <f>VLOOKUP(M447,[1]TIPOLOGIAS!$A:$F,4,0)</f>
        <v>CUCUTA</v>
      </c>
      <c r="Q447" s="30" t="str">
        <f>VLOOKUP(P447,'BASE TARIFA 2025'!C:D,2,0)</f>
        <v>WOMPI SANTANDERES</v>
      </c>
      <c r="R447" s="31">
        <f>VLOOKUP(P447,'BASE TARIFA 2025'!C:F,4,0)</f>
        <v>28277.100000000002</v>
      </c>
    </row>
    <row r="448" spans="1:18" s="28" customFormat="1" ht="14.4" x14ac:dyDescent="0.3">
      <c r="A448" s="28">
        <v>21147</v>
      </c>
      <c r="B448" s="28" t="s">
        <v>2768</v>
      </c>
      <c r="C448" s="28">
        <v>20803840</v>
      </c>
      <c r="D448" s="28" t="s">
        <v>2769</v>
      </c>
      <c r="E448" s="28" t="s">
        <v>2769</v>
      </c>
      <c r="F448" s="28" t="s">
        <v>2769</v>
      </c>
      <c r="G448" s="28" t="s">
        <v>2770</v>
      </c>
      <c r="H448" s="28" t="s">
        <v>2771</v>
      </c>
      <c r="I448" s="28" t="s">
        <v>2772</v>
      </c>
      <c r="J448" s="28" t="s">
        <v>92</v>
      </c>
      <c r="K448" s="28" t="s">
        <v>157</v>
      </c>
      <c r="L448" s="28" t="s">
        <v>157</v>
      </c>
      <c r="M448" s="28">
        <v>54001</v>
      </c>
      <c r="N448" s="29" t="s">
        <v>638</v>
      </c>
      <c r="O448" s="24">
        <f>VLOOKUP(A448,Hoja1!A:C,3,0)</f>
        <v>16</v>
      </c>
      <c r="P448" s="30" t="str">
        <f>VLOOKUP(M448,[1]TIPOLOGIAS!$A:$F,4,0)</f>
        <v>CUCUTA</v>
      </c>
      <c r="Q448" s="30" t="str">
        <f>VLOOKUP(P448,'BASE TARIFA 2025'!C:D,2,0)</f>
        <v>WOMPI SANTANDERES</v>
      </c>
      <c r="R448" s="31">
        <f>VLOOKUP(P448,'BASE TARIFA 2025'!C:F,4,0)</f>
        <v>28277.100000000002</v>
      </c>
    </row>
    <row r="449" spans="1:18" s="28" customFormat="1" ht="14.4" x14ac:dyDescent="0.3">
      <c r="A449" s="28">
        <v>20581</v>
      </c>
      <c r="B449" s="28" t="s">
        <v>2773</v>
      </c>
      <c r="C449" s="28">
        <v>49722200</v>
      </c>
      <c r="D449" s="28" t="s">
        <v>2774</v>
      </c>
      <c r="E449" s="28" t="s">
        <v>2774</v>
      </c>
      <c r="F449" s="28" t="s">
        <v>2774</v>
      </c>
      <c r="G449" s="28" t="s">
        <v>2775</v>
      </c>
      <c r="H449" s="28" t="s">
        <v>2776</v>
      </c>
      <c r="I449" s="28" t="s">
        <v>2777</v>
      </c>
      <c r="J449" s="28" t="s">
        <v>92</v>
      </c>
      <c r="K449" s="28" t="s">
        <v>157</v>
      </c>
      <c r="L449" s="28" t="s">
        <v>157</v>
      </c>
      <c r="M449" s="28">
        <v>54001</v>
      </c>
      <c r="N449" s="29" t="s">
        <v>589</v>
      </c>
      <c r="O449" s="24">
        <f>VLOOKUP(A449,Hoja1!A:C,3,0)</f>
        <v>16</v>
      </c>
      <c r="P449" s="30" t="str">
        <f>VLOOKUP(M449,[1]TIPOLOGIAS!$A:$F,4,0)</f>
        <v>CUCUTA</v>
      </c>
      <c r="Q449" s="30" t="str">
        <f>VLOOKUP(P449,'BASE TARIFA 2025'!C:D,2,0)</f>
        <v>WOMPI SANTANDERES</v>
      </c>
      <c r="R449" s="31">
        <f>VLOOKUP(P449,'BASE TARIFA 2025'!C:F,4,0)</f>
        <v>28277.100000000002</v>
      </c>
    </row>
    <row r="450" spans="1:18" s="28" customFormat="1" ht="14.4" x14ac:dyDescent="0.3">
      <c r="A450" s="28">
        <v>14655</v>
      </c>
      <c r="B450" s="28" t="s">
        <v>2778</v>
      </c>
      <c r="C450" s="28">
        <v>33945042</v>
      </c>
      <c r="D450" s="28" t="s">
        <v>2779</v>
      </c>
      <c r="E450" s="28" t="s">
        <v>2779</v>
      </c>
      <c r="F450" s="28" t="s">
        <v>2779</v>
      </c>
      <c r="G450" s="28" t="s">
        <v>2780</v>
      </c>
      <c r="H450" s="28" t="s">
        <v>2781</v>
      </c>
      <c r="I450" s="28" t="s">
        <v>2782</v>
      </c>
      <c r="J450" s="28" t="s">
        <v>92</v>
      </c>
      <c r="K450" s="28" t="s">
        <v>157</v>
      </c>
      <c r="L450" s="28" t="s">
        <v>157</v>
      </c>
      <c r="M450" s="28">
        <v>54001</v>
      </c>
      <c r="N450" s="29" t="s">
        <v>655</v>
      </c>
      <c r="O450" s="24" t="e">
        <f>VLOOKUP(A450,Hoja1!A:C,3,0)</f>
        <v>#N/A</v>
      </c>
      <c r="P450" s="30" t="str">
        <f>VLOOKUP(M450,[1]TIPOLOGIAS!$A:$F,4,0)</f>
        <v>CUCUTA</v>
      </c>
      <c r="Q450" s="30" t="str">
        <f>VLOOKUP(P450,'BASE TARIFA 2025'!C:D,2,0)</f>
        <v>WOMPI SANTANDERES</v>
      </c>
      <c r="R450" s="31">
        <f>VLOOKUP(P450,'BASE TARIFA 2025'!C:F,4,0)</f>
        <v>28277.100000000002</v>
      </c>
    </row>
    <row r="451" spans="1:18" s="28" customFormat="1" ht="14.4" x14ac:dyDescent="0.3">
      <c r="A451" s="28">
        <v>50417</v>
      </c>
      <c r="B451" s="28" t="s">
        <v>2783</v>
      </c>
      <c r="C451" s="28">
        <v>33945042</v>
      </c>
      <c r="D451" s="28" t="s">
        <v>2784</v>
      </c>
      <c r="E451" s="28" t="s">
        <v>2784</v>
      </c>
      <c r="F451" s="28" t="s">
        <v>2774</v>
      </c>
      <c r="G451" s="28" t="s">
        <v>2785</v>
      </c>
      <c r="H451" s="28" t="s">
        <v>2786</v>
      </c>
      <c r="I451" s="28" t="s">
        <v>2787</v>
      </c>
      <c r="J451" s="28" t="s">
        <v>92</v>
      </c>
      <c r="K451" s="28" t="s">
        <v>157</v>
      </c>
      <c r="L451" s="28" t="s">
        <v>157</v>
      </c>
      <c r="M451" s="28">
        <v>54001</v>
      </c>
      <c r="N451" s="29" t="s">
        <v>744</v>
      </c>
      <c r="O451" s="24" t="e">
        <f>VLOOKUP(A451,Hoja1!A:C,3,0)</f>
        <v>#N/A</v>
      </c>
      <c r="P451" s="30" t="str">
        <f>VLOOKUP(M451,[1]TIPOLOGIAS!$A:$F,4,0)</f>
        <v>CUCUTA</v>
      </c>
      <c r="Q451" s="30" t="str">
        <f>VLOOKUP(P451,'BASE TARIFA 2025'!C:D,2,0)</f>
        <v>WOMPI SANTANDERES</v>
      </c>
      <c r="R451" s="31">
        <f>VLOOKUP(P451,'BASE TARIFA 2025'!C:F,4,0)</f>
        <v>28277.100000000002</v>
      </c>
    </row>
    <row r="452" spans="1:18" s="28" customFormat="1" ht="14.4" x14ac:dyDescent="0.3">
      <c r="A452" s="28">
        <v>19652</v>
      </c>
      <c r="B452" s="28" t="s">
        <v>2788</v>
      </c>
      <c r="C452" s="28">
        <v>34000929</v>
      </c>
      <c r="D452" s="28" t="s">
        <v>2789</v>
      </c>
      <c r="E452" s="28" t="s">
        <v>2790</v>
      </c>
      <c r="F452" s="28" t="s">
        <v>2790</v>
      </c>
      <c r="G452" s="28" t="s">
        <v>2791</v>
      </c>
      <c r="H452" s="28" t="s">
        <v>2792</v>
      </c>
      <c r="I452" s="28" t="s">
        <v>2793</v>
      </c>
      <c r="J452" s="28" t="s">
        <v>82</v>
      </c>
      <c r="K452" s="28" t="s">
        <v>2794</v>
      </c>
      <c r="L452" s="28" t="s">
        <v>2794</v>
      </c>
      <c r="M452" s="28">
        <v>13430</v>
      </c>
      <c r="N452" s="29" t="s">
        <v>1159</v>
      </c>
      <c r="O452" s="24">
        <f>VLOOKUP(A452,Hoja1!A:C,3,0)</f>
        <v>8</v>
      </c>
      <c r="P452" s="30" t="str">
        <f>VLOOKUP(M452,[1]TIPOLOGIAS!$A:$F,4,0)</f>
        <v>CARTAGENA</v>
      </c>
      <c r="Q452" s="30" t="str">
        <f>VLOOKUP(P452,'BASE TARIFA 2025'!C:D,2,0)</f>
        <v>WOMPI COSTA</v>
      </c>
      <c r="R452" s="31">
        <f>VLOOKUP(P452,'BASE TARIFA 2025'!C:F,4,0)</f>
        <v>28277.100000000002</v>
      </c>
    </row>
    <row r="453" spans="1:18" s="28" customFormat="1" ht="14.4" x14ac:dyDescent="0.3">
      <c r="A453" s="28">
        <v>32319</v>
      </c>
      <c r="B453" s="28" t="s">
        <v>2795</v>
      </c>
      <c r="C453" s="28">
        <v>93383230</v>
      </c>
      <c r="D453" s="28" t="s">
        <v>2796</v>
      </c>
      <c r="E453" s="28" t="s">
        <v>2797</v>
      </c>
      <c r="F453" s="28" t="s">
        <v>2797</v>
      </c>
      <c r="G453" s="28" t="s">
        <v>2798</v>
      </c>
      <c r="H453" s="28" t="s">
        <v>2799</v>
      </c>
      <c r="I453" s="28" t="s">
        <v>2800</v>
      </c>
      <c r="J453" s="28" t="s">
        <v>82</v>
      </c>
      <c r="K453" s="28" t="s">
        <v>2794</v>
      </c>
      <c r="L453" s="28" t="s">
        <v>2794</v>
      </c>
      <c r="M453" s="28">
        <v>13430</v>
      </c>
      <c r="N453" s="29" t="s">
        <v>1159</v>
      </c>
      <c r="O453" s="24">
        <f>VLOOKUP(A453,Hoja1!A:C,3,0)</f>
        <v>16</v>
      </c>
      <c r="P453" s="30" t="str">
        <f>VLOOKUP(M453,[1]TIPOLOGIAS!$A:$F,4,0)</f>
        <v>CARTAGENA</v>
      </c>
      <c r="Q453" s="30" t="str">
        <f>VLOOKUP(P453,'BASE TARIFA 2025'!C:D,2,0)</f>
        <v>WOMPI COSTA</v>
      </c>
      <c r="R453" s="31">
        <f>VLOOKUP(P453,'BASE TARIFA 2025'!C:F,4,0)</f>
        <v>28277.100000000002</v>
      </c>
    </row>
    <row r="454" spans="1:18" s="28" customFormat="1" ht="14.4" x14ac:dyDescent="0.3">
      <c r="A454" s="28">
        <v>30509</v>
      </c>
      <c r="B454" s="28" t="s">
        <v>2801</v>
      </c>
      <c r="C454" s="28">
        <v>52257154</v>
      </c>
      <c r="D454" s="28" t="s">
        <v>2802</v>
      </c>
      <c r="E454" s="28" t="s">
        <v>2802</v>
      </c>
      <c r="F454" s="28" t="s">
        <v>2802</v>
      </c>
      <c r="G454" s="28" t="s">
        <v>2803</v>
      </c>
      <c r="H454" s="28" t="s">
        <v>2804</v>
      </c>
      <c r="I454" s="28" t="s">
        <v>2805</v>
      </c>
      <c r="J454" s="28" t="s">
        <v>82</v>
      </c>
      <c r="K454" s="28" t="s">
        <v>2794</v>
      </c>
      <c r="L454" s="28" t="s">
        <v>2794</v>
      </c>
      <c r="M454" s="28">
        <v>13430</v>
      </c>
      <c r="N454" s="29" t="s">
        <v>1159</v>
      </c>
      <c r="O454" s="24" t="e">
        <f>VLOOKUP(A454,Hoja1!A:C,3,0)</f>
        <v>#N/A</v>
      </c>
      <c r="P454" s="30" t="str">
        <f>VLOOKUP(M454,[1]TIPOLOGIAS!$A:$F,4,0)</f>
        <v>CARTAGENA</v>
      </c>
      <c r="Q454" s="30" t="str">
        <f>VLOOKUP(P454,'BASE TARIFA 2025'!C:D,2,0)</f>
        <v>WOMPI COSTA</v>
      </c>
      <c r="R454" s="31">
        <f>VLOOKUP(P454,'BASE TARIFA 2025'!C:F,4,0)</f>
        <v>28277.100000000002</v>
      </c>
    </row>
    <row r="455" spans="1:18" s="28" customFormat="1" ht="14.4" x14ac:dyDescent="0.3">
      <c r="A455" s="28">
        <v>34733</v>
      </c>
      <c r="B455" s="28" t="s">
        <v>2806</v>
      </c>
      <c r="C455" s="28">
        <v>79854361</v>
      </c>
      <c r="D455" s="28" t="s">
        <v>2807</v>
      </c>
      <c r="E455" s="28" t="s">
        <v>174</v>
      </c>
      <c r="F455" s="28" t="s">
        <v>174</v>
      </c>
      <c r="G455" s="28" t="s">
        <v>2808</v>
      </c>
      <c r="H455" s="28" t="s">
        <v>2809</v>
      </c>
      <c r="I455" s="28" t="s">
        <v>2810</v>
      </c>
      <c r="J455" s="28" t="s">
        <v>73</v>
      </c>
      <c r="K455" s="28" t="s">
        <v>173</v>
      </c>
      <c r="L455" s="28" t="s">
        <v>173</v>
      </c>
      <c r="M455" s="28">
        <v>15759</v>
      </c>
      <c r="N455" s="29" t="s">
        <v>589</v>
      </c>
      <c r="O455" s="24" t="e">
        <f>VLOOKUP(A455,Hoja1!A:C,3,0)</f>
        <v>#N/A</v>
      </c>
      <c r="P455" s="30" t="str">
        <f>VLOOKUP(M455,[1]TIPOLOGIAS!$A:$F,4,0)</f>
        <v>TUNJA</v>
      </c>
      <c r="Q455" s="30" t="str">
        <f>VLOOKUP(P455,'BASE TARIFA 2025'!C:D,2,0)</f>
        <v>WOMPI SANTANDERES</v>
      </c>
      <c r="R455" s="31">
        <f>VLOOKUP(P455,'BASE TARIFA 2025'!C:F,4,0)</f>
        <v>28277.100000000002</v>
      </c>
    </row>
    <row r="456" spans="1:18" s="28" customFormat="1" ht="14.4" x14ac:dyDescent="0.3">
      <c r="A456" s="28">
        <v>34442</v>
      </c>
      <c r="B456" s="28" t="s">
        <v>2811</v>
      </c>
      <c r="C456" s="28">
        <v>79854361</v>
      </c>
      <c r="D456" s="28" t="s">
        <v>2812</v>
      </c>
      <c r="E456" s="28" t="s">
        <v>174</v>
      </c>
      <c r="F456" s="28" t="s">
        <v>174</v>
      </c>
      <c r="G456" s="28" t="s">
        <v>2813</v>
      </c>
      <c r="H456" s="28" t="s">
        <v>2814</v>
      </c>
      <c r="I456" s="28" t="s">
        <v>175</v>
      </c>
      <c r="J456" s="28" t="s">
        <v>73</v>
      </c>
      <c r="K456" s="28" t="s">
        <v>173</v>
      </c>
      <c r="L456" s="28" t="s">
        <v>173</v>
      </c>
      <c r="M456" s="28">
        <v>15759</v>
      </c>
      <c r="N456" s="29" t="s">
        <v>589</v>
      </c>
      <c r="O456" s="24" t="e">
        <f>VLOOKUP(A456,Hoja1!A:C,3,0)</f>
        <v>#N/A</v>
      </c>
      <c r="P456" s="30" t="str">
        <f>VLOOKUP(M456,[1]TIPOLOGIAS!$A:$F,4,0)</f>
        <v>TUNJA</v>
      </c>
      <c r="Q456" s="30" t="str">
        <f>VLOOKUP(P456,'BASE TARIFA 2025'!C:D,2,0)</f>
        <v>WOMPI SANTANDERES</v>
      </c>
      <c r="R456" s="31">
        <f>VLOOKUP(P456,'BASE TARIFA 2025'!C:F,4,0)</f>
        <v>28277.100000000002</v>
      </c>
    </row>
    <row r="457" spans="1:18" s="28" customFormat="1" ht="14.4" x14ac:dyDescent="0.3">
      <c r="A457" s="28">
        <v>34443</v>
      </c>
      <c r="B457" s="28" t="s">
        <v>2815</v>
      </c>
      <c r="C457" s="28">
        <v>860090873</v>
      </c>
      <c r="D457" s="28" t="s">
        <v>2816</v>
      </c>
      <c r="E457" s="28" t="s">
        <v>2817</v>
      </c>
      <c r="F457" s="28" t="s">
        <v>2817</v>
      </c>
      <c r="G457" s="28" t="s">
        <v>2818</v>
      </c>
      <c r="H457" s="28" t="s">
        <v>2819</v>
      </c>
      <c r="I457" s="28" t="s">
        <v>2820</v>
      </c>
      <c r="J457" s="28" t="s">
        <v>73</v>
      </c>
      <c r="K457" s="28" t="s">
        <v>173</v>
      </c>
      <c r="L457" s="28" t="s">
        <v>173</v>
      </c>
      <c r="M457" s="28">
        <v>15759</v>
      </c>
      <c r="N457" s="29" t="s">
        <v>790</v>
      </c>
      <c r="O457" s="24" t="e">
        <f>VLOOKUP(A457,Hoja1!A:C,3,0)</f>
        <v>#N/A</v>
      </c>
      <c r="P457" s="30" t="str">
        <f>VLOOKUP(M457,[1]TIPOLOGIAS!$A:$F,4,0)</f>
        <v>TUNJA</v>
      </c>
      <c r="Q457" s="30" t="str">
        <f>VLOOKUP(P457,'BASE TARIFA 2025'!C:D,2,0)</f>
        <v>WOMPI SANTANDERES</v>
      </c>
      <c r="R457" s="31">
        <f>VLOOKUP(P457,'BASE TARIFA 2025'!C:F,4,0)</f>
        <v>28277.100000000002</v>
      </c>
    </row>
    <row r="458" spans="1:18" s="28" customFormat="1" ht="14.4" x14ac:dyDescent="0.3">
      <c r="A458" s="28">
        <v>80922</v>
      </c>
      <c r="B458" s="28" t="s">
        <v>2821</v>
      </c>
      <c r="C458" s="28">
        <v>1007616390</v>
      </c>
      <c r="D458" s="28" t="s">
        <v>2822</v>
      </c>
      <c r="E458" s="28" t="s">
        <v>2823</v>
      </c>
      <c r="F458" s="28" t="s">
        <v>2822</v>
      </c>
      <c r="G458" s="28" t="s">
        <v>2824</v>
      </c>
      <c r="H458" s="28" t="s">
        <v>2825</v>
      </c>
      <c r="I458" s="28" t="s">
        <v>2826</v>
      </c>
      <c r="J458" s="28" t="s">
        <v>75</v>
      </c>
      <c r="K458" s="28" t="s">
        <v>129</v>
      </c>
      <c r="L458" s="28" t="s">
        <v>129</v>
      </c>
      <c r="M458" s="28">
        <v>19256</v>
      </c>
      <c r="N458" s="29" t="s">
        <v>1012</v>
      </c>
      <c r="O458" s="24" t="e">
        <f>VLOOKUP(A458,Hoja1!A:C,3,0)</f>
        <v>#N/A</v>
      </c>
      <c r="P458" s="30" t="str">
        <f>VLOOKUP(M458,[1]TIPOLOGIAS!$A:$F,4,0)</f>
        <v>CALI</v>
      </c>
      <c r="Q458" s="30" t="str">
        <f>VLOOKUP(P458,'BASE TARIFA 2025'!C:D,2,0)</f>
        <v>WOMPI SUROCCIDENTE</v>
      </c>
      <c r="R458" s="31">
        <f>VLOOKUP(P458,'BASE TARIFA 2025'!C:F,4,0)</f>
        <v>15709.5</v>
      </c>
    </row>
    <row r="459" spans="1:18" s="28" customFormat="1" ht="14.4" x14ac:dyDescent="0.3">
      <c r="A459" s="28">
        <v>35743</v>
      </c>
      <c r="B459" s="28" t="s">
        <v>2827</v>
      </c>
      <c r="C459" s="28">
        <v>20865643</v>
      </c>
      <c r="D459" s="28" t="s">
        <v>69</v>
      </c>
      <c r="E459" s="28" t="s">
        <v>2828</v>
      </c>
      <c r="F459" s="28" t="s">
        <v>2828</v>
      </c>
      <c r="G459" s="28" t="s">
        <v>2829</v>
      </c>
      <c r="H459" s="28" t="s">
        <v>2830</v>
      </c>
      <c r="I459" s="28" t="s">
        <v>2831</v>
      </c>
      <c r="J459" s="28" t="s">
        <v>75</v>
      </c>
      <c r="K459" s="28" t="s">
        <v>131</v>
      </c>
      <c r="L459" s="28" t="s">
        <v>131</v>
      </c>
      <c r="M459" s="28">
        <v>19743</v>
      </c>
      <c r="N459" s="29" t="s">
        <v>530</v>
      </c>
      <c r="O459" s="24" t="e">
        <f>VLOOKUP(A459,Hoja1!A:C,3,0)</f>
        <v>#N/A</v>
      </c>
      <c r="P459" s="30" t="str">
        <f>VLOOKUP(M459,[1]TIPOLOGIAS!$A:$F,4,0)</f>
        <v>CALI</v>
      </c>
      <c r="Q459" s="30" t="str">
        <f>VLOOKUP(P459,'BASE TARIFA 2025'!C:D,2,0)</f>
        <v>WOMPI SUROCCIDENTE</v>
      </c>
      <c r="R459" s="31">
        <f>VLOOKUP(P459,'BASE TARIFA 2025'!C:F,4,0)</f>
        <v>15709.5</v>
      </c>
    </row>
    <row r="460" spans="1:18" s="28" customFormat="1" ht="14.4" x14ac:dyDescent="0.3">
      <c r="A460" s="28">
        <v>77605</v>
      </c>
      <c r="B460" s="28" t="s">
        <v>2832</v>
      </c>
      <c r="C460" s="28">
        <v>20989428</v>
      </c>
      <c r="D460" s="28" t="s">
        <v>2833</v>
      </c>
      <c r="E460" s="28" t="s">
        <v>2833</v>
      </c>
      <c r="F460" s="28" t="s">
        <v>2833</v>
      </c>
      <c r="G460" s="28" t="s">
        <v>2834</v>
      </c>
      <c r="H460" s="28" t="s">
        <v>2835</v>
      </c>
      <c r="I460" s="28" t="s">
        <v>2836</v>
      </c>
      <c r="J460" s="28" t="s">
        <v>75</v>
      </c>
      <c r="K460" s="28" t="s">
        <v>131</v>
      </c>
      <c r="L460" s="28" t="s">
        <v>131</v>
      </c>
      <c r="M460" s="28">
        <v>19743</v>
      </c>
      <c r="N460" s="29" t="s">
        <v>530</v>
      </c>
      <c r="O460" s="24" t="e">
        <f>VLOOKUP(A460,Hoja1!A:C,3,0)</f>
        <v>#N/A</v>
      </c>
      <c r="P460" s="30" t="str">
        <f>VLOOKUP(M460,[1]TIPOLOGIAS!$A:$F,4,0)</f>
        <v>CALI</v>
      </c>
      <c r="Q460" s="30" t="str">
        <f>VLOOKUP(P460,'BASE TARIFA 2025'!C:D,2,0)</f>
        <v>WOMPI SUROCCIDENTE</v>
      </c>
      <c r="R460" s="31">
        <f>VLOOKUP(P460,'BASE TARIFA 2025'!C:F,4,0)</f>
        <v>15709.5</v>
      </c>
    </row>
    <row r="461" spans="1:18" s="28" customFormat="1" ht="14.4" x14ac:dyDescent="0.3">
      <c r="A461" s="28">
        <v>32380</v>
      </c>
      <c r="B461" s="28" t="s">
        <v>2837</v>
      </c>
      <c r="C461" s="28">
        <v>901166630</v>
      </c>
      <c r="D461" s="28" t="s">
        <v>2838</v>
      </c>
      <c r="E461" s="28" t="s">
        <v>2839</v>
      </c>
      <c r="F461" s="28" t="s">
        <v>2840</v>
      </c>
      <c r="G461" s="28" t="s">
        <v>2841</v>
      </c>
      <c r="H461" s="28" t="s">
        <v>2842</v>
      </c>
      <c r="I461" s="28" t="s">
        <v>2843</v>
      </c>
      <c r="J461" s="28" t="s">
        <v>75</v>
      </c>
      <c r="K461" s="28" t="s">
        <v>132</v>
      </c>
      <c r="L461" s="28" t="s">
        <v>132</v>
      </c>
      <c r="M461" s="28">
        <v>19807</v>
      </c>
      <c r="N461" s="29" t="s">
        <v>582</v>
      </c>
      <c r="O461" s="24" t="e">
        <f>VLOOKUP(A461,Hoja1!A:C,3,0)</f>
        <v>#N/A</v>
      </c>
      <c r="P461" s="30" t="str">
        <f>VLOOKUP(M461,[1]TIPOLOGIAS!$A:$F,4,0)</f>
        <v>CALI</v>
      </c>
      <c r="Q461" s="30" t="str">
        <f>VLOOKUP(P461,'BASE TARIFA 2025'!C:D,2,0)</f>
        <v>WOMPI SUROCCIDENTE</v>
      </c>
      <c r="R461" s="31">
        <f>VLOOKUP(P461,'BASE TARIFA 2025'!C:F,4,0)</f>
        <v>15709.5</v>
      </c>
    </row>
    <row r="462" spans="1:18" s="28" customFormat="1" ht="14.4" x14ac:dyDescent="0.3">
      <c r="A462" s="28">
        <v>53986</v>
      </c>
      <c r="B462" s="28" t="s">
        <v>2844</v>
      </c>
      <c r="C462" s="28">
        <v>91496409</v>
      </c>
      <c r="D462" s="28" t="s">
        <v>69</v>
      </c>
      <c r="E462" s="28" t="s">
        <v>2845</v>
      </c>
      <c r="F462" s="28" t="s">
        <v>2846</v>
      </c>
      <c r="G462" s="28" t="s">
        <v>2847</v>
      </c>
      <c r="H462" s="28" t="s">
        <v>2848</v>
      </c>
      <c r="I462" s="28" t="s">
        <v>2849</v>
      </c>
      <c r="J462" s="28" t="s">
        <v>75</v>
      </c>
      <c r="K462" s="28" t="s">
        <v>132</v>
      </c>
      <c r="L462" s="28" t="s">
        <v>132</v>
      </c>
      <c r="M462" s="28">
        <v>19807</v>
      </c>
      <c r="N462" s="29" t="s">
        <v>582</v>
      </c>
      <c r="O462" s="24" t="e">
        <f>VLOOKUP(A462,Hoja1!A:C,3,0)</f>
        <v>#N/A</v>
      </c>
      <c r="P462" s="30" t="str">
        <f>VLOOKUP(M462,[1]TIPOLOGIAS!$A:$F,4,0)</f>
        <v>CALI</v>
      </c>
      <c r="Q462" s="30" t="str">
        <f>VLOOKUP(P462,'BASE TARIFA 2025'!C:D,2,0)</f>
        <v>WOMPI SUROCCIDENTE</v>
      </c>
      <c r="R462" s="31">
        <f>VLOOKUP(P462,'BASE TARIFA 2025'!C:F,4,0)</f>
        <v>15709.5</v>
      </c>
    </row>
    <row r="463" spans="1:18" s="28" customFormat="1" ht="14.4" x14ac:dyDescent="0.3">
      <c r="A463" s="28">
        <v>53987</v>
      </c>
      <c r="B463" s="28" t="s">
        <v>2850</v>
      </c>
      <c r="C463" s="28">
        <v>91496409</v>
      </c>
      <c r="D463" s="28" t="s">
        <v>2851</v>
      </c>
      <c r="E463" s="28" t="s">
        <v>2852</v>
      </c>
      <c r="F463" s="28" t="s">
        <v>2852</v>
      </c>
      <c r="G463" s="28" t="s">
        <v>2853</v>
      </c>
      <c r="H463" s="28" t="s">
        <v>2854</v>
      </c>
      <c r="I463" s="28" t="s">
        <v>2855</v>
      </c>
      <c r="J463" s="28" t="s">
        <v>85</v>
      </c>
      <c r="K463" s="28" t="s">
        <v>133</v>
      </c>
      <c r="L463" s="28" t="s">
        <v>133</v>
      </c>
      <c r="M463" s="28">
        <v>23162</v>
      </c>
      <c r="N463" s="29" t="s">
        <v>790</v>
      </c>
      <c r="O463" s="24" t="e">
        <f>VLOOKUP(A463,Hoja1!A:C,3,0)</f>
        <v>#N/A</v>
      </c>
      <c r="P463" s="30" t="str">
        <f>VLOOKUP(M463,[1]TIPOLOGIAS!$A:$F,4,0)</f>
        <v>MONTERIA</v>
      </c>
      <c r="Q463" s="30" t="str">
        <f>VLOOKUP(P463,'BASE TARIFA 2025'!C:D,2,0)</f>
        <v>WOMPI COSTA</v>
      </c>
      <c r="R463" s="31">
        <f>VLOOKUP(P463,'BASE TARIFA 2025'!C:F,4,0)</f>
        <v>15709.5</v>
      </c>
    </row>
    <row r="464" spans="1:18" s="28" customFormat="1" ht="14.4" x14ac:dyDescent="0.3">
      <c r="A464" s="28">
        <v>53988</v>
      </c>
      <c r="B464" s="28" t="s">
        <v>2856</v>
      </c>
      <c r="C464" s="28">
        <v>91496409</v>
      </c>
      <c r="D464" s="28" t="s">
        <v>2857</v>
      </c>
      <c r="E464" s="28" t="s">
        <v>2858</v>
      </c>
      <c r="F464" s="28" t="s">
        <v>2858</v>
      </c>
      <c r="G464" s="28" t="s">
        <v>2859</v>
      </c>
      <c r="H464" s="28" t="s">
        <v>2854</v>
      </c>
      <c r="I464" s="28" t="s">
        <v>2855</v>
      </c>
      <c r="J464" s="28" t="s">
        <v>85</v>
      </c>
      <c r="K464" s="28" t="s">
        <v>133</v>
      </c>
      <c r="L464" s="28" t="s">
        <v>133</v>
      </c>
      <c r="M464" s="28">
        <v>23162</v>
      </c>
      <c r="N464" s="29" t="s">
        <v>744</v>
      </c>
      <c r="O464" s="24" t="e">
        <f>VLOOKUP(A464,Hoja1!A:C,3,0)</f>
        <v>#N/A</v>
      </c>
      <c r="P464" s="30" t="str">
        <f>VLOOKUP(M464,[1]TIPOLOGIAS!$A:$F,4,0)</f>
        <v>MONTERIA</v>
      </c>
      <c r="Q464" s="30" t="str">
        <f>VLOOKUP(P464,'BASE TARIFA 2025'!C:D,2,0)</f>
        <v>WOMPI COSTA</v>
      </c>
      <c r="R464" s="31">
        <f>VLOOKUP(P464,'BASE TARIFA 2025'!C:F,4,0)</f>
        <v>15709.5</v>
      </c>
    </row>
    <row r="465" spans="1:18" s="28" customFormat="1" ht="14.4" x14ac:dyDescent="0.3">
      <c r="A465" s="28">
        <v>53989</v>
      </c>
      <c r="B465" s="28" t="s">
        <v>2860</v>
      </c>
      <c r="C465" s="28">
        <v>91496409</v>
      </c>
      <c r="D465" s="28" t="s">
        <v>2861</v>
      </c>
      <c r="E465" s="28" t="s">
        <v>2862</v>
      </c>
      <c r="F465" s="28" t="s">
        <v>2862</v>
      </c>
      <c r="G465" s="28" t="s">
        <v>2863</v>
      </c>
      <c r="H465" s="28" t="s">
        <v>2864</v>
      </c>
      <c r="I465" s="28" t="s">
        <v>2865</v>
      </c>
      <c r="J465" s="28" t="s">
        <v>85</v>
      </c>
      <c r="K465" s="28" t="s">
        <v>133</v>
      </c>
      <c r="L465" s="28" t="s">
        <v>133</v>
      </c>
      <c r="M465" s="28">
        <v>23162</v>
      </c>
      <c r="N465" s="29" t="s">
        <v>790</v>
      </c>
      <c r="O465" s="24" t="e">
        <f>VLOOKUP(A465,Hoja1!A:C,3,0)</f>
        <v>#N/A</v>
      </c>
      <c r="P465" s="30" t="str">
        <f>VLOOKUP(M465,[1]TIPOLOGIAS!$A:$F,4,0)</f>
        <v>MONTERIA</v>
      </c>
      <c r="Q465" s="30" t="str">
        <f>VLOOKUP(P465,'BASE TARIFA 2025'!C:D,2,0)</f>
        <v>WOMPI COSTA</v>
      </c>
      <c r="R465" s="31">
        <f>VLOOKUP(P465,'BASE TARIFA 2025'!C:F,4,0)</f>
        <v>15709.5</v>
      </c>
    </row>
    <row r="466" spans="1:18" s="28" customFormat="1" ht="14.4" x14ac:dyDescent="0.3">
      <c r="A466" s="28">
        <v>77022</v>
      </c>
      <c r="B466" s="28" t="s">
        <v>2866</v>
      </c>
      <c r="C466" s="28">
        <v>1085304724</v>
      </c>
      <c r="D466" s="28" t="s">
        <v>2867</v>
      </c>
      <c r="E466" s="28" t="s">
        <v>2867</v>
      </c>
      <c r="F466" s="28" t="s">
        <v>2868</v>
      </c>
      <c r="G466" s="28" t="s">
        <v>2869</v>
      </c>
      <c r="H466" s="28" t="s">
        <v>2870</v>
      </c>
      <c r="I466" s="28" t="s">
        <v>2871</v>
      </c>
      <c r="J466" s="28" t="s">
        <v>85</v>
      </c>
      <c r="K466" s="28" t="s">
        <v>133</v>
      </c>
      <c r="L466" s="28" t="s">
        <v>133</v>
      </c>
      <c r="M466" s="28">
        <v>23162</v>
      </c>
      <c r="N466" s="29" t="s">
        <v>589</v>
      </c>
      <c r="O466" s="24" t="e">
        <f>VLOOKUP(A466,Hoja1!A:C,3,0)</f>
        <v>#N/A</v>
      </c>
      <c r="P466" s="30" t="str">
        <f>VLOOKUP(M466,[1]TIPOLOGIAS!$A:$F,4,0)</f>
        <v>MONTERIA</v>
      </c>
      <c r="Q466" s="30" t="str">
        <f>VLOOKUP(P466,'BASE TARIFA 2025'!C:D,2,0)</f>
        <v>WOMPI COSTA</v>
      </c>
      <c r="R466" s="31">
        <f>VLOOKUP(P466,'BASE TARIFA 2025'!C:F,4,0)</f>
        <v>15709.5</v>
      </c>
    </row>
    <row r="467" spans="1:18" s="28" customFormat="1" ht="14.4" x14ac:dyDescent="0.3">
      <c r="A467" s="28">
        <v>71552</v>
      </c>
      <c r="B467" s="28" t="s">
        <v>2872</v>
      </c>
      <c r="C467" s="28">
        <v>1102359107</v>
      </c>
      <c r="D467" s="28" t="s">
        <v>242</v>
      </c>
      <c r="E467" s="28" t="s">
        <v>242</v>
      </c>
      <c r="F467" s="28" t="s">
        <v>242</v>
      </c>
      <c r="G467" s="28" t="s">
        <v>243</v>
      </c>
      <c r="H467" s="28" t="s">
        <v>244</v>
      </c>
      <c r="I467" s="28" t="s">
        <v>245</v>
      </c>
      <c r="J467" s="28" t="s">
        <v>85</v>
      </c>
      <c r="K467" s="28" t="s">
        <v>133</v>
      </c>
      <c r="L467" s="28" t="s">
        <v>133</v>
      </c>
      <c r="M467" s="28">
        <v>23162</v>
      </c>
      <c r="N467" s="29" t="s">
        <v>638</v>
      </c>
      <c r="O467" s="24" t="e">
        <f>VLOOKUP(A467,Hoja1!A:C,3,0)</f>
        <v>#N/A</v>
      </c>
      <c r="P467" s="30" t="str">
        <f>VLOOKUP(M467,[1]TIPOLOGIAS!$A:$F,4,0)</f>
        <v>MONTERIA</v>
      </c>
      <c r="Q467" s="30" t="str">
        <f>VLOOKUP(P467,'BASE TARIFA 2025'!C:D,2,0)</f>
        <v>WOMPI COSTA</v>
      </c>
      <c r="R467" s="31">
        <f>VLOOKUP(P467,'BASE TARIFA 2025'!C:F,4,0)</f>
        <v>15709.5</v>
      </c>
    </row>
    <row r="468" spans="1:18" s="28" customFormat="1" ht="14.4" x14ac:dyDescent="0.3">
      <c r="A468" s="28">
        <v>13126</v>
      </c>
      <c r="B468" s="28" t="s">
        <v>2873</v>
      </c>
      <c r="C468" s="28">
        <v>94319765</v>
      </c>
      <c r="D468" s="28" t="s">
        <v>2874</v>
      </c>
      <c r="E468" s="28" t="s">
        <v>2874</v>
      </c>
      <c r="F468" s="28" t="s">
        <v>2874</v>
      </c>
      <c r="G468" s="28" t="s">
        <v>2875</v>
      </c>
      <c r="H468" s="28" t="s">
        <v>2876</v>
      </c>
      <c r="I468" s="28" t="s">
        <v>2877</v>
      </c>
      <c r="J468" s="28" t="s">
        <v>85</v>
      </c>
      <c r="K468" s="28" t="s">
        <v>133</v>
      </c>
      <c r="L468" s="28" t="s">
        <v>133</v>
      </c>
      <c r="M468" s="28">
        <v>23162</v>
      </c>
      <c r="N468" s="29" t="s">
        <v>744</v>
      </c>
      <c r="O468" s="24" t="e">
        <f>VLOOKUP(A468,Hoja1!A:C,3,0)</f>
        <v>#N/A</v>
      </c>
      <c r="P468" s="30" t="str">
        <f>VLOOKUP(M468,[1]TIPOLOGIAS!$A:$F,4,0)</f>
        <v>MONTERIA</v>
      </c>
      <c r="Q468" s="30" t="str">
        <f>VLOOKUP(P468,'BASE TARIFA 2025'!C:D,2,0)</f>
        <v>WOMPI COSTA</v>
      </c>
      <c r="R468" s="31">
        <f>VLOOKUP(P468,'BASE TARIFA 2025'!C:F,4,0)</f>
        <v>15709.5</v>
      </c>
    </row>
    <row r="469" spans="1:18" s="28" customFormat="1" ht="14.4" x14ac:dyDescent="0.3">
      <c r="A469" s="28">
        <v>80952</v>
      </c>
      <c r="B469" s="28" t="s">
        <v>2878</v>
      </c>
      <c r="C469" s="28">
        <v>1113628789</v>
      </c>
      <c r="D469" s="28" t="s">
        <v>2879</v>
      </c>
      <c r="E469" s="28" t="s">
        <v>2879</v>
      </c>
      <c r="F469" s="28" t="s">
        <v>2879</v>
      </c>
      <c r="G469" s="28" t="s">
        <v>2880</v>
      </c>
      <c r="H469" s="28" t="s">
        <v>2881</v>
      </c>
      <c r="I469" s="28" t="s">
        <v>2882</v>
      </c>
      <c r="J469" s="28" t="s">
        <v>85</v>
      </c>
      <c r="K469" s="28" t="s">
        <v>133</v>
      </c>
      <c r="L469" s="28" t="s">
        <v>133</v>
      </c>
      <c r="M469" s="28">
        <v>23162</v>
      </c>
      <c r="N469" s="29" t="s">
        <v>589</v>
      </c>
      <c r="O469" s="24" t="e">
        <f>VLOOKUP(A469,Hoja1!A:C,3,0)</f>
        <v>#N/A</v>
      </c>
      <c r="P469" s="30" t="str">
        <f>VLOOKUP(M469,[1]TIPOLOGIAS!$A:$F,4,0)</f>
        <v>MONTERIA</v>
      </c>
      <c r="Q469" s="30" t="str">
        <f>VLOOKUP(P469,'BASE TARIFA 2025'!C:D,2,0)</f>
        <v>WOMPI COSTA</v>
      </c>
      <c r="R469" s="31">
        <f>VLOOKUP(P469,'BASE TARIFA 2025'!C:F,4,0)</f>
        <v>15709.5</v>
      </c>
    </row>
    <row r="470" spans="1:18" s="28" customFormat="1" ht="14.4" x14ac:dyDescent="0.3">
      <c r="A470" s="28">
        <v>71966</v>
      </c>
      <c r="B470" s="28" t="s">
        <v>2883</v>
      </c>
      <c r="C470" s="28">
        <v>1113695474</v>
      </c>
      <c r="D470" s="28" t="s">
        <v>2884</v>
      </c>
      <c r="E470" s="28" t="s">
        <v>2885</v>
      </c>
      <c r="F470" s="28" t="s">
        <v>2884</v>
      </c>
      <c r="G470" s="28" t="s">
        <v>2886</v>
      </c>
      <c r="H470" s="28" t="s">
        <v>2887</v>
      </c>
      <c r="I470" s="28" t="s">
        <v>2888</v>
      </c>
      <c r="J470" s="28" t="s">
        <v>85</v>
      </c>
      <c r="K470" s="28" t="s">
        <v>133</v>
      </c>
      <c r="L470" s="28" t="s">
        <v>133</v>
      </c>
      <c r="M470" s="28">
        <v>23162</v>
      </c>
      <c r="N470" s="29" t="s">
        <v>589</v>
      </c>
      <c r="O470" s="24" t="e">
        <f>VLOOKUP(A470,Hoja1!A:C,3,0)</f>
        <v>#N/A</v>
      </c>
      <c r="P470" s="30" t="str">
        <f>VLOOKUP(M470,[1]TIPOLOGIAS!$A:$F,4,0)</f>
        <v>MONTERIA</v>
      </c>
      <c r="Q470" s="30" t="str">
        <f>VLOOKUP(P470,'BASE TARIFA 2025'!C:D,2,0)</f>
        <v>WOMPI COSTA</v>
      </c>
      <c r="R470" s="31">
        <f>VLOOKUP(P470,'BASE TARIFA 2025'!C:F,4,0)</f>
        <v>15709.5</v>
      </c>
    </row>
    <row r="471" spans="1:18" s="28" customFormat="1" ht="14.4" x14ac:dyDescent="0.3">
      <c r="A471" s="28">
        <v>69068</v>
      </c>
      <c r="B471" s="28" t="s">
        <v>2889</v>
      </c>
      <c r="C471" s="28">
        <v>1113682948</v>
      </c>
      <c r="D471" s="28" t="s">
        <v>2890</v>
      </c>
      <c r="E471" s="28" t="s">
        <v>2890</v>
      </c>
      <c r="F471" s="28" t="s">
        <v>2890</v>
      </c>
      <c r="G471" s="28" t="s">
        <v>2891</v>
      </c>
      <c r="H471" s="28" t="s">
        <v>2892</v>
      </c>
      <c r="I471" s="28" t="s">
        <v>2893</v>
      </c>
      <c r="J471" s="28" t="s">
        <v>85</v>
      </c>
      <c r="K471" s="28" t="s">
        <v>133</v>
      </c>
      <c r="L471" s="28" t="s">
        <v>133</v>
      </c>
      <c r="M471" s="28">
        <v>23162</v>
      </c>
      <c r="N471" s="29" t="s">
        <v>722</v>
      </c>
      <c r="O471" s="24" t="e">
        <f>VLOOKUP(A471,Hoja1!A:C,3,0)</f>
        <v>#N/A</v>
      </c>
      <c r="P471" s="30" t="str">
        <f>VLOOKUP(M471,[1]TIPOLOGIAS!$A:$F,4,0)</f>
        <v>MONTERIA</v>
      </c>
      <c r="Q471" s="30" t="str">
        <f>VLOOKUP(P471,'BASE TARIFA 2025'!C:D,2,0)</f>
        <v>WOMPI COSTA</v>
      </c>
      <c r="R471" s="31">
        <f>VLOOKUP(P471,'BASE TARIFA 2025'!C:F,4,0)</f>
        <v>15709.5</v>
      </c>
    </row>
    <row r="472" spans="1:18" s="28" customFormat="1" ht="14.4" x14ac:dyDescent="0.3">
      <c r="A472" s="28">
        <v>60371</v>
      </c>
      <c r="B472" s="28" t="s">
        <v>2894</v>
      </c>
      <c r="C472" s="28">
        <v>1114873804</v>
      </c>
      <c r="D472" s="28" t="s">
        <v>2895</v>
      </c>
      <c r="E472" s="28" t="s">
        <v>2895</v>
      </c>
      <c r="F472" s="28" t="s">
        <v>2895</v>
      </c>
      <c r="G472" s="28" t="s">
        <v>2896</v>
      </c>
      <c r="H472" s="28" t="s">
        <v>2897</v>
      </c>
      <c r="I472" s="28" t="s">
        <v>2898</v>
      </c>
      <c r="J472" s="28" t="s">
        <v>85</v>
      </c>
      <c r="K472" s="28" t="s">
        <v>133</v>
      </c>
      <c r="L472" s="28" t="s">
        <v>133</v>
      </c>
      <c r="M472" s="28">
        <v>23162</v>
      </c>
      <c r="N472" s="29" t="s">
        <v>744</v>
      </c>
      <c r="O472" s="24" t="e">
        <f>VLOOKUP(A472,Hoja1!A:C,3,0)</f>
        <v>#N/A</v>
      </c>
      <c r="P472" s="30" t="str">
        <f>VLOOKUP(M472,[1]TIPOLOGIAS!$A:$F,4,0)</f>
        <v>MONTERIA</v>
      </c>
      <c r="Q472" s="30" t="str">
        <f>VLOOKUP(P472,'BASE TARIFA 2025'!C:D,2,0)</f>
        <v>WOMPI COSTA</v>
      </c>
      <c r="R472" s="31">
        <f>VLOOKUP(P472,'BASE TARIFA 2025'!C:F,4,0)</f>
        <v>15709.5</v>
      </c>
    </row>
    <row r="473" spans="1:18" s="28" customFormat="1" ht="14.4" x14ac:dyDescent="0.3">
      <c r="A473" s="28">
        <v>52649</v>
      </c>
      <c r="B473" s="28" t="s">
        <v>2899</v>
      </c>
      <c r="C473" s="28">
        <v>32754406</v>
      </c>
      <c r="D473" s="28" t="s">
        <v>2900</v>
      </c>
      <c r="E473" s="28" t="s">
        <v>2900</v>
      </c>
      <c r="F473" s="28" t="s">
        <v>2900</v>
      </c>
      <c r="G473" s="28" t="s">
        <v>2901</v>
      </c>
      <c r="H473" s="28" t="s">
        <v>2902</v>
      </c>
      <c r="I473" s="28" t="s">
        <v>2903</v>
      </c>
      <c r="J473" s="28" t="s">
        <v>92</v>
      </c>
      <c r="K473" s="28" t="s">
        <v>157</v>
      </c>
      <c r="L473" s="28" t="s">
        <v>157</v>
      </c>
      <c r="M473" s="28">
        <v>54001</v>
      </c>
      <c r="N473" s="29" t="s">
        <v>638</v>
      </c>
      <c r="O473" s="24" t="e">
        <f>VLOOKUP(A473,Hoja1!A:C,3,0)</f>
        <v>#N/A</v>
      </c>
      <c r="P473" s="30" t="str">
        <f>VLOOKUP(M473,[1]TIPOLOGIAS!$A:$F,4,0)</f>
        <v>CUCUTA</v>
      </c>
      <c r="Q473" s="30" t="str">
        <f>VLOOKUP(P473,'BASE TARIFA 2025'!C:D,2,0)</f>
        <v>WOMPI SANTANDERES</v>
      </c>
      <c r="R473" s="31">
        <f>VLOOKUP(P473,'BASE TARIFA 2025'!C:F,4,0)</f>
        <v>28277.100000000002</v>
      </c>
    </row>
    <row r="474" spans="1:18" s="28" customFormat="1" ht="14.4" x14ac:dyDescent="0.3">
      <c r="A474" s="28">
        <v>40667</v>
      </c>
      <c r="B474" s="28" t="s">
        <v>2904</v>
      </c>
      <c r="C474" s="28">
        <v>66776045</v>
      </c>
      <c r="D474" s="28" t="s">
        <v>2905</v>
      </c>
      <c r="E474" s="28" t="s">
        <v>2905</v>
      </c>
      <c r="F474" s="28" t="s">
        <v>2905</v>
      </c>
      <c r="G474" s="28" t="s">
        <v>2906</v>
      </c>
      <c r="H474" s="28" t="s">
        <v>2907</v>
      </c>
      <c r="I474" s="28" t="s">
        <v>2908</v>
      </c>
      <c r="J474" s="28" t="s">
        <v>92</v>
      </c>
      <c r="K474" s="28" t="s">
        <v>157</v>
      </c>
      <c r="L474" s="28" t="s">
        <v>157</v>
      </c>
      <c r="M474" s="28">
        <v>54001</v>
      </c>
      <c r="N474" s="29" t="s">
        <v>1173</v>
      </c>
      <c r="O474" s="24" t="e">
        <f>VLOOKUP(A474,Hoja1!A:C,3,0)</f>
        <v>#N/A</v>
      </c>
      <c r="P474" s="30" t="str">
        <f>VLOOKUP(M474,[1]TIPOLOGIAS!$A:$F,4,0)</f>
        <v>CUCUTA</v>
      </c>
      <c r="Q474" s="30" t="str">
        <f>VLOOKUP(P474,'BASE TARIFA 2025'!C:D,2,0)</f>
        <v>WOMPI SANTANDERES</v>
      </c>
      <c r="R474" s="31">
        <f>VLOOKUP(P474,'BASE TARIFA 2025'!C:F,4,0)</f>
        <v>28277.100000000002</v>
      </c>
    </row>
    <row r="475" spans="1:18" s="28" customFormat="1" ht="14.4" x14ac:dyDescent="0.3">
      <c r="A475" s="28">
        <v>39487</v>
      </c>
      <c r="B475" s="28" t="s">
        <v>2909</v>
      </c>
      <c r="C475" s="28">
        <v>890306372</v>
      </c>
      <c r="D475" s="28" t="s">
        <v>2910</v>
      </c>
      <c r="E475" s="28" t="s">
        <v>2910</v>
      </c>
      <c r="F475" s="28" t="s">
        <v>2910</v>
      </c>
      <c r="G475" s="28" t="s">
        <v>2911</v>
      </c>
      <c r="H475" s="28" t="s">
        <v>2912</v>
      </c>
      <c r="I475" s="28" t="s">
        <v>2913</v>
      </c>
      <c r="J475" s="28" t="s">
        <v>92</v>
      </c>
      <c r="K475" s="28" t="s">
        <v>157</v>
      </c>
      <c r="L475" s="28" t="s">
        <v>157</v>
      </c>
      <c r="M475" s="28">
        <v>54001</v>
      </c>
      <c r="N475" s="29" t="s">
        <v>638</v>
      </c>
      <c r="O475" s="24" t="e">
        <f>VLOOKUP(A475,Hoja1!A:C,3,0)</f>
        <v>#N/A</v>
      </c>
      <c r="P475" s="30" t="str">
        <f>VLOOKUP(M475,[1]TIPOLOGIAS!$A:$F,4,0)</f>
        <v>CUCUTA</v>
      </c>
      <c r="Q475" s="30" t="str">
        <f>VLOOKUP(P475,'BASE TARIFA 2025'!C:D,2,0)</f>
        <v>WOMPI SANTANDERES</v>
      </c>
      <c r="R475" s="31">
        <f>VLOOKUP(P475,'BASE TARIFA 2025'!C:F,4,0)</f>
        <v>28277.100000000002</v>
      </c>
    </row>
    <row r="476" spans="1:18" s="28" customFormat="1" ht="14.4" x14ac:dyDescent="0.3">
      <c r="A476" s="28">
        <v>41420</v>
      </c>
      <c r="B476" s="28" t="s">
        <v>2914</v>
      </c>
      <c r="C476" s="28">
        <v>901148765</v>
      </c>
      <c r="D476" s="28" t="s">
        <v>2915</v>
      </c>
      <c r="E476" s="28" t="s">
        <v>2915</v>
      </c>
      <c r="F476" s="28" t="s">
        <v>2916</v>
      </c>
      <c r="G476" s="28" t="s">
        <v>2917</v>
      </c>
      <c r="H476" s="28" t="s">
        <v>2918</v>
      </c>
      <c r="I476" s="28" t="s">
        <v>2919</v>
      </c>
      <c r="J476" s="28" t="s">
        <v>92</v>
      </c>
      <c r="K476" s="28" t="s">
        <v>157</v>
      </c>
      <c r="L476" s="28" t="s">
        <v>157</v>
      </c>
      <c r="M476" s="28">
        <v>54001</v>
      </c>
      <c r="N476" s="29" t="s">
        <v>638</v>
      </c>
      <c r="O476" s="24" t="e">
        <f>VLOOKUP(A476,Hoja1!A:C,3,0)</f>
        <v>#N/A</v>
      </c>
      <c r="P476" s="30" t="str">
        <f>VLOOKUP(M476,[1]TIPOLOGIAS!$A:$F,4,0)</f>
        <v>CUCUTA</v>
      </c>
      <c r="Q476" s="30" t="str">
        <f>VLOOKUP(P476,'BASE TARIFA 2025'!C:D,2,0)</f>
        <v>WOMPI SANTANDERES</v>
      </c>
      <c r="R476" s="31">
        <f>VLOOKUP(P476,'BASE TARIFA 2025'!C:F,4,0)</f>
        <v>28277.100000000002</v>
      </c>
    </row>
    <row r="477" spans="1:18" s="28" customFormat="1" ht="14.4" x14ac:dyDescent="0.3">
      <c r="A477" s="28">
        <v>65767</v>
      </c>
      <c r="B477" s="28" t="s">
        <v>2920</v>
      </c>
      <c r="C477" s="28">
        <v>1109492676</v>
      </c>
      <c r="D477" s="28" t="s">
        <v>2921</v>
      </c>
      <c r="E477" s="28" t="s">
        <v>2921</v>
      </c>
      <c r="F477" s="28" t="s">
        <v>2921</v>
      </c>
      <c r="G477" s="28" t="s">
        <v>2922</v>
      </c>
      <c r="H477" s="28" t="s">
        <v>2923</v>
      </c>
      <c r="I477" s="28" t="s">
        <v>2924</v>
      </c>
      <c r="J477" s="28" t="s">
        <v>73</v>
      </c>
      <c r="K477" s="28" t="s">
        <v>173</v>
      </c>
      <c r="L477" s="28" t="s">
        <v>173</v>
      </c>
      <c r="M477" s="28">
        <v>15759</v>
      </c>
      <c r="N477" s="29" t="s">
        <v>996</v>
      </c>
      <c r="O477" s="24" t="e">
        <f>VLOOKUP(A477,Hoja1!A:C,3,0)</f>
        <v>#N/A</v>
      </c>
      <c r="P477" s="30" t="str">
        <f>VLOOKUP(M477,[1]TIPOLOGIAS!$A:$F,4,0)</f>
        <v>TUNJA</v>
      </c>
      <c r="Q477" s="30" t="str">
        <f>VLOOKUP(P477,'BASE TARIFA 2025'!C:D,2,0)</f>
        <v>WOMPI SANTANDERES</v>
      </c>
      <c r="R477" s="31">
        <f>VLOOKUP(P477,'BASE TARIFA 2025'!C:F,4,0)</f>
        <v>28277.100000000002</v>
      </c>
    </row>
    <row r="478" spans="1:18" s="28" customFormat="1" ht="14.4" x14ac:dyDescent="0.3">
      <c r="A478" s="28">
        <v>77431</v>
      </c>
      <c r="B478" s="28" t="s">
        <v>2925</v>
      </c>
      <c r="C478" s="28">
        <v>1118554266</v>
      </c>
      <c r="D478" s="28" t="s">
        <v>2926</v>
      </c>
      <c r="E478" s="28" t="s">
        <v>2927</v>
      </c>
      <c r="F478" s="28" t="s">
        <v>2926</v>
      </c>
      <c r="G478" s="28" t="s">
        <v>2928</v>
      </c>
      <c r="H478" s="28" t="s">
        <v>177</v>
      </c>
      <c r="I478" s="28" t="s">
        <v>2929</v>
      </c>
      <c r="J478" s="28" t="s">
        <v>73</v>
      </c>
      <c r="K478" s="28" t="s">
        <v>173</v>
      </c>
      <c r="L478" s="28" t="s">
        <v>173</v>
      </c>
      <c r="M478" s="28">
        <v>15759</v>
      </c>
      <c r="N478" s="29" t="s">
        <v>996</v>
      </c>
      <c r="O478" s="24">
        <f>VLOOKUP(A478,Hoja1!A:C,3,0)</f>
        <v>8</v>
      </c>
      <c r="P478" s="30" t="str">
        <f>VLOOKUP(M478,[1]TIPOLOGIAS!$A:$F,4,0)</f>
        <v>TUNJA</v>
      </c>
      <c r="Q478" s="30" t="str">
        <f>VLOOKUP(P478,'BASE TARIFA 2025'!C:D,2,0)</f>
        <v>WOMPI SANTANDERES</v>
      </c>
      <c r="R478" s="31">
        <f>VLOOKUP(P478,'BASE TARIFA 2025'!C:F,4,0)</f>
        <v>28277.100000000002</v>
      </c>
    </row>
    <row r="479" spans="1:18" s="28" customFormat="1" ht="14.4" x14ac:dyDescent="0.3">
      <c r="A479" s="28">
        <v>74556</v>
      </c>
      <c r="B479" s="28" t="s">
        <v>2930</v>
      </c>
      <c r="C479" s="28">
        <v>47440525</v>
      </c>
      <c r="D479" s="28" t="s">
        <v>2931</v>
      </c>
      <c r="E479" s="28" t="s">
        <v>2931</v>
      </c>
      <c r="F479" s="28" t="s">
        <v>2931</v>
      </c>
      <c r="G479" s="28" t="s">
        <v>2932</v>
      </c>
      <c r="H479" s="28" t="s">
        <v>2933</v>
      </c>
      <c r="I479" s="28" t="s">
        <v>176</v>
      </c>
      <c r="J479" s="28" t="s">
        <v>73</v>
      </c>
      <c r="K479" s="28" t="s">
        <v>173</v>
      </c>
      <c r="L479" s="28" t="s">
        <v>173</v>
      </c>
      <c r="M479" s="28">
        <v>15759</v>
      </c>
      <c r="N479" s="29" t="s">
        <v>638</v>
      </c>
      <c r="O479" s="24">
        <f>VLOOKUP(A479,Hoja1!A:C,3,0)</f>
        <v>8</v>
      </c>
      <c r="P479" s="30" t="str">
        <f>VLOOKUP(M479,[1]TIPOLOGIAS!$A:$F,4,0)</f>
        <v>TUNJA</v>
      </c>
      <c r="Q479" s="30" t="str">
        <f>VLOOKUP(P479,'BASE TARIFA 2025'!C:D,2,0)</f>
        <v>WOMPI SANTANDERES</v>
      </c>
      <c r="R479" s="31">
        <f>VLOOKUP(P479,'BASE TARIFA 2025'!C:F,4,0)</f>
        <v>28277.100000000002</v>
      </c>
    </row>
    <row r="480" spans="1:18" s="28" customFormat="1" ht="14.4" x14ac:dyDescent="0.3">
      <c r="A480" s="28">
        <v>34137</v>
      </c>
      <c r="B480" s="28" t="s">
        <v>2934</v>
      </c>
      <c r="C480" s="28">
        <v>1121823729</v>
      </c>
      <c r="D480" s="28" t="s">
        <v>2935</v>
      </c>
      <c r="E480" s="28" t="s">
        <v>2936</v>
      </c>
      <c r="F480" s="28" t="s">
        <v>2937</v>
      </c>
      <c r="G480" s="28" t="s">
        <v>2938</v>
      </c>
      <c r="H480" s="28" t="s">
        <v>2939</v>
      </c>
      <c r="I480" s="28" t="s">
        <v>2940</v>
      </c>
      <c r="J480" s="28" t="s">
        <v>85</v>
      </c>
      <c r="K480" s="28" t="s">
        <v>133</v>
      </c>
      <c r="L480" s="28" t="s">
        <v>133</v>
      </c>
      <c r="M480" s="28">
        <v>23162</v>
      </c>
      <c r="N480" s="29" t="s">
        <v>744</v>
      </c>
      <c r="O480" s="24">
        <f>VLOOKUP(A480,Hoja1!A:C,3,0)</f>
        <v>8</v>
      </c>
      <c r="P480" s="30" t="str">
        <f>VLOOKUP(M480,[1]TIPOLOGIAS!$A:$F,4,0)</f>
        <v>MONTERIA</v>
      </c>
      <c r="Q480" s="30" t="str">
        <f>VLOOKUP(P480,'BASE TARIFA 2025'!C:D,2,0)</f>
        <v>WOMPI COSTA</v>
      </c>
      <c r="R480" s="31">
        <f>VLOOKUP(P480,'BASE TARIFA 2025'!C:F,4,0)</f>
        <v>15709.5</v>
      </c>
    </row>
    <row r="481" spans="1:18" s="28" customFormat="1" ht="14.4" x14ac:dyDescent="0.3">
      <c r="A481" s="28">
        <v>37695</v>
      </c>
      <c r="B481" s="28" t="s">
        <v>2941</v>
      </c>
      <c r="C481" s="28">
        <v>9431245</v>
      </c>
      <c r="D481" s="28" t="s">
        <v>2942</v>
      </c>
      <c r="E481" s="28" t="s">
        <v>2885</v>
      </c>
      <c r="F481" s="28" t="s">
        <v>2884</v>
      </c>
      <c r="G481" s="28" t="s">
        <v>2943</v>
      </c>
      <c r="H481" s="28" t="s">
        <v>2944</v>
      </c>
      <c r="I481" s="28" t="s">
        <v>2945</v>
      </c>
      <c r="J481" s="28" t="s">
        <v>85</v>
      </c>
      <c r="K481" s="28" t="s">
        <v>133</v>
      </c>
      <c r="L481" s="28" t="s">
        <v>133</v>
      </c>
      <c r="M481" s="28">
        <v>23162</v>
      </c>
      <c r="N481" s="29" t="s">
        <v>744</v>
      </c>
      <c r="O481" s="24">
        <f>VLOOKUP(A481,Hoja1!A:C,3,0)</f>
        <v>8</v>
      </c>
      <c r="P481" s="30" t="str">
        <f>VLOOKUP(M481,[1]TIPOLOGIAS!$A:$F,4,0)</f>
        <v>MONTERIA</v>
      </c>
      <c r="Q481" s="30" t="str">
        <f>VLOOKUP(P481,'BASE TARIFA 2025'!C:D,2,0)</f>
        <v>WOMPI COSTA</v>
      </c>
      <c r="R481" s="31">
        <f>VLOOKUP(P481,'BASE TARIFA 2025'!C:F,4,0)</f>
        <v>15709.5</v>
      </c>
    </row>
    <row r="482" spans="1:18" s="28" customFormat="1" ht="14.4" x14ac:dyDescent="0.3">
      <c r="A482" s="28">
        <v>37184</v>
      </c>
      <c r="B482" s="28" t="s">
        <v>2946</v>
      </c>
      <c r="C482" s="28">
        <v>41329247</v>
      </c>
      <c r="D482" s="28" t="s">
        <v>2947</v>
      </c>
      <c r="E482" s="28" t="s">
        <v>2948</v>
      </c>
      <c r="F482" s="28" t="s">
        <v>2948</v>
      </c>
      <c r="G482" s="28" t="s">
        <v>2949</v>
      </c>
      <c r="H482" s="28" t="s">
        <v>2950</v>
      </c>
      <c r="I482" s="28" t="s">
        <v>2951</v>
      </c>
      <c r="J482" s="28" t="s">
        <v>85</v>
      </c>
      <c r="K482" s="28" t="s">
        <v>134</v>
      </c>
      <c r="L482" s="28" t="s">
        <v>134</v>
      </c>
      <c r="M482" s="28">
        <v>23807</v>
      </c>
      <c r="N482" s="29" t="s">
        <v>530</v>
      </c>
      <c r="O482" s="24">
        <f>VLOOKUP(A482,Hoja1!A:C,3,0)</f>
        <v>8</v>
      </c>
      <c r="P482" s="30" t="str">
        <f>VLOOKUP(M482,[1]TIPOLOGIAS!$A:$F,4,0)</f>
        <v>MONTERIA</v>
      </c>
      <c r="Q482" s="30" t="str">
        <f>VLOOKUP(P482,'BASE TARIFA 2025'!C:D,2,0)</f>
        <v>WOMPI COSTA</v>
      </c>
      <c r="R482" s="31">
        <f>VLOOKUP(P482,'BASE TARIFA 2025'!C:F,4,0)</f>
        <v>15709.5</v>
      </c>
    </row>
    <row r="483" spans="1:18" s="28" customFormat="1" ht="14.4" x14ac:dyDescent="0.3">
      <c r="A483" s="28">
        <v>33768</v>
      </c>
      <c r="B483" s="28" t="s">
        <v>2952</v>
      </c>
      <c r="C483" s="28">
        <v>88177710</v>
      </c>
      <c r="D483" s="28" t="s">
        <v>2953</v>
      </c>
      <c r="E483" s="28" t="s">
        <v>2953</v>
      </c>
      <c r="F483" s="28" t="s">
        <v>2953</v>
      </c>
      <c r="G483" s="28" t="s">
        <v>2954</v>
      </c>
      <c r="H483" s="28" t="s">
        <v>2955</v>
      </c>
      <c r="I483" s="28" t="s">
        <v>2956</v>
      </c>
      <c r="J483" s="28" t="s">
        <v>85</v>
      </c>
      <c r="K483" s="28" t="s">
        <v>134</v>
      </c>
      <c r="L483" s="28" t="s">
        <v>134</v>
      </c>
      <c r="M483" s="28">
        <v>23807</v>
      </c>
      <c r="N483" s="29" t="s">
        <v>560</v>
      </c>
      <c r="O483" s="24">
        <f>VLOOKUP(A483,Hoja1!A:C,3,0)</f>
        <v>16</v>
      </c>
      <c r="P483" s="30" t="str">
        <f>VLOOKUP(M483,[1]TIPOLOGIAS!$A:$F,4,0)</f>
        <v>MONTERIA</v>
      </c>
      <c r="Q483" s="30" t="str">
        <f>VLOOKUP(P483,'BASE TARIFA 2025'!C:D,2,0)</f>
        <v>WOMPI COSTA</v>
      </c>
      <c r="R483" s="31">
        <f>VLOOKUP(P483,'BASE TARIFA 2025'!C:F,4,0)</f>
        <v>15709.5</v>
      </c>
    </row>
    <row r="484" spans="1:18" s="28" customFormat="1" ht="14.4" x14ac:dyDescent="0.3">
      <c r="A484" s="28">
        <v>22910</v>
      </c>
      <c r="B484" s="28" t="s">
        <v>2957</v>
      </c>
      <c r="C484" s="28">
        <v>20398498</v>
      </c>
      <c r="D484" s="28" t="s">
        <v>2958</v>
      </c>
      <c r="E484" s="28" t="s">
        <v>2958</v>
      </c>
      <c r="F484" s="28" t="s">
        <v>2958</v>
      </c>
      <c r="G484" s="28" t="s">
        <v>2959</v>
      </c>
      <c r="H484" s="28" t="s">
        <v>2960</v>
      </c>
      <c r="I484" s="28" t="s">
        <v>2961</v>
      </c>
      <c r="J484" s="28" t="s">
        <v>85</v>
      </c>
      <c r="K484" s="28" t="s">
        <v>134</v>
      </c>
      <c r="L484" s="28" t="s">
        <v>134</v>
      </c>
      <c r="M484" s="28">
        <v>23807</v>
      </c>
      <c r="N484" s="29" t="s">
        <v>560</v>
      </c>
      <c r="O484" s="24" t="e">
        <f>VLOOKUP(A484,Hoja1!A:C,3,0)</f>
        <v>#N/A</v>
      </c>
      <c r="P484" s="30" t="str">
        <f>VLOOKUP(M484,[1]TIPOLOGIAS!$A:$F,4,0)</f>
        <v>MONTERIA</v>
      </c>
      <c r="Q484" s="30" t="str">
        <f>VLOOKUP(P484,'BASE TARIFA 2025'!C:D,2,0)</f>
        <v>WOMPI COSTA</v>
      </c>
      <c r="R484" s="31">
        <f>VLOOKUP(P484,'BASE TARIFA 2025'!C:F,4,0)</f>
        <v>15709.5</v>
      </c>
    </row>
    <row r="485" spans="1:18" s="28" customFormat="1" ht="14.4" x14ac:dyDescent="0.3">
      <c r="A485" s="28">
        <v>43552</v>
      </c>
      <c r="B485" s="28" t="s">
        <v>2962</v>
      </c>
      <c r="C485" s="28">
        <v>11442555</v>
      </c>
      <c r="D485" s="28" t="s">
        <v>2963</v>
      </c>
      <c r="E485" s="28" t="s">
        <v>2963</v>
      </c>
      <c r="G485" s="28" t="s">
        <v>2964</v>
      </c>
      <c r="H485" s="28" t="s">
        <v>2965</v>
      </c>
      <c r="I485" s="28" t="s">
        <v>2966</v>
      </c>
      <c r="J485" s="28" t="s">
        <v>85</v>
      </c>
      <c r="K485" s="28" t="s">
        <v>134</v>
      </c>
      <c r="L485" s="28" t="s">
        <v>134</v>
      </c>
      <c r="M485" s="28">
        <v>23807</v>
      </c>
      <c r="N485" s="29" t="s">
        <v>560</v>
      </c>
      <c r="O485" s="24" t="e">
        <f>VLOOKUP(A485,Hoja1!A:C,3,0)</f>
        <v>#N/A</v>
      </c>
      <c r="P485" s="30" t="str">
        <f>VLOOKUP(M485,[1]TIPOLOGIAS!$A:$F,4,0)</f>
        <v>MONTERIA</v>
      </c>
      <c r="Q485" s="30" t="str">
        <f>VLOOKUP(P485,'BASE TARIFA 2025'!C:D,2,0)</f>
        <v>WOMPI COSTA</v>
      </c>
      <c r="R485" s="31">
        <f>VLOOKUP(P485,'BASE TARIFA 2025'!C:F,4,0)</f>
        <v>15709.5</v>
      </c>
    </row>
    <row r="486" spans="1:18" s="28" customFormat="1" ht="14.4" x14ac:dyDescent="0.3">
      <c r="A486" s="28">
        <v>32607</v>
      </c>
      <c r="B486" s="28" t="s">
        <v>2967</v>
      </c>
      <c r="C486" s="28">
        <v>80550629</v>
      </c>
      <c r="D486" s="28" t="s">
        <v>2968</v>
      </c>
      <c r="E486" s="28" t="s">
        <v>2968</v>
      </c>
      <c r="F486" s="28" t="s">
        <v>2968</v>
      </c>
      <c r="G486" s="28" t="s">
        <v>2969</v>
      </c>
      <c r="H486" s="28" t="s">
        <v>2970</v>
      </c>
      <c r="I486" s="28" t="s">
        <v>2971</v>
      </c>
      <c r="J486" s="28" t="s">
        <v>85</v>
      </c>
      <c r="K486" s="28" t="s">
        <v>134</v>
      </c>
      <c r="L486" s="28" t="s">
        <v>134</v>
      </c>
      <c r="M486" s="28">
        <v>23807</v>
      </c>
      <c r="N486" s="29" t="s">
        <v>560</v>
      </c>
      <c r="O486" s="24">
        <f>VLOOKUP(A486,Hoja1!A:C,3,0)</f>
        <v>8</v>
      </c>
      <c r="P486" s="30" t="str">
        <f>VLOOKUP(M486,[1]TIPOLOGIAS!$A:$F,4,0)</f>
        <v>MONTERIA</v>
      </c>
      <c r="Q486" s="30" t="str">
        <f>VLOOKUP(P486,'BASE TARIFA 2025'!C:D,2,0)</f>
        <v>WOMPI COSTA</v>
      </c>
      <c r="R486" s="31">
        <f>VLOOKUP(P486,'BASE TARIFA 2025'!C:F,4,0)</f>
        <v>15709.5</v>
      </c>
    </row>
    <row r="487" spans="1:18" s="28" customFormat="1" ht="14.4" x14ac:dyDescent="0.3">
      <c r="A487" s="28">
        <v>74258</v>
      </c>
      <c r="B487" s="28" t="s">
        <v>2972</v>
      </c>
      <c r="C487" s="28">
        <v>1076667973</v>
      </c>
      <c r="D487" s="28" t="s">
        <v>2973</v>
      </c>
      <c r="E487" s="28" t="s">
        <v>2974</v>
      </c>
      <c r="F487" s="28" t="s">
        <v>2974</v>
      </c>
      <c r="G487" s="28" t="s">
        <v>2975</v>
      </c>
      <c r="H487" s="28" t="s">
        <v>2976</v>
      </c>
      <c r="I487" s="28" t="s">
        <v>2977</v>
      </c>
      <c r="J487" s="28" t="s">
        <v>92</v>
      </c>
      <c r="K487" s="28" t="s">
        <v>157</v>
      </c>
      <c r="L487" s="28" t="s">
        <v>157</v>
      </c>
      <c r="M487" s="28">
        <v>54001</v>
      </c>
      <c r="N487" s="29" t="s">
        <v>638</v>
      </c>
      <c r="O487" s="24" t="e">
        <f>VLOOKUP(A487,Hoja1!A:C,3,0)</f>
        <v>#N/A</v>
      </c>
      <c r="P487" s="30" t="str">
        <f>VLOOKUP(M487,[1]TIPOLOGIAS!$A:$F,4,0)</f>
        <v>CUCUTA</v>
      </c>
      <c r="Q487" s="30" t="str">
        <f>VLOOKUP(P487,'BASE TARIFA 2025'!C:D,2,0)</f>
        <v>WOMPI SANTANDERES</v>
      </c>
      <c r="R487" s="31">
        <f>VLOOKUP(P487,'BASE TARIFA 2025'!C:F,4,0)</f>
        <v>28277.100000000002</v>
      </c>
    </row>
    <row r="488" spans="1:18" s="28" customFormat="1" ht="14.4" x14ac:dyDescent="0.3">
      <c r="A488" s="28">
        <v>11088</v>
      </c>
      <c r="B488" s="28" t="s">
        <v>2978</v>
      </c>
      <c r="C488" s="28">
        <v>46456606</v>
      </c>
      <c r="D488" s="28" t="s">
        <v>2979</v>
      </c>
      <c r="E488" s="28" t="s">
        <v>2979</v>
      </c>
      <c r="F488" s="28" t="s">
        <v>2979</v>
      </c>
      <c r="G488" s="28" t="s">
        <v>2980</v>
      </c>
      <c r="H488" s="28" t="s">
        <v>2981</v>
      </c>
      <c r="I488" s="28" t="s">
        <v>2982</v>
      </c>
      <c r="J488" s="28" t="s">
        <v>92</v>
      </c>
      <c r="K488" s="28" t="s">
        <v>157</v>
      </c>
      <c r="L488" s="28" t="s">
        <v>157</v>
      </c>
      <c r="M488" s="28">
        <v>54001</v>
      </c>
      <c r="N488" s="29" t="s">
        <v>744</v>
      </c>
      <c r="O488" s="24" t="e">
        <f>VLOOKUP(A488,Hoja1!A:C,3,0)</f>
        <v>#N/A</v>
      </c>
      <c r="P488" s="30" t="str">
        <f>VLOOKUP(M488,[1]TIPOLOGIAS!$A:$F,4,0)</f>
        <v>CUCUTA</v>
      </c>
      <c r="Q488" s="30" t="str">
        <f>VLOOKUP(P488,'BASE TARIFA 2025'!C:D,2,0)</f>
        <v>WOMPI SANTANDERES</v>
      </c>
      <c r="R488" s="31">
        <f>VLOOKUP(P488,'BASE TARIFA 2025'!C:F,4,0)</f>
        <v>28277.100000000002</v>
      </c>
    </row>
    <row r="489" spans="1:18" s="28" customFormat="1" ht="14.4" x14ac:dyDescent="0.3">
      <c r="A489" s="28">
        <v>48358</v>
      </c>
      <c r="B489" s="28" t="s">
        <v>2983</v>
      </c>
      <c r="C489" s="28">
        <v>901379238</v>
      </c>
      <c r="D489" s="28" t="s">
        <v>2984</v>
      </c>
      <c r="E489" s="28" t="s">
        <v>2985</v>
      </c>
      <c r="F489" s="28" t="s">
        <v>2984</v>
      </c>
      <c r="G489" s="28" t="s">
        <v>2986</v>
      </c>
      <c r="H489" s="28" t="s">
        <v>2987</v>
      </c>
      <c r="I489" s="28" t="s">
        <v>2988</v>
      </c>
      <c r="J489" s="28" t="s">
        <v>92</v>
      </c>
      <c r="K489" s="28" t="s">
        <v>157</v>
      </c>
      <c r="L489" s="28" t="s">
        <v>157</v>
      </c>
      <c r="M489" s="28">
        <v>54001</v>
      </c>
      <c r="N489" s="29" t="s">
        <v>638</v>
      </c>
      <c r="O489" s="24" t="e">
        <f>VLOOKUP(A489,Hoja1!A:C,3,0)</f>
        <v>#N/A</v>
      </c>
      <c r="P489" s="30" t="str">
        <f>VLOOKUP(M489,[1]TIPOLOGIAS!$A:$F,4,0)</f>
        <v>CUCUTA</v>
      </c>
      <c r="Q489" s="30" t="str">
        <f>VLOOKUP(P489,'BASE TARIFA 2025'!C:D,2,0)</f>
        <v>WOMPI SANTANDERES</v>
      </c>
      <c r="R489" s="31">
        <f>VLOOKUP(P489,'BASE TARIFA 2025'!C:F,4,0)</f>
        <v>28277.100000000002</v>
      </c>
    </row>
    <row r="490" spans="1:18" s="28" customFormat="1" ht="14.4" x14ac:dyDescent="0.3">
      <c r="A490" s="28">
        <v>50336</v>
      </c>
      <c r="B490" s="28" t="s">
        <v>2989</v>
      </c>
      <c r="C490" s="28">
        <v>74301286</v>
      </c>
      <c r="D490" s="28" t="s">
        <v>2931</v>
      </c>
      <c r="E490" s="28" t="s">
        <v>2931</v>
      </c>
      <c r="F490" s="28" t="s">
        <v>2931</v>
      </c>
      <c r="G490" s="28" t="s">
        <v>2990</v>
      </c>
      <c r="H490" s="28" t="s">
        <v>102</v>
      </c>
      <c r="I490" s="28" t="s">
        <v>2929</v>
      </c>
      <c r="J490" s="28" t="s">
        <v>73</v>
      </c>
      <c r="K490" s="28" t="s">
        <v>173</v>
      </c>
      <c r="L490" s="28" t="s">
        <v>173</v>
      </c>
      <c r="M490" s="28">
        <v>15759</v>
      </c>
      <c r="N490" s="29" t="s">
        <v>638</v>
      </c>
      <c r="O490" s="24" t="e">
        <f>VLOOKUP(A490,Hoja1!A:C,3,0)</f>
        <v>#N/A</v>
      </c>
      <c r="P490" s="30" t="str">
        <f>VLOOKUP(M490,[1]TIPOLOGIAS!$A:$F,4,0)</f>
        <v>TUNJA</v>
      </c>
      <c r="Q490" s="30" t="str">
        <f>VLOOKUP(P490,'BASE TARIFA 2025'!C:D,2,0)</f>
        <v>WOMPI SANTANDERES</v>
      </c>
      <c r="R490" s="31">
        <f>VLOOKUP(P490,'BASE TARIFA 2025'!C:F,4,0)</f>
        <v>28277.100000000002</v>
      </c>
    </row>
    <row r="491" spans="1:18" s="28" customFormat="1" ht="14.4" x14ac:dyDescent="0.3">
      <c r="A491" s="28">
        <v>53819</v>
      </c>
      <c r="B491" s="28" t="s">
        <v>2991</v>
      </c>
      <c r="C491" s="28">
        <v>74301286</v>
      </c>
      <c r="D491" s="28" t="s">
        <v>2992</v>
      </c>
      <c r="E491" s="28" t="s">
        <v>2993</v>
      </c>
      <c r="F491" s="28" t="s">
        <v>2994</v>
      </c>
      <c r="G491" s="28" t="s">
        <v>2995</v>
      </c>
      <c r="H491" s="28" t="s">
        <v>2996</v>
      </c>
      <c r="I491" s="28" t="s">
        <v>2997</v>
      </c>
      <c r="J491" s="28" t="s">
        <v>73</v>
      </c>
      <c r="K491" s="28" t="s">
        <v>173</v>
      </c>
      <c r="L491" s="28" t="s">
        <v>173</v>
      </c>
      <c r="M491" s="28">
        <v>15759</v>
      </c>
      <c r="N491" s="29" t="s">
        <v>996</v>
      </c>
      <c r="O491" s="24" t="e">
        <f>VLOOKUP(A491,Hoja1!A:C,3,0)</f>
        <v>#N/A</v>
      </c>
      <c r="P491" s="30" t="str">
        <f>VLOOKUP(M491,[1]TIPOLOGIAS!$A:$F,4,0)</f>
        <v>TUNJA</v>
      </c>
      <c r="Q491" s="30" t="str">
        <f>VLOOKUP(P491,'BASE TARIFA 2025'!C:D,2,0)</f>
        <v>WOMPI SANTANDERES</v>
      </c>
      <c r="R491" s="31">
        <f>VLOOKUP(P491,'BASE TARIFA 2025'!C:F,4,0)</f>
        <v>28277.100000000002</v>
      </c>
    </row>
    <row r="492" spans="1:18" s="28" customFormat="1" ht="14.4" x14ac:dyDescent="0.3">
      <c r="A492" s="28">
        <v>74576</v>
      </c>
      <c r="B492" s="28" t="s">
        <v>2998</v>
      </c>
      <c r="C492" s="28">
        <v>1052400758</v>
      </c>
      <c r="D492" s="28" t="s">
        <v>2999</v>
      </c>
      <c r="E492" s="28" t="s">
        <v>3000</v>
      </c>
      <c r="F492" s="28" t="s">
        <v>3000</v>
      </c>
      <c r="G492" s="28" t="s">
        <v>3001</v>
      </c>
      <c r="H492" s="28" t="s">
        <v>3002</v>
      </c>
      <c r="I492" s="28" t="s">
        <v>178</v>
      </c>
      <c r="J492" s="28" t="s">
        <v>73</v>
      </c>
      <c r="K492" s="28" t="s">
        <v>173</v>
      </c>
      <c r="L492" s="28" t="s">
        <v>173</v>
      </c>
      <c r="M492" s="28">
        <v>15759</v>
      </c>
      <c r="N492" s="29" t="s">
        <v>589</v>
      </c>
      <c r="O492" s="24" t="e">
        <f>VLOOKUP(A492,Hoja1!A:C,3,0)</f>
        <v>#N/A</v>
      </c>
      <c r="P492" s="30" t="str">
        <f>VLOOKUP(M492,[1]TIPOLOGIAS!$A:$F,4,0)</f>
        <v>TUNJA</v>
      </c>
      <c r="Q492" s="30" t="str">
        <f>VLOOKUP(P492,'BASE TARIFA 2025'!C:D,2,0)</f>
        <v>WOMPI SANTANDERES</v>
      </c>
      <c r="R492" s="31">
        <f>VLOOKUP(P492,'BASE TARIFA 2025'!C:F,4,0)</f>
        <v>28277.100000000002</v>
      </c>
    </row>
    <row r="493" spans="1:18" s="28" customFormat="1" ht="14.4" x14ac:dyDescent="0.3">
      <c r="A493" s="28">
        <v>72679</v>
      </c>
      <c r="B493" s="28" t="s">
        <v>3003</v>
      </c>
      <c r="C493" s="28">
        <v>1026254765</v>
      </c>
      <c r="D493" s="28" t="s">
        <v>3004</v>
      </c>
      <c r="E493" s="28" t="s">
        <v>3005</v>
      </c>
      <c r="F493" s="28" t="s">
        <v>3005</v>
      </c>
      <c r="G493" s="28" t="s">
        <v>3006</v>
      </c>
      <c r="H493" s="28" t="s">
        <v>3007</v>
      </c>
      <c r="I493" s="28" t="s">
        <v>179</v>
      </c>
      <c r="J493" s="28" t="s">
        <v>73</v>
      </c>
      <c r="K493" s="28" t="s">
        <v>173</v>
      </c>
      <c r="L493" s="28" t="s">
        <v>173</v>
      </c>
      <c r="M493" s="28">
        <v>15759</v>
      </c>
      <c r="N493" s="29" t="s">
        <v>589</v>
      </c>
      <c r="O493" s="24" t="e">
        <f>VLOOKUP(A493,Hoja1!A:C,3,0)</f>
        <v>#N/A</v>
      </c>
      <c r="P493" s="30" t="str">
        <f>VLOOKUP(M493,[1]TIPOLOGIAS!$A:$F,4,0)</f>
        <v>TUNJA</v>
      </c>
      <c r="Q493" s="30" t="str">
        <f>VLOOKUP(P493,'BASE TARIFA 2025'!C:D,2,0)</f>
        <v>WOMPI SANTANDERES</v>
      </c>
      <c r="R493" s="31">
        <f>VLOOKUP(P493,'BASE TARIFA 2025'!C:F,4,0)</f>
        <v>28277.100000000002</v>
      </c>
    </row>
    <row r="494" spans="1:18" s="28" customFormat="1" ht="14.4" x14ac:dyDescent="0.3">
      <c r="A494" s="28">
        <v>78814</v>
      </c>
      <c r="B494" s="28" t="s">
        <v>321</v>
      </c>
      <c r="C494" s="28">
        <v>24124969</v>
      </c>
      <c r="D494" s="28" t="s">
        <v>3008</v>
      </c>
      <c r="E494" s="28" t="s">
        <v>174</v>
      </c>
      <c r="F494" s="28" t="s">
        <v>174</v>
      </c>
      <c r="G494" s="28" t="s">
        <v>3009</v>
      </c>
      <c r="H494" s="28" t="s">
        <v>3010</v>
      </c>
      <c r="I494" s="28" t="s">
        <v>3011</v>
      </c>
      <c r="J494" s="28" t="s">
        <v>73</v>
      </c>
      <c r="K494" s="28" t="s">
        <v>173</v>
      </c>
      <c r="L494" s="28" t="s">
        <v>173</v>
      </c>
      <c r="M494" s="28">
        <v>15759</v>
      </c>
      <c r="N494" s="29" t="s">
        <v>638</v>
      </c>
      <c r="O494" s="24">
        <f>VLOOKUP(A494,Hoja1!A:C,3,0)</f>
        <v>8</v>
      </c>
      <c r="P494" s="30" t="str">
        <f>VLOOKUP(M494,[1]TIPOLOGIAS!$A:$F,4,0)</f>
        <v>TUNJA</v>
      </c>
      <c r="Q494" s="30" t="str">
        <f>VLOOKUP(P494,'BASE TARIFA 2025'!C:D,2,0)</f>
        <v>WOMPI SANTANDERES</v>
      </c>
      <c r="R494" s="31">
        <f>VLOOKUP(P494,'BASE TARIFA 2025'!C:F,4,0)</f>
        <v>28277.100000000002</v>
      </c>
    </row>
    <row r="495" spans="1:18" s="28" customFormat="1" ht="14.4" x14ac:dyDescent="0.3">
      <c r="A495" s="28">
        <v>53962</v>
      </c>
      <c r="B495" s="28" t="s">
        <v>3012</v>
      </c>
      <c r="C495" s="28">
        <v>74326787</v>
      </c>
      <c r="D495" s="28" t="s">
        <v>3013</v>
      </c>
      <c r="E495" s="28" t="s">
        <v>237</v>
      </c>
      <c r="F495" s="28" t="s">
        <v>237</v>
      </c>
      <c r="G495" s="28" t="s">
        <v>238</v>
      </c>
      <c r="H495" s="28" t="s">
        <v>239</v>
      </c>
      <c r="I495" s="28" t="s">
        <v>240</v>
      </c>
      <c r="J495" s="28" t="s">
        <v>73</v>
      </c>
      <c r="K495" s="28" t="s">
        <v>241</v>
      </c>
      <c r="L495" s="28" t="s">
        <v>241</v>
      </c>
      <c r="M495" s="28">
        <v>15764</v>
      </c>
      <c r="N495" s="29" t="s">
        <v>744</v>
      </c>
      <c r="O495" s="24" t="e">
        <f>VLOOKUP(A495,Hoja1!A:C,3,0)</f>
        <v>#N/A</v>
      </c>
      <c r="P495" s="30" t="str">
        <f>VLOOKUP(M495,[1]TIPOLOGIAS!$A:$F,4,0)</f>
        <v>TUNJA</v>
      </c>
      <c r="Q495" s="30" t="str">
        <f>VLOOKUP(P495,'BASE TARIFA 2025'!C:D,2,0)</f>
        <v>WOMPI SANTANDERES</v>
      </c>
      <c r="R495" s="31">
        <f>VLOOKUP(P495,'BASE TARIFA 2025'!C:F,4,0)</f>
        <v>28277.100000000002</v>
      </c>
    </row>
    <row r="496" spans="1:18" s="28" customFormat="1" ht="14.4" x14ac:dyDescent="0.3">
      <c r="A496" s="28">
        <v>55441</v>
      </c>
      <c r="B496" s="28" t="s">
        <v>3014</v>
      </c>
      <c r="C496" s="28">
        <v>74301286</v>
      </c>
      <c r="D496" s="28" t="s">
        <v>3015</v>
      </c>
      <c r="E496" s="28" t="s">
        <v>3016</v>
      </c>
      <c r="F496" s="28" t="s">
        <v>3015</v>
      </c>
      <c r="G496" s="28" t="s">
        <v>3017</v>
      </c>
      <c r="H496" s="28" t="s">
        <v>3018</v>
      </c>
      <c r="I496" s="28" t="s">
        <v>3019</v>
      </c>
      <c r="J496" s="28" t="s">
        <v>85</v>
      </c>
      <c r="K496" s="28" t="s">
        <v>134</v>
      </c>
      <c r="L496" s="28" t="s">
        <v>134</v>
      </c>
      <c r="M496" s="28">
        <v>23807</v>
      </c>
      <c r="N496" s="29" t="s">
        <v>560</v>
      </c>
      <c r="O496" s="24" t="e">
        <f>VLOOKUP(A496,Hoja1!A:C,3,0)</f>
        <v>#N/A</v>
      </c>
      <c r="P496" s="30" t="str">
        <f>VLOOKUP(M496,[1]TIPOLOGIAS!$A:$F,4,0)</f>
        <v>MONTERIA</v>
      </c>
      <c r="Q496" s="30" t="str">
        <f>VLOOKUP(P496,'BASE TARIFA 2025'!C:D,2,0)</f>
        <v>WOMPI COSTA</v>
      </c>
      <c r="R496" s="31">
        <f>VLOOKUP(P496,'BASE TARIFA 2025'!C:F,4,0)</f>
        <v>15709.5</v>
      </c>
    </row>
    <row r="497" spans="1:18" s="28" customFormat="1" ht="14.4" x14ac:dyDescent="0.3">
      <c r="A497" s="28">
        <v>72255</v>
      </c>
      <c r="B497" s="28" t="s">
        <v>3020</v>
      </c>
      <c r="C497" s="28">
        <v>901123631</v>
      </c>
      <c r="D497" s="28" t="s">
        <v>3021</v>
      </c>
      <c r="E497" s="28" t="s">
        <v>3021</v>
      </c>
      <c r="F497" s="28" t="s">
        <v>3021</v>
      </c>
      <c r="G497" s="28" t="s">
        <v>3022</v>
      </c>
      <c r="H497" s="28" t="s">
        <v>3023</v>
      </c>
      <c r="I497" s="28" t="s">
        <v>3024</v>
      </c>
      <c r="J497" s="28" t="s">
        <v>70</v>
      </c>
      <c r="K497" s="28" t="s">
        <v>135</v>
      </c>
      <c r="L497" s="28" t="s">
        <v>135</v>
      </c>
      <c r="M497" s="28">
        <v>25473</v>
      </c>
      <c r="N497" s="29" t="s">
        <v>716</v>
      </c>
      <c r="O497" s="24" t="e">
        <f>VLOOKUP(A497,Hoja1!A:C,3,0)</f>
        <v>#N/A</v>
      </c>
      <c r="P497" s="30" t="str">
        <f>VLOOKUP(M497,[1]TIPOLOGIAS!$A:$F,4,0)</f>
        <v>BOGOTA</v>
      </c>
      <c r="Q497" s="30" t="str">
        <f>VLOOKUP(P497,'BASE TARIFA 2025'!C:D,2,0)</f>
        <v>WOMPI CENTRO</v>
      </c>
      <c r="R497" s="31">
        <f>VLOOKUP(P497,'BASE TARIFA 2025'!C:F,4,0)</f>
        <v>15709.5</v>
      </c>
    </row>
    <row r="498" spans="1:18" s="28" customFormat="1" ht="14.4" x14ac:dyDescent="0.3">
      <c r="A498" s="28">
        <v>80380</v>
      </c>
      <c r="B498" s="28" t="s">
        <v>3025</v>
      </c>
      <c r="C498" s="28">
        <v>30334379</v>
      </c>
      <c r="D498" s="28" t="s">
        <v>69</v>
      </c>
      <c r="E498" s="28" t="s">
        <v>3026</v>
      </c>
      <c r="F498" s="28" t="s">
        <v>3026</v>
      </c>
      <c r="G498" s="28" t="s">
        <v>3027</v>
      </c>
      <c r="H498" s="28" t="s">
        <v>3028</v>
      </c>
      <c r="I498" s="28" t="s">
        <v>3029</v>
      </c>
      <c r="J498" s="28" t="s">
        <v>70</v>
      </c>
      <c r="K498" s="28" t="s">
        <v>135</v>
      </c>
      <c r="L498" s="28" t="s">
        <v>135</v>
      </c>
      <c r="M498" s="28">
        <v>25473</v>
      </c>
      <c r="N498" s="29" t="s">
        <v>655</v>
      </c>
      <c r="O498" s="24">
        <f>VLOOKUP(A498,Hoja1!A:C,3,0)</f>
        <v>8</v>
      </c>
      <c r="P498" s="30" t="str">
        <f>VLOOKUP(M498,[1]TIPOLOGIAS!$A:$F,4,0)</f>
        <v>BOGOTA</v>
      </c>
      <c r="Q498" s="30" t="str">
        <f>VLOOKUP(P498,'BASE TARIFA 2025'!C:D,2,0)</f>
        <v>WOMPI CENTRO</v>
      </c>
      <c r="R498" s="31">
        <f>VLOOKUP(P498,'BASE TARIFA 2025'!C:F,4,0)</f>
        <v>15709.5</v>
      </c>
    </row>
    <row r="499" spans="1:18" s="28" customFormat="1" ht="14.4" x14ac:dyDescent="0.3">
      <c r="A499" s="28">
        <v>73808</v>
      </c>
      <c r="B499" s="28" t="s">
        <v>3030</v>
      </c>
      <c r="C499" s="28">
        <v>34000628</v>
      </c>
      <c r="D499" s="28" t="s">
        <v>246</v>
      </c>
      <c r="E499" s="28" t="s">
        <v>246</v>
      </c>
      <c r="F499" s="28" t="s">
        <v>246</v>
      </c>
      <c r="G499" s="28" t="s">
        <v>247</v>
      </c>
      <c r="H499" s="28" t="s">
        <v>248</v>
      </c>
      <c r="I499" s="28" t="s">
        <v>249</v>
      </c>
      <c r="J499" s="28" t="s">
        <v>70</v>
      </c>
      <c r="K499" s="28" t="s">
        <v>135</v>
      </c>
      <c r="L499" s="28" t="s">
        <v>135</v>
      </c>
      <c r="M499" s="28">
        <v>25473</v>
      </c>
      <c r="N499" s="29" t="s">
        <v>589</v>
      </c>
      <c r="O499" s="24">
        <f>VLOOKUP(A499,Hoja1!A:C,3,0)</f>
        <v>8</v>
      </c>
      <c r="P499" s="30" t="str">
        <f>VLOOKUP(M499,[1]TIPOLOGIAS!$A:$F,4,0)</f>
        <v>BOGOTA</v>
      </c>
      <c r="Q499" s="30" t="str">
        <f>VLOOKUP(P499,'BASE TARIFA 2025'!C:D,2,0)</f>
        <v>WOMPI CENTRO</v>
      </c>
      <c r="R499" s="31">
        <f>VLOOKUP(P499,'BASE TARIFA 2025'!C:F,4,0)</f>
        <v>15709.5</v>
      </c>
    </row>
    <row r="500" spans="1:18" s="28" customFormat="1" ht="14.4" x14ac:dyDescent="0.3">
      <c r="A500" s="28">
        <v>64755</v>
      </c>
      <c r="B500" s="28" t="s">
        <v>3031</v>
      </c>
      <c r="C500" s="28">
        <v>1053810080</v>
      </c>
      <c r="D500" s="28" t="s">
        <v>3032</v>
      </c>
      <c r="E500" s="28" t="s">
        <v>3032</v>
      </c>
      <c r="F500" s="28" t="s">
        <v>3032</v>
      </c>
      <c r="G500" s="28" t="s">
        <v>3033</v>
      </c>
      <c r="H500" s="28" t="s">
        <v>3034</v>
      </c>
      <c r="I500" s="28" t="s">
        <v>3035</v>
      </c>
      <c r="J500" s="28" t="s">
        <v>70</v>
      </c>
      <c r="K500" s="28" t="s">
        <v>135</v>
      </c>
      <c r="L500" s="28" t="s">
        <v>135</v>
      </c>
      <c r="M500" s="28">
        <v>25473</v>
      </c>
      <c r="N500" s="29" t="s">
        <v>744</v>
      </c>
      <c r="O500" s="24">
        <f>VLOOKUP(A500,Hoja1!A:C,3,0)</f>
        <v>16</v>
      </c>
      <c r="P500" s="30" t="str">
        <f>VLOOKUP(M500,[1]TIPOLOGIAS!$A:$F,4,0)</f>
        <v>BOGOTA</v>
      </c>
      <c r="Q500" s="30" t="str">
        <f>VLOOKUP(P500,'BASE TARIFA 2025'!C:D,2,0)</f>
        <v>WOMPI CENTRO</v>
      </c>
      <c r="R500" s="31">
        <f>VLOOKUP(P500,'BASE TARIFA 2025'!C:F,4,0)</f>
        <v>15709.5</v>
      </c>
    </row>
    <row r="501" spans="1:18" s="28" customFormat="1" ht="14.4" x14ac:dyDescent="0.3">
      <c r="A501" s="28">
        <v>67736</v>
      </c>
      <c r="B501" s="28" t="s">
        <v>3036</v>
      </c>
      <c r="C501" s="28">
        <v>1053813691</v>
      </c>
      <c r="D501" s="28" t="s">
        <v>3037</v>
      </c>
      <c r="E501" s="28" t="s">
        <v>3037</v>
      </c>
      <c r="F501" s="28" t="s">
        <v>3037</v>
      </c>
      <c r="G501" s="28" t="s">
        <v>3038</v>
      </c>
      <c r="H501" s="28" t="s">
        <v>3039</v>
      </c>
      <c r="I501" s="28" t="s">
        <v>3040</v>
      </c>
      <c r="J501" s="28" t="s">
        <v>70</v>
      </c>
      <c r="K501" s="28" t="s">
        <v>135</v>
      </c>
      <c r="L501" s="28" t="s">
        <v>135</v>
      </c>
      <c r="M501" s="28">
        <v>25473</v>
      </c>
      <c r="N501" s="29" t="s">
        <v>553</v>
      </c>
      <c r="O501" s="24">
        <f>VLOOKUP(A501,Hoja1!A:C,3,0)</f>
        <v>8</v>
      </c>
      <c r="P501" s="30" t="str">
        <f>VLOOKUP(M501,[1]TIPOLOGIAS!$A:$F,4,0)</f>
        <v>BOGOTA</v>
      </c>
      <c r="Q501" s="30" t="str">
        <f>VLOOKUP(P501,'BASE TARIFA 2025'!C:D,2,0)</f>
        <v>WOMPI CENTRO</v>
      </c>
      <c r="R501" s="31">
        <f>VLOOKUP(P501,'BASE TARIFA 2025'!C:F,4,0)</f>
        <v>15709.5</v>
      </c>
    </row>
    <row r="502" spans="1:18" s="28" customFormat="1" ht="14.4" x14ac:dyDescent="0.3">
      <c r="A502" s="28">
        <v>51031</v>
      </c>
      <c r="B502" s="28" t="s">
        <v>3041</v>
      </c>
      <c r="C502" s="28">
        <v>75084799</v>
      </c>
      <c r="D502" s="28" t="s">
        <v>3042</v>
      </c>
      <c r="E502" s="28" t="s">
        <v>3042</v>
      </c>
      <c r="F502" s="28" t="s">
        <v>3042</v>
      </c>
      <c r="G502" s="28" t="s">
        <v>3043</v>
      </c>
      <c r="H502" s="28" t="s">
        <v>3044</v>
      </c>
      <c r="I502" s="28" t="s">
        <v>3045</v>
      </c>
      <c r="J502" s="28" t="s">
        <v>70</v>
      </c>
      <c r="K502" s="28" t="s">
        <v>135</v>
      </c>
      <c r="L502" s="28" t="s">
        <v>135</v>
      </c>
      <c r="M502" s="28">
        <v>25473</v>
      </c>
      <c r="N502" s="29" t="s">
        <v>744</v>
      </c>
      <c r="O502" s="24">
        <f>VLOOKUP(A502,Hoja1!A:C,3,0)</f>
        <v>16</v>
      </c>
      <c r="P502" s="30" t="str">
        <f>VLOOKUP(M502,[1]TIPOLOGIAS!$A:$F,4,0)</f>
        <v>BOGOTA</v>
      </c>
      <c r="Q502" s="30" t="str">
        <f>VLOOKUP(P502,'BASE TARIFA 2025'!C:D,2,0)</f>
        <v>WOMPI CENTRO</v>
      </c>
      <c r="R502" s="31">
        <f>VLOOKUP(P502,'BASE TARIFA 2025'!C:F,4,0)</f>
        <v>15709.5</v>
      </c>
    </row>
    <row r="503" spans="1:18" s="28" customFormat="1" ht="14.4" x14ac:dyDescent="0.3">
      <c r="A503" s="28">
        <v>46202</v>
      </c>
      <c r="B503" s="28" t="s">
        <v>3046</v>
      </c>
      <c r="C503" s="28">
        <v>1019021882</v>
      </c>
      <c r="D503" s="28" t="s">
        <v>3047</v>
      </c>
      <c r="E503" s="28" t="s">
        <v>3047</v>
      </c>
      <c r="F503" s="28" t="s">
        <v>3047</v>
      </c>
      <c r="G503" s="28" t="s">
        <v>3048</v>
      </c>
      <c r="H503" s="28" t="s">
        <v>3049</v>
      </c>
      <c r="I503" s="28" t="s">
        <v>3050</v>
      </c>
      <c r="J503" s="28" t="s">
        <v>92</v>
      </c>
      <c r="K503" s="28" t="s">
        <v>157</v>
      </c>
      <c r="L503" s="28" t="s">
        <v>157</v>
      </c>
      <c r="M503" s="28">
        <v>54001</v>
      </c>
      <c r="N503" s="29" t="s">
        <v>589</v>
      </c>
      <c r="O503" s="24">
        <f>VLOOKUP(A503,Hoja1!A:C,3,0)</f>
        <v>8</v>
      </c>
      <c r="P503" s="30" t="str">
        <f>VLOOKUP(M503,[1]TIPOLOGIAS!$A:$F,4,0)</f>
        <v>CUCUTA</v>
      </c>
      <c r="Q503" s="30" t="str">
        <f>VLOOKUP(P503,'BASE TARIFA 2025'!C:D,2,0)</f>
        <v>WOMPI SANTANDERES</v>
      </c>
      <c r="R503" s="31">
        <f>VLOOKUP(P503,'BASE TARIFA 2025'!C:F,4,0)</f>
        <v>28277.100000000002</v>
      </c>
    </row>
    <row r="504" spans="1:18" s="28" customFormat="1" ht="14.4" x14ac:dyDescent="0.3">
      <c r="A504" s="28">
        <v>36361</v>
      </c>
      <c r="B504" s="28" t="s">
        <v>3051</v>
      </c>
      <c r="C504" s="28">
        <v>75088769</v>
      </c>
      <c r="D504" s="28" t="s">
        <v>3052</v>
      </c>
      <c r="E504" s="28" t="s">
        <v>3052</v>
      </c>
      <c r="F504" s="28" t="s">
        <v>3052</v>
      </c>
      <c r="G504" s="28" t="s">
        <v>3053</v>
      </c>
      <c r="H504" s="28" t="s">
        <v>3054</v>
      </c>
      <c r="I504" s="28" t="s">
        <v>3055</v>
      </c>
      <c r="J504" s="28" t="s">
        <v>92</v>
      </c>
      <c r="K504" s="28" t="s">
        <v>157</v>
      </c>
      <c r="L504" s="28" t="s">
        <v>157</v>
      </c>
      <c r="M504" s="28">
        <v>54001</v>
      </c>
      <c r="N504" s="29" t="s">
        <v>589</v>
      </c>
      <c r="O504" s="24">
        <f>VLOOKUP(A504,Hoja1!A:C,3,0)</f>
        <v>8</v>
      </c>
      <c r="P504" s="30" t="str">
        <f>VLOOKUP(M504,[1]TIPOLOGIAS!$A:$F,4,0)</f>
        <v>CUCUTA</v>
      </c>
      <c r="Q504" s="30" t="str">
        <f>VLOOKUP(P504,'BASE TARIFA 2025'!C:D,2,0)</f>
        <v>WOMPI SANTANDERES</v>
      </c>
      <c r="R504" s="31">
        <f>VLOOKUP(P504,'BASE TARIFA 2025'!C:F,4,0)</f>
        <v>28277.100000000002</v>
      </c>
    </row>
    <row r="505" spans="1:18" s="28" customFormat="1" ht="14.4" x14ac:dyDescent="0.3">
      <c r="A505" s="28">
        <v>36667</v>
      </c>
      <c r="B505" s="28" t="s">
        <v>3056</v>
      </c>
      <c r="C505" s="28">
        <v>75088769</v>
      </c>
      <c r="D505" s="28" t="s">
        <v>3057</v>
      </c>
      <c r="E505" s="28" t="s">
        <v>3057</v>
      </c>
      <c r="F505" s="28" t="s">
        <v>3057</v>
      </c>
      <c r="G505" s="28" t="s">
        <v>3058</v>
      </c>
      <c r="H505" s="28" t="s">
        <v>3059</v>
      </c>
      <c r="I505" s="28" t="s">
        <v>3060</v>
      </c>
      <c r="J505" s="28" t="s">
        <v>92</v>
      </c>
      <c r="K505" s="28" t="s">
        <v>157</v>
      </c>
      <c r="L505" s="28" t="s">
        <v>157</v>
      </c>
      <c r="M505" s="28">
        <v>54001</v>
      </c>
      <c r="N505" s="29" t="s">
        <v>589</v>
      </c>
      <c r="O505" s="24">
        <f>VLOOKUP(A505,Hoja1!A:C,3,0)</f>
        <v>8</v>
      </c>
      <c r="P505" s="30" t="str">
        <f>VLOOKUP(M505,[1]TIPOLOGIAS!$A:$F,4,0)</f>
        <v>CUCUTA</v>
      </c>
      <c r="Q505" s="30" t="str">
        <f>VLOOKUP(P505,'BASE TARIFA 2025'!C:D,2,0)</f>
        <v>WOMPI SANTANDERES</v>
      </c>
      <c r="R505" s="31">
        <f>VLOOKUP(P505,'BASE TARIFA 2025'!C:F,4,0)</f>
        <v>28277.100000000002</v>
      </c>
    </row>
    <row r="506" spans="1:18" s="28" customFormat="1" ht="14.4" x14ac:dyDescent="0.3">
      <c r="A506" s="28">
        <v>25757</v>
      </c>
      <c r="B506" s="28" t="s">
        <v>3061</v>
      </c>
      <c r="C506" s="28">
        <v>25158336</v>
      </c>
      <c r="D506" s="28" t="s">
        <v>3062</v>
      </c>
      <c r="E506" s="28" t="s">
        <v>3063</v>
      </c>
      <c r="F506" s="28" t="s">
        <v>3063</v>
      </c>
      <c r="G506" s="28" t="s">
        <v>3064</v>
      </c>
      <c r="H506" s="28" t="s">
        <v>3065</v>
      </c>
      <c r="I506" s="28" t="s">
        <v>3066</v>
      </c>
      <c r="J506" s="28" t="s">
        <v>92</v>
      </c>
      <c r="K506" s="28" t="s">
        <v>157</v>
      </c>
      <c r="L506" s="28" t="s">
        <v>157</v>
      </c>
      <c r="M506" s="28">
        <v>54001</v>
      </c>
      <c r="N506" s="29" t="s">
        <v>756</v>
      </c>
      <c r="O506" s="24">
        <f>VLOOKUP(A506,Hoja1!A:C,3,0)</f>
        <v>16</v>
      </c>
      <c r="P506" s="30" t="str">
        <f>VLOOKUP(M506,[1]TIPOLOGIAS!$A:$F,4,0)</f>
        <v>CUCUTA</v>
      </c>
      <c r="Q506" s="30" t="str">
        <f>VLOOKUP(P506,'BASE TARIFA 2025'!C:D,2,0)</f>
        <v>WOMPI SANTANDERES</v>
      </c>
      <c r="R506" s="31">
        <f>VLOOKUP(P506,'BASE TARIFA 2025'!C:F,4,0)</f>
        <v>28277.100000000002</v>
      </c>
    </row>
    <row r="507" spans="1:18" s="28" customFormat="1" ht="14.4" x14ac:dyDescent="0.3">
      <c r="A507" s="28">
        <v>15094</v>
      </c>
      <c r="B507" s="28" t="s">
        <v>3067</v>
      </c>
      <c r="C507" s="28">
        <v>15987417</v>
      </c>
      <c r="D507" s="28" t="s">
        <v>3068</v>
      </c>
      <c r="E507" s="28" t="s">
        <v>3068</v>
      </c>
      <c r="F507" s="28" t="s">
        <v>3069</v>
      </c>
      <c r="G507" s="28" t="s">
        <v>3070</v>
      </c>
      <c r="H507" s="28" t="s">
        <v>3071</v>
      </c>
      <c r="I507" s="28" t="s">
        <v>3072</v>
      </c>
      <c r="J507" s="28" t="s">
        <v>92</v>
      </c>
      <c r="K507" s="28" t="s">
        <v>157</v>
      </c>
      <c r="L507" s="28" t="s">
        <v>157</v>
      </c>
      <c r="M507" s="28">
        <v>54001</v>
      </c>
      <c r="N507" s="29" t="s">
        <v>744</v>
      </c>
      <c r="O507" s="24">
        <f>VLOOKUP(A507,Hoja1!A:C,3,0)</f>
        <v>16</v>
      </c>
      <c r="P507" s="30" t="str">
        <f>VLOOKUP(M507,[1]TIPOLOGIAS!$A:$F,4,0)</f>
        <v>CUCUTA</v>
      </c>
      <c r="Q507" s="30" t="str">
        <f>VLOOKUP(P507,'BASE TARIFA 2025'!C:D,2,0)</f>
        <v>WOMPI SANTANDERES</v>
      </c>
      <c r="R507" s="31">
        <f>VLOOKUP(P507,'BASE TARIFA 2025'!C:F,4,0)</f>
        <v>28277.100000000002</v>
      </c>
    </row>
    <row r="508" spans="1:18" s="28" customFormat="1" ht="14.4" x14ac:dyDescent="0.3">
      <c r="A508" s="28">
        <v>15643</v>
      </c>
      <c r="B508" s="28" t="s">
        <v>3073</v>
      </c>
      <c r="C508" s="28">
        <v>10260031</v>
      </c>
      <c r="D508" s="28" t="s">
        <v>3074</v>
      </c>
      <c r="E508" s="28" t="s">
        <v>3074</v>
      </c>
      <c r="F508" s="28" t="s">
        <v>3074</v>
      </c>
      <c r="G508" s="28" t="s">
        <v>3075</v>
      </c>
      <c r="H508" s="28" t="s">
        <v>3076</v>
      </c>
      <c r="I508" s="28" t="s">
        <v>3077</v>
      </c>
      <c r="J508" s="28" t="s">
        <v>92</v>
      </c>
      <c r="K508" s="28" t="s">
        <v>157</v>
      </c>
      <c r="L508" s="28" t="s">
        <v>157</v>
      </c>
      <c r="M508" s="28">
        <v>54001</v>
      </c>
      <c r="N508" s="29" t="s">
        <v>589</v>
      </c>
      <c r="O508" s="24">
        <f>VLOOKUP(A508,Hoja1!A:C,3,0)</f>
        <v>16</v>
      </c>
      <c r="P508" s="30" t="str">
        <f>VLOOKUP(M508,[1]TIPOLOGIAS!$A:$F,4,0)</f>
        <v>CUCUTA</v>
      </c>
      <c r="Q508" s="30" t="str">
        <f>VLOOKUP(P508,'BASE TARIFA 2025'!C:D,2,0)</f>
        <v>WOMPI SANTANDERES</v>
      </c>
      <c r="R508" s="31">
        <f>VLOOKUP(P508,'BASE TARIFA 2025'!C:F,4,0)</f>
        <v>28277.100000000002</v>
      </c>
    </row>
    <row r="509" spans="1:18" s="28" customFormat="1" ht="14.4" x14ac:dyDescent="0.3">
      <c r="A509" s="28">
        <v>79134</v>
      </c>
      <c r="B509" s="28" t="s">
        <v>3078</v>
      </c>
      <c r="C509" s="28">
        <v>1110485794</v>
      </c>
      <c r="D509" s="28" t="s">
        <v>3079</v>
      </c>
      <c r="E509" s="28" t="s">
        <v>3079</v>
      </c>
      <c r="F509" s="28" t="s">
        <v>3079</v>
      </c>
      <c r="G509" s="28" t="s">
        <v>3080</v>
      </c>
      <c r="H509" s="28" t="s">
        <v>3081</v>
      </c>
      <c r="I509" s="28" t="s">
        <v>3082</v>
      </c>
      <c r="J509" s="28" t="s">
        <v>92</v>
      </c>
      <c r="K509" s="28" t="s">
        <v>157</v>
      </c>
      <c r="L509" s="28" t="s">
        <v>157</v>
      </c>
      <c r="M509" s="28">
        <v>54001</v>
      </c>
      <c r="N509" s="29" t="s">
        <v>655</v>
      </c>
      <c r="O509" s="24" t="e">
        <f>VLOOKUP(A509,Hoja1!A:C,3,0)</f>
        <v>#N/A</v>
      </c>
      <c r="P509" s="30" t="str">
        <f>VLOOKUP(M509,[1]TIPOLOGIAS!$A:$F,4,0)</f>
        <v>CUCUTA</v>
      </c>
      <c r="Q509" s="30" t="str">
        <f>VLOOKUP(P509,'BASE TARIFA 2025'!C:D,2,0)</f>
        <v>WOMPI SANTANDERES</v>
      </c>
      <c r="R509" s="31">
        <f>VLOOKUP(P509,'BASE TARIFA 2025'!C:F,4,0)</f>
        <v>28277.100000000002</v>
      </c>
    </row>
    <row r="510" spans="1:18" s="28" customFormat="1" ht="14.4" x14ac:dyDescent="0.3">
      <c r="A510" s="28">
        <v>79132</v>
      </c>
      <c r="B510" s="28" t="s">
        <v>3083</v>
      </c>
      <c r="C510" s="28">
        <v>1083928675</v>
      </c>
      <c r="D510" s="28" t="s">
        <v>3084</v>
      </c>
      <c r="E510" s="28" t="s">
        <v>3084</v>
      </c>
      <c r="F510" s="28" t="s">
        <v>3085</v>
      </c>
      <c r="G510" s="28" t="s">
        <v>3086</v>
      </c>
      <c r="H510" s="28" t="s">
        <v>3087</v>
      </c>
      <c r="I510" s="28" t="s">
        <v>3088</v>
      </c>
      <c r="J510" s="28" t="s">
        <v>92</v>
      </c>
      <c r="K510" s="28" t="s">
        <v>157</v>
      </c>
      <c r="L510" s="28" t="s">
        <v>157</v>
      </c>
      <c r="M510" s="28">
        <v>54001</v>
      </c>
      <c r="N510" s="29" t="s">
        <v>744</v>
      </c>
      <c r="O510" s="24" t="e">
        <f>VLOOKUP(A510,Hoja1!A:C,3,0)</f>
        <v>#N/A</v>
      </c>
      <c r="P510" s="30" t="str">
        <f>VLOOKUP(M510,[1]TIPOLOGIAS!$A:$F,4,0)</f>
        <v>CUCUTA</v>
      </c>
      <c r="Q510" s="30" t="str">
        <f>VLOOKUP(P510,'BASE TARIFA 2025'!C:D,2,0)</f>
        <v>WOMPI SANTANDERES</v>
      </c>
      <c r="R510" s="31">
        <f>VLOOKUP(P510,'BASE TARIFA 2025'!C:F,4,0)</f>
        <v>28277.100000000002</v>
      </c>
    </row>
    <row r="511" spans="1:18" s="28" customFormat="1" ht="14.4" x14ac:dyDescent="0.3">
      <c r="A511" s="28">
        <v>61419</v>
      </c>
      <c r="B511" s="28" t="s">
        <v>3089</v>
      </c>
      <c r="C511" s="28">
        <v>96355845</v>
      </c>
      <c r="D511" s="28" t="s">
        <v>3090</v>
      </c>
      <c r="E511" s="28" t="s">
        <v>3091</v>
      </c>
      <c r="F511" s="28" t="s">
        <v>3091</v>
      </c>
      <c r="G511" s="28" t="s">
        <v>3092</v>
      </c>
      <c r="H511" s="28" t="s">
        <v>3093</v>
      </c>
      <c r="I511" s="28" t="s">
        <v>3094</v>
      </c>
      <c r="J511" s="28" t="s">
        <v>79</v>
      </c>
      <c r="K511" s="28" t="s">
        <v>181</v>
      </c>
      <c r="L511" s="28" t="s">
        <v>181</v>
      </c>
      <c r="M511" s="28">
        <v>17174</v>
      </c>
      <c r="N511" s="29" t="s">
        <v>582</v>
      </c>
      <c r="O511" s="24" t="e">
        <f>VLOOKUP(A511,Hoja1!A:C,3,0)</f>
        <v>#N/A</v>
      </c>
      <c r="P511" s="30" t="str">
        <f>VLOOKUP(M511,[1]TIPOLOGIAS!$A:$F,4,0)</f>
        <v>MANIZALES</v>
      </c>
      <c r="Q511" s="30" t="str">
        <f>VLOOKUP(P511,'BASE TARIFA 2025'!C:D,2,0)</f>
        <v>WOMPI EJE CAFETERO</v>
      </c>
      <c r="R511" s="31">
        <f>VLOOKUP(P511,'BASE TARIFA 2025'!C:F,4,0)</f>
        <v>28277.100000000002</v>
      </c>
    </row>
    <row r="512" spans="1:18" s="28" customFormat="1" ht="14.4" x14ac:dyDescent="0.3">
      <c r="A512" s="28">
        <v>16270</v>
      </c>
      <c r="B512" s="28" t="s">
        <v>3095</v>
      </c>
      <c r="C512" s="28">
        <v>42132201</v>
      </c>
      <c r="D512" s="28" t="s">
        <v>3096</v>
      </c>
      <c r="E512" s="28" t="s">
        <v>3097</v>
      </c>
      <c r="F512" s="28" t="s">
        <v>3097</v>
      </c>
      <c r="G512" s="28" t="s">
        <v>3098</v>
      </c>
      <c r="H512" s="28" t="s">
        <v>3099</v>
      </c>
      <c r="I512" s="28" t="s">
        <v>3100</v>
      </c>
      <c r="J512" s="28" t="s">
        <v>75</v>
      </c>
      <c r="K512" s="28" t="s">
        <v>187</v>
      </c>
      <c r="L512" s="28" t="s">
        <v>187</v>
      </c>
      <c r="M512" s="28">
        <v>19212</v>
      </c>
      <c r="N512" s="29" t="s">
        <v>560</v>
      </c>
      <c r="O512" s="24">
        <f>VLOOKUP(A512,Hoja1!A:C,3,0)</f>
        <v>8</v>
      </c>
      <c r="P512" s="30" t="str">
        <f>VLOOKUP(M512,[1]TIPOLOGIAS!$A:$F,4,0)</f>
        <v>CALI</v>
      </c>
      <c r="Q512" s="30" t="str">
        <f>VLOOKUP(P512,'BASE TARIFA 2025'!C:D,2,0)</f>
        <v>WOMPI SUROCCIDENTE</v>
      </c>
      <c r="R512" s="31">
        <f>VLOOKUP(P512,'BASE TARIFA 2025'!C:F,4,0)</f>
        <v>15709.5</v>
      </c>
    </row>
    <row r="513" spans="1:18" s="28" customFormat="1" ht="14.4" x14ac:dyDescent="0.3">
      <c r="A513" s="28">
        <v>80388</v>
      </c>
      <c r="B513" s="28" t="s">
        <v>3101</v>
      </c>
      <c r="C513" s="28">
        <v>1005286945</v>
      </c>
      <c r="D513" s="28" t="s">
        <v>3102</v>
      </c>
      <c r="E513" s="28" t="s">
        <v>3103</v>
      </c>
      <c r="F513" s="28" t="s">
        <v>3103</v>
      </c>
      <c r="G513" s="28" t="s">
        <v>3104</v>
      </c>
      <c r="H513" s="28" t="s">
        <v>3105</v>
      </c>
      <c r="I513" s="28" t="s">
        <v>3106</v>
      </c>
      <c r="J513" s="28" t="s">
        <v>75</v>
      </c>
      <c r="K513" s="28" t="s">
        <v>187</v>
      </c>
      <c r="L513" s="28" t="s">
        <v>187</v>
      </c>
      <c r="M513" s="28">
        <v>19212</v>
      </c>
      <c r="N513" s="29" t="s">
        <v>560</v>
      </c>
      <c r="O513" s="24">
        <f>VLOOKUP(A513,Hoja1!A:C,3,0)</f>
        <v>8</v>
      </c>
      <c r="P513" s="30" t="str">
        <f>VLOOKUP(M513,[1]TIPOLOGIAS!$A:$F,4,0)</f>
        <v>CALI</v>
      </c>
      <c r="Q513" s="30" t="str">
        <f>VLOOKUP(P513,'BASE TARIFA 2025'!C:D,2,0)</f>
        <v>WOMPI SUROCCIDENTE</v>
      </c>
      <c r="R513" s="31">
        <f>VLOOKUP(P513,'BASE TARIFA 2025'!C:F,4,0)</f>
        <v>15709.5</v>
      </c>
    </row>
    <row r="514" spans="1:18" s="28" customFormat="1" ht="14.4" x14ac:dyDescent="0.3">
      <c r="A514" s="28">
        <v>80959</v>
      </c>
      <c r="B514" s="28" t="s">
        <v>3107</v>
      </c>
      <c r="C514" s="28">
        <v>901403130</v>
      </c>
      <c r="D514" s="28" t="s">
        <v>69</v>
      </c>
      <c r="E514" s="28" t="s">
        <v>3108</v>
      </c>
      <c r="F514" s="28" t="s">
        <v>3108</v>
      </c>
      <c r="G514" s="28" t="s">
        <v>3109</v>
      </c>
      <c r="H514" s="28" t="s">
        <v>3110</v>
      </c>
      <c r="I514" s="28" t="s">
        <v>3111</v>
      </c>
      <c r="J514" s="28" t="s">
        <v>75</v>
      </c>
      <c r="K514" s="28" t="s">
        <v>187</v>
      </c>
      <c r="L514" s="28" t="s">
        <v>187</v>
      </c>
      <c r="M514" s="28">
        <v>19212</v>
      </c>
      <c r="N514" s="29" t="s">
        <v>560</v>
      </c>
      <c r="O514" s="24" t="e">
        <f>VLOOKUP(A514,Hoja1!A:C,3,0)</f>
        <v>#N/A</v>
      </c>
      <c r="P514" s="30" t="str">
        <f>VLOOKUP(M514,[1]TIPOLOGIAS!$A:$F,4,0)</f>
        <v>CALI</v>
      </c>
      <c r="Q514" s="30" t="str">
        <f>VLOOKUP(P514,'BASE TARIFA 2025'!C:D,2,0)</f>
        <v>WOMPI SUROCCIDENTE</v>
      </c>
      <c r="R514" s="31">
        <f>VLOOKUP(P514,'BASE TARIFA 2025'!C:F,4,0)</f>
        <v>15709.5</v>
      </c>
    </row>
    <row r="515" spans="1:18" s="28" customFormat="1" ht="14.4" x14ac:dyDescent="0.3">
      <c r="A515" s="28">
        <v>79648</v>
      </c>
      <c r="B515" s="28" t="s">
        <v>3112</v>
      </c>
      <c r="C515" s="28">
        <v>900381458</v>
      </c>
      <c r="D515" s="28" t="s">
        <v>3113</v>
      </c>
      <c r="E515" s="28" t="s">
        <v>3113</v>
      </c>
      <c r="F515" s="28" t="s">
        <v>3113</v>
      </c>
      <c r="G515" s="28" t="s">
        <v>3114</v>
      </c>
      <c r="H515" s="28" t="s">
        <v>3115</v>
      </c>
      <c r="I515" s="28" t="s">
        <v>3116</v>
      </c>
      <c r="J515" s="28" t="s">
        <v>75</v>
      </c>
      <c r="K515" s="28" t="s">
        <v>187</v>
      </c>
      <c r="L515" s="28" t="s">
        <v>187</v>
      </c>
      <c r="M515" s="28">
        <v>19212</v>
      </c>
      <c r="N515" s="29" t="s">
        <v>560</v>
      </c>
      <c r="O515" s="24">
        <f>VLOOKUP(A515,Hoja1!A:C,3,0)</f>
        <v>8</v>
      </c>
      <c r="P515" s="30" t="str">
        <f>VLOOKUP(M515,[1]TIPOLOGIAS!$A:$F,4,0)</f>
        <v>CALI</v>
      </c>
      <c r="Q515" s="30" t="str">
        <f>VLOOKUP(P515,'BASE TARIFA 2025'!C:D,2,0)</f>
        <v>WOMPI SUROCCIDENTE</v>
      </c>
      <c r="R515" s="31">
        <f>VLOOKUP(P515,'BASE TARIFA 2025'!C:F,4,0)</f>
        <v>15709.5</v>
      </c>
    </row>
    <row r="516" spans="1:18" s="28" customFormat="1" ht="14.4" x14ac:dyDescent="0.3">
      <c r="A516" s="28">
        <v>79195</v>
      </c>
      <c r="B516" s="28" t="s">
        <v>3117</v>
      </c>
      <c r="C516" s="28">
        <v>1088261920</v>
      </c>
      <c r="D516" s="28" t="s">
        <v>3118</v>
      </c>
      <c r="E516" s="28" t="s">
        <v>3118</v>
      </c>
      <c r="F516" s="28" t="s">
        <v>3118</v>
      </c>
      <c r="G516" s="28" t="s">
        <v>3119</v>
      </c>
      <c r="H516" s="28" t="s">
        <v>3120</v>
      </c>
      <c r="I516" s="28" t="s">
        <v>3121</v>
      </c>
      <c r="J516" s="28" t="s">
        <v>75</v>
      </c>
      <c r="K516" s="28" t="s">
        <v>187</v>
      </c>
      <c r="L516" s="28" t="s">
        <v>187</v>
      </c>
      <c r="M516" s="28">
        <v>19212</v>
      </c>
      <c r="N516" s="29" t="s">
        <v>560</v>
      </c>
      <c r="O516" s="24">
        <f>VLOOKUP(A516,Hoja1!A:C,3,0)</f>
        <v>8</v>
      </c>
      <c r="P516" s="30" t="str">
        <f>VLOOKUP(M516,[1]TIPOLOGIAS!$A:$F,4,0)</f>
        <v>CALI</v>
      </c>
      <c r="Q516" s="30" t="str">
        <f>VLOOKUP(P516,'BASE TARIFA 2025'!C:D,2,0)</f>
        <v>WOMPI SUROCCIDENTE</v>
      </c>
      <c r="R516" s="31">
        <f>VLOOKUP(P516,'BASE TARIFA 2025'!C:F,4,0)</f>
        <v>15709.5</v>
      </c>
    </row>
    <row r="517" spans="1:18" s="28" customFormat="1" ht="14.4" x14ac:dyDescent="0.3">
      <c r="A517" s="28">
        <v>75477</v>
      </c>
      <c r="B517" s="28" t="s">
        <v>3122</v>
      </c>
      <c r="C517" s="28">
        <v>901608925</v>
      </c>
      <c r="D517" s="28" t="s">
        <v>3123</v>
      </c>
      <c r="E517" s="28" t="s">
        <v>3123</v>
      </c>
      <c r="F517" s="28" t="s">
        <v>3123</v>
      </c>
      <c r="G517" s="28" t="s">
        <v>3124</v>
      </c>
      <c r="H517" s="28" t="s">
        <v>3125</v>
      </c>
      <c r="I517" s="28" t="s">
        <v>3126</v>
      </c>
      <c r="J517" s="28" t="s">
        <v>85</v>
      </c>
      <c r="K517" s="28" t="s">
        <v>3127</v>
      </c>
      <c r="L517" s="28" t="s">
        <v>3127</v>
      </c>
      <c r="M517" s="28">
        <v>23068</v>
      </c>
      <c r="N517" s="29" t="s">
        <v>716</v>
      </c>
      <c r="O517" s="24">
        <f>VLOOKUP(A517,Hoja1!A:C,3,0)</f>
        <v>8</v>
      </c>
      <c r="P517" s="30" t="str">
        <f>VLOOKUP(M517,[1]TIPOLOGIAS!$A:$F,4,0)</f>
        <v>MONTERIA</v>
      </c>
      <c r="Q517" s="30" t="str">
        <f>VLOOKUP(P517,'BASE TARIFA 2025'!C:D,2,0)</f>
        <v>WOMPI COSTA</v>
      </c>
      <c r="R517" s="31">
        <f>VLOOKUP(P517,'BASE TARIFA 2025'!C:F,4,0)</f>
        <v>15709.5</v>
      </c>
    </row>
    <row r="518" spans="1:18" s="28" customFormat="1" ht="14.4" x14ac:dyDescent="0.3">
      <c r="A518" s="28">
        <v>71028</v>
      </c>
      <c r="B518" s="28" t="s">
        <v>3128</v>
      </c>
      <c r="C518" s="28">
        <v>901403130</v>
      </c>
      <c r="D518" s="28" t="s">
        <v>3129</v>
      </c>
      <c r="E518" s="28" t="s">
        <v>3129</v>
      </c>
      <c r="F518" s="28" t="s">
        <v>3130</v>
      </c>
      <c r="G518" s="28" t="s">
        <v>3131</v>
      </c>
      <c r="H518" s="28" t="s">
        <v>3132</v>
      </c>
      <c r="I518" s="28" t="s">
        <v>3133</v>
      </c>
      <c r="J518" s="28" t="s">
        <v>85</v>
      </c>
      <c r="K518" s="28" t="s">
        <v>3127</v>
      </c>
      <c r="L518" s="28" t="s">
        <v>3127</v>
      </c>
      <c r="M518" s="28">
        <v>23068</v>
      </c>
      <c r="N518" s="29" t="s">
        <v>716</v>
      </c>
      <c r="O518" s="24">
        <f>VLOOKUP(A518,Hoja1!A:C,3,0)</f>
        <v>8</v>
      </c>
      <c r="P518" s="30" t="str">
        <f>VLOOKUP(M518,[1]TIPOLOGIAS!$A:$F,4,0)</f>
        <v>MONTERIA</v>
      </c>
      <c r="Q518" s="30" t="str">
        <f>VLOOKUP(P518,'BASE TARIFA 2025'!C:D,2,0)</f>
        <v>WOMPI COSTA</v>
      </c>
      <c r="R518" s="31">
        <f>VLOOKUP(P518,'BASE TARIFA 2025'!C:F,4,0)</f>
        <v>15709.5</v>
      </c>
    </row>
    <row r="519" spans="1:18" s="28" customFormat="1" ht="14.4" x14ac:dyDescent="0.3">
      <c r="A519" s="28">
        <v>60598</v>
      </c>
      <c r="B519" s="28" t="s">
        <v>3134</v>
      </c>
      <c r="C519" s="28">
        <v>4415330</v>
      </c>
      <c r="D519" s="28" t="s">
        <v>3135</v>
      </c>
      <c r="E519" s="28" t="s">
        <v>3135</v>
      </c>
      <c r="F519" s="28" t="s">
        <v>3135</v>
      </c>
      <c r="G519" s="28" t="s">
        <v>3136</v>
      </c>
      <c r="H519" s="28" t="s">
        <v>3137</v>
      </c>
      <c r="I519" s="28" t="s">
        <v>3138</v>
      </c>
      <c r="J519" s="28" t="s">
        <v>85</v>
      </c>
      <c r="K519" s="28" t="s">
        <v>3127</v>
      </c>
      <c r="L519" s="28" t="s">
        <v>3127</v>
      </c>
      <c r="M519" s="28">
        <v>23068</v>
      </c>
      <c r="N519" s="29" t="s">
        <v>716</v>
      </c>
      <c r="O519" s="24">
        <f>VLOOKUP(A519,Hoja1!A:C,3,0)</f>
        <v>8</v>
      </c>
      <c r="P519" s="30" t="str">
        <f>VLOOKUP(M519,[1]TIPOLOGIAS!$A:$F,4,0)</f>
        <v>MONTERIA</v>
      </c>
      <c r="Q519" s="30" t="str">
        <f>VLOOKUP(P519,'BASE TARIFA 2025'!C:D,2,0)</f>
        <v>WOMPI COSTA</v>
      </c>
      <c r="R519" s="31">
        <f>VLOOKUP(P519,'BASE TARIFA 2025'!C:F,4,0)</f>
        <v>15709.5</v>
      </c>
    </row>
    <row r="520" spans="1:18" s="28" customFormat="1" ht="14.4" x14ac:dyDescent="0.3">
      <c r="A520" s="28">
        <v>33895</v>
      </c>
      <c r="B520" s="28" t="s">
        <v>3139</v>
      </c>
      <c r="C520" s="28">
        <v>901042503</v>
      </c>
      <c r="D520" s="28" t="s">
        <v>3140</v>
      </c>
      <c r="E520" s="28" t="s">
        <v>3140</v>
      </c>
      <c r="F520" s="28" t="s">
        <v>3140</v>
      </c>
      <c r="G520" s="28" t="s">
        <v>3141</v>
      </c>
      <c r="H520" s="28" t="s">
        <v>3142</v>
      </c>
      <c r="I520" s="28" t="s">
        <v>3143</v>
      </c>
      <c r="J520" s="28" t="s">
        <v>85</v>
      </c>
      <c r="K520" s="28" t="s">
        <v>3127</v>
      </c>
      <c r="L520" s="28" t="s">
        <v>3127</v>
      </c>
      <c r="M520" s="28">
        <v>23068</v>
      </c>
      <c r="N520" s="29" t="s">
        <v>716</v>
      </c>
      <c r="O520" s="24">
        <f>VLOOKUP(A520,Hoja1!A:C,3,0)</f>
        <v>8</v>
      </c>
      <c r="P520" s="30" t="str">
        <f>VLOOKUP(M520,[1]TIPOLOGIAS!$A:$F,4,0)</f>
        <v>MONTERIA</v>
      </c>
      <c r="Q520" s="30" t="str">
        <f>VLOOKUP(P520,'BASE TARIFA 2025'!C:D,2,0)</f>
        <v>WOMPI COSTA</v>
      </c>
      <c r="R520" s="31">
        <f>VLOOKUP(P520,'BASE TARIFA 2025'!C:F,4,0)</f>
        <v>15709.5</v>
      </c>
    </row>
    <row r="521" spans="1:18" s="28" customFormat="1" ht="14.4" x14ac:dyDescent="0.3">
      <c r="A521" s="28">
        <v>26919</v>
      </c>
      <c r="B521" s="28" t="s">
        <v>3144</v>
      </c>
      <c r="C521" s="28">
        <v>11294043</v>
      </c>
      <c r="D521" s="28" t="s">
        <v>69</v>
      </c>
      <c r="E521" s="28" t="s">
        <v>3145</v>
      </c>
      <c r="F521" s="28" t="s">
        <v>3145</v>
      </c>
      <c r="G521" s="28" t="s">
        <v>3146</v>
      </c>
      <c r="H521" s="28" t="s">
        <v>137</v>
      </c>
      <c r="I521" s="28" t="s">
        <v>138</v>
      </c>
      <c r="J521" s="28" t="s">
        <v>70</v>
      </c>
      <c r="K521" s="28" t="s">
        <v>136</v>
      </c>
      <c r="L521" s="28" t="s">
        <v>136</v>
      </c>
      <c r="M521" s="28">
        <v>25486</v>
      </c>
      <c r="N521" s="29" t="s">
        <v>744</v>
      </c>
      <c r="O521" s="24">
        <f>VLOOKUP(A521,Hoja1!A:C,3,0)</f>
        <v>8</v>
      </c>
      <c r="P521" s="30" t="str">
        <f>VLOOKUP(M521,[1]TIPOLOGIAS!$A:$F,4,0)</f>
        <v>BOGOTA</v>
      </c>
      <c r="Q521" s="30" t="str">
        <f>VLOOKUP(P521,'BASE TARIFA 2025'!C:D,2,0)</f>
        <v>WOMPI CENTRO</v>
      </c>
      <c r="R521" s="31">
        <f>VLOOKUP(P521,'BASE TARIFA 2025'!C:F,4,0)</f>
        <v>15709.5</v>
      </c>
    </row>
    <row r="522" spans="1:18" s="28" customFormat="1" ht="14.4" x14ac:dyDescent="0.3">
      <c r="A522" s="28">
        <v>78886</v>
      </c>
      <c r="B522" s="28" t="s">
        <v>3147</v>
      </c>
      <c r="C522" s="28">
        <v>13617959</v>
      </c>
      <c r="D522" s="28" t="s">
        <v>3148</v>
      </c>
      <c r="E522" s="28" t="s">
        <v>3149</v>
      </c>
      <c r="F522" s="28" t="s">
        <v>3149</v>
      </c>
      <c r="G522" s="28" t="s">
        <v>3150</v>
      </c>
      <c r="H522" s="28" t="s">
        <v>3151</v>
      </c>
      <c r="I522" s="28" t="s">
        <v>3152</v>
      </c>
      <c r="J522" s="28" t="s">
        <v>70</v>
      </c>
      <c r="K522" s="28" t="s">
        <v>136</v>
      </c>
      <c r="L522" s="28" t="s">
        <v>136</v>
      </c>
      <c r="M522" s="28">
        <v>25486</v>
      </c>
      <c r="N522" s="29" t="s">
        <v>744</v>
      </c>
      <c r="O522" s="24" t="e">
        <f>VLOOKUP(A522,Hoja1!A:C,3,0)</f>
        <v>#N/A</v>
      </c>
      <c r="P522" s="30" t="str">
        <f>VLOOKUP(M522,[1]TIPOLOGIAS!$A:$F,4,0)</f>
        <v>BOGOTA</v>
      </c>
      <c r="Q522" s="30" t="str">
        <f>VLOOKUP(P522,'BASE TARIFA 2025'!C:D,2,0)</f>
        <v>WOMPI CENTRO</v>
      </c>
      <c r="R522" s="31">
        <f>VLOOKUP(P522,'BASE TARIFA 2025'!C:F,4,0)</f>
        <v>15709.5</v>
      </c>
    </row>
    <row r="523" spans="1:18" s="28" customFormat="1" ht="14.4" x14ac:dyDescent="0.3">
      <c r="A523" s="28">
        <v>75853</v>
      </c>
      <c r="B523" s="28" t="s">
        <v>3153</v>
      </c>
      <c r="C523" s="28">
        <v>1101176439</v>
      </c>
      <c r="D523" s="28" t="s">
        <v>69</v>
      </c>
      <c r="E523" s="28" t="s">
        <v>3154</v>
      </c>
      <c r="F523" s="28" t="s">
        <v>3155</v>
      </c>
      <c r="G523" s="28" t="s">
        <v>3156</v>
      </c>
      <c r="H523" s="28" t="s">
        <v>3157</v>
      </c>
      <c r="I523" s="28" t="s">
        <v>3158</v>
      </c>
      <c r="J523" s="28" t="s">
        <v>70</v>
      </c>
      <c r="K523" s="28" t="s">
        <v>3159</v>
      </c>
      <c r="L523" s="28" t="s">
        <v>3159</v>
      </c>
      <c r="M523" s="28">
        <v>25491</v>
      </c>
      <c r="N523" s="29" t="s">
        <v>744</v>
      </c>
      <c r="O523" s="24" t="e">
        <f>VLOOKUP(A523,Hoja1!A:C,3,0)</f>
        <v>#N/A</v>
      </c>
      <c r="P523" s="30" t="str">
        <f>VLOOKUP(M523,[1]TIPOLOGIAS!$A:$F,4,0)</f>
        <v>BOGOTA</v>
      </c>
      <c r="Q523" s="30" t="str">
        <f>VLOOKUP(P523,'BASE TARIFA 2025'!C:D,2,0)</f>
        <v>WOMPI CENTRO</v>
      </c>
      <c r="R523" s="31">
        <f>VLOOKUP(P523,'BASE TARIFA 2025'!C:F,4,0)</f>
        <v>15709.5</v>
      </c>
    </row>
    <row r="524" spans="1:18" s="28" customFormat="1" ht="14.4" x14ac:dyDescent="0.3">
      <c r="A524" s="28">
        <v>37010</v>
      </c>
      <c r="B524" s="28" t="s">
        <v>3160</v>
      </c>
      <c r="C524" s="28">
        <v>28307566</v>
      </c>
      <c r="D524" s="28" t="s">
        <v>69</v>
      </c>
      <c r="E524" s="28" t="s">
        <v>3161</v>
      </c>
      <c r="F524" s="28" t="s">
        <v>3161</v>
      </c>
      <c r="G524" s="28" t="s">
        <v>3162</v>
      </c>
      <c r="H524" s="28" t="s">
        <v>3163</v>
      </c>
      <c r="I524" s="28" t="s">
        <v>3164</v>
      </c>
      <c r="J524" s="28" t="s">
        <v>70</v>
      </c>
      <c r="K524" s="28" t="s">
        <v>3159</v>
      </c>
      <c r="L524" s="28" t="s">
        <v>3159</v>
      </c>
      <c r="M524" s="28">
        <v>25491</v>
      </c>
      <c r="N524" s="29" t="s">
        <v>744</v>
      </c>
      <c r="O524" s="24" t="e">
        <f>VLOOKUP(A524,Hoja1!A:C,3,0)</f>
        <v>#N/A</v>
      </c>
      <c r="P524" s="30" t="str">
        <f>VLOOKUP(M524,[1]TIPOLOGIAS!$A:$F,4,0)</f>
        <v>BOGOTA</v>
      </c>
      <c r="Q524" s="30" t="str">
        <f>VLOOKUP(P524,'BASE TARIFA 2025'!C:D,2,0)</f>
        <v>WOMPI CENTRO</v>
      </c>
      <c r="R524" s="31">
        <f>VLOOKUP(P524,'BASE TARIFA 2025'!C:F,4,0)</f>
        <v>15709.5</v>
      </c>
    </row>
    <row r="525" spans="1:18" s="28" customFormat="1" ht="14.4" x14ac:dyDescent="0.3">
      <c r="A525" s="28">
        <v>18344</v>
      </c>
      <c r="B525" s="28" t="s">
        <v>3165</v>
      </c>
      <c r="C525" s="28">
        <v>800253616</v>
      </c>
      <c r="D525" s="28" t="s">
        <v>3166</v>
      </c>
      <c r="E525" s="28" t="s">
        <v>3166</v>
      </c>
      <c r="F525" s="28" t="s">
        <v>3166</v>
      </c>
      <c r="G525" s="28" t="s">
        <v>3167</v>
      </c>
      <c r="H525" s="28" t="s">
        <v>3168</v>
      </c>
      <c r="I525" s="28" t="s">
        <v>3169</v>
      </c>
      <c r="J525" s="28" t="s">
        <v>70</v>
      </c>
      <c r="K525" s="28" t="s">
        <v>3159</v>
      </c>
      <c r="L525" s="28" t="s">
        <v>3159</v>
      </c>
      <c r="M525" s="28">
        <v>25491</v>
      </c>
      <c r="N525" s="29" t="s">
        <v>756</v>
      </c>
      <c r="O525" s="24">
        <f>VLOOKUP(A525,Hoja1!A:C,3,0)</f>
        <v>8</v>
      </c>
      <c r="P525" s="30" t="str">
        <f>VLOOKUP(M525,[1]TIPOLOGIAS!$A:$F,4,0)</f>
        <v>BOGOTA</v>
      </c>
      <c r="Q525" s="30" t="str">
        <f>VLOOKUP(P525,'BASE TARIFA 2025'!C:D,2,0)</f>
        <v>WOMPI CENTRO</v>
      </c>
      <c r="R525" s="31">
        <f>VLOOKUP(P525,'BASE TARIFA 2025'!C:F,4,0)</f>
        <v>15709.5</v>
      </c>
    </row>
    <row r="526" spans="1:18" s="28" customFormat="1" ht="14.4" x14ac:dyDescent="0.3">
      <c r="A526" s="28">
        <v>77186</v>
      </c>
      <c r="B526" s="28" t="s">
        <v>3170</v>
      </c>
      <c r="C526" s="28">
        <v>9192909</v>
      </c>
      <c r="D526" s="28" t="s">
        <v>69</v>
      </c>
      <c r="E526" s="28" t="s">
        <v>3171</v>
      </c>
      <c r="F526" s="28" t="s">
        <v>3171</v>
      </c>
      <c r="G526" s="28" t="s">
        <v>3172</v>
      </c>
      <c r="H526" s="28" t="s">
        <v>3173</v>
      </c>
      <c r="I526" s="28" t="s">
        <v>3174</v>
      </c>
      <c r="J526" s="28" t="s">
        <v>70</v>
      </c>
      <c r="K526" s="28" t="s">
        <v>3159</v>
      </c>
      <c r="L526" s="28" t="s">
        <v>3159</v>
      </c>
      <c r="M526" s="28">
        <v>25491</v>
      </c>
      <c r="N526" s="29" t="s">
        <v>744</v>
      </c>
      <c r="O526" s="24">
        <f>VLOOKUP(A526,Hoja1!A:C,3,0)</f>
        <v>8</v>
      </c>
      <c r="P526" s="30" t="str">
        <f>VLOOKUP(M526,[1]TIPOLOGIAS!$A:$F,4,0)</f>
        <v>BOGOTA</v>
      </c>
      <c r="Q526" s="30" t="str">
        <f>VLOOKUP(P526,'BASE TARIFA 2025'!C:D,2,0)</f>
        <v>WOMPI CENTRO</v>
      </c>
      <c r="R526" s="31">
        <f>VLOOKUP(P526,'BASE TARIFA 2025'!C:F,4,0)</f>
        <v>15709.5</v>
      </c>
    </row>
    <row r="527" spans="1:18" s="28" customFormat="1" ht="14.4" x14ac:dyDescent="0.3">
      <c r="A527" s="28">
        <v>77808</v>
      </c>
      <c r="B527" s="28" t="s">
        <v>3175</v>
      </c>
      <c r="C527" s="28">
        <v>43740682</v>
      </c>
      <c r="D527" s="28" t="s">
        <v>3176</v>
      </c>
      <c r="E527" s="28" t="s">
        <v>3177</v>
      </c>
      <c r="F527" s="28" t="s">
        <v>3177</v>
      </c>
      <c r="G527" s="28" t="s">
        <v>3178</v>
      </c>
      <c r="H527" s="28" t="s">
        <v>3179</v>
      </c>
      <c r="I527" s="28" t="s">
        <v>3180</v>
      </c>
      <c r="J527" s="28" t="s">
        <v>70</v>
      </c>
      <c r="K527" s="28" t="s">
        <v>139</v>
      </c>
      <c r="L527" s="28" t="s">
        <v>139</v>
      </c>
      <c r="M527" s="28">
        <v>25580</v>
      </c>
      <c r="N527" s="29" t="s">
        <v>756</v>
      </c>
      <c r="O527" s="24">
        <f>VLOOKUP(A527,Hoja1!A:C,3,0)</f>
        <v>8</v>
      </c>
      <c r="P527" s="30" t="str">
        <f>VLOOKUP(M527,[1]TIPOLOGIAS!$A:$F,4,0)</f>
        <v>BOGOTA</v>
      </c>
      <c r="Q527" s="30" t="str">
        <f>VLOOKUP(P527,'BASE TARIFA 2025'!C:D,2,0)</f>
        <v>WOMPI CENTRO</v>
      </c>
      <c r="R527" s="31">
        <f>VLOOKUP(P527,'BASE TARIFA 2025'!C:F,4,0)</f>
        <v>15709.5</v>
      </c>
    </row>
    <row r="528" spans="1:18" s="28" customFormat="1" ht="14.4" x14ac:dyDescent="0.3">
      <c r="A528" s="28">
        <v>76748</v>
      </c>
      <c r="B528" s="28" t="s">
        <v>3181</v>
      </c>
      <c r="C528" s="28">
        <v>92510386</v>
      </c>
      <c r="D528" s="28" t="s">
        <v>3182</v>
      </c>
      <c r="E528" s="28" t="s">
        <v>3183</v>
      </c>
      <c r="F528" s="28" t="s">
        <v>3183</v>
      </c>
      <c r="G528" s="28" t="s">
        <v>3184</v>
      </c>
      <c r="H528" s="28" t="s">
        <v>3185</v>
      </c>
      <c r="I528" s="28" t="s">
        <v>3186</v>
      </c>
      <c r="J528" s="28" t="s">
        <v>70</v>
      </c>
      <c r="K528" s="28" t="s">
        <v>3187</v>
      </c>
      <c r="L528" s="28" t="s">
        <v>3187</v>
      </c>
      <c r="M528" s="28">
        <v>25596</v>
      </c>
      <c r="N528" s="29" t="s">
        <v>744</v>
      </c>
      <c r="O528" s="24">
        <f>VLOOKUP(A528,Hoja1!A:C,3,0)</f>
        <v>16</v>
      </c>
      <c r="P528" s="30" t="str">
        <f>VLOOKUP(M528,[1]TIPOLOGIAS!$A:$F,4,0)</f>
        <v>BOGOTA</v>
      </c>
      <c r="Q528" s="30" t="str">
        <f>VLOOKUP(P528,'BASE TARIFA 2025'!C:D,2,0)</f>
        <v>WOMPI CENTRO</v>
      </c>
      <c r="R528" s="31">
        <f>VLOOKUP(P528,'BASE TARIFA 2025'!C:F,4,0)</f>
        <v>15709.5</v>
      </c>
    </row>
    <row r="529" spans="1:18" s="28" customFormat="1" ht="14.4" x14ac:dyDescent="0.3">
      <c r="A529" s="28">
        <v>72306</v>
      </c>
      <c r="B529" s="28" t="s">
        <v>3188</v>
      </c>
      <c r="C529" s="28">
        <v>64919335</v>
      </c>
      <c r="D529" s="28" t="s">
        <v>3189</v>
      </c>
      <c r="E529" s="28" t="s">
        <v>3189</v>
      </c>
      <c r="F529" s="28" t="s">
        <v>1345</v>
      </c>
      <c r="G529" s="28" t="s">
        <v>3190</v>
      </c>
      <c r="H529" s="28" t="s">
        <v>3191</v>
      </c>
      <c r="I529" s="28" t="s">
        <v>3192</v>
      </c>
      <c r="J529" s="28" t="s">
        <v>70</v>
      </c>
      <c r="K529" s="28" t="s">
        <v>3187</v>
      </c>
      <c r="L529" s="28" t="s">
        <v>3187</v>
      </c>
      <c r="M529" s="28">
        <v>25596</v>
      </c>
      <c r="N529" s="29" t="s">
        <v>744</v>
      </c>
      <c r="O529" s="24">
        <f>VLOOKUP(A529,Hoja1!A:C,3,0)</f>
        <v>8</v>
      </c>
      <c r="P529" s="30" t="str">
        <f>VLOOKUP(M529,[1]TIPOLOGIAS!$A:$F,4,0)</f>
        <v>BOGOTA</v>
      </c>
      <c r="Q529" s="30" t="str">
        <f>VLOOKUP(P529,'BASE TARIFA 2025'!C:D,2,0)</f>
        <v>WOMPI CENTRO</v>
      </c>
      <c r="R529" s="31">
        <f>VLOOKUP(P529,'BASE TARIFA 2025'!C:F,4,0)</f>
        <v>15709.5</v>
      </c>
    </row>
    <row r="530" spans="1:18" s="28" customFormat="1" ht="14.4" x14ac:dyDescent="0.3">
      <c r="A530" s="28">
        <v>65311</v>
      </c>
      <c r="B530" s="28" t="s">
        <v>3193</v>
      </c>
      <c r="C530" s="28">
        <v>64581471</v>
      </c>
      <c r="D530" s="28" t="s">
        <v>3194</v>
      </c>
      <c r="E530" s="28" t="s">
        <v>3194</v>
      </c>
      <c r="F530" s="28" t="s">
        <v>3195</v>
      </c>
      <c r="G530" s="28" t="s">
        <v>3196</v>
      </c>
      <c r="H530" s="28" t="s">
        <v>3197</v>
      </c>
      <c r="I530" s="28" t="s">
        <v>3198</v>
      </c>
      <c r="J530" s="28" t="s">
        <v>70</v>
      </c>
      <c r="K530" s="28" t="s">
        <v>3187</v>
      </c>
      <c r="L530" s="28" t="s">
        <v>3187</v>
      </c>
      <c r="M530" s="28">
        <v>25596</v>
      </c>
      <c r="N530" s="29" t="s">
        <v>744</v>
      </c>
      <c r="O530" s="24">
        <f>VLOOKUP(A530,Hoja1!A:C,3,0)</f>
        <v>8</v>
      </c>
      <c r="P530" s="30" t="str">
        <f>VLOOKUP(M530,[1]TIPOLOGIAS!$A:$F,4,0)</f>
        <v>BOGOTA</v>
      </c>
      <c r="Q530" s="30" t="str">
        <f>VLOOKUP(P530,'BASE TARIFA 2025'!C:D,2,0)</f>
        <v>WOMPI CENTRO</v>
      </c>
      <c r="R530" s="31">
        <f>VLOOKUP(P530,'BASE TARIFA 2025'!C:F,4,0)</f>
        <v>15709.5</v>
      </c>
    </row>
    <row r="531" spans="1:18" s="28" customFormat="1" ht="14.4" x14ac:dyDescent="0.3">
      <c r="A531" s="28">
        <v>40167</v>
      </c>
      <c r="B531" s="28" t="s">
        <v>3199</v>
      </c>
      <c r="C531" s="28">
        <v>64581899</v>
      </c>
      <c r="D531" s="28" t="s">
        <v>3200</v>
      </c>
      <c r="E531" s="28" t="s">
        <v>3201</v>
      </c>
      <c r="F531" s="28" t="s">
        <v>3201</v>
      </c>
      <c r="G531" s="28" t="s">
        <v>3202</v>
      </c>
      <c r="H531" s="28" t="s">
        <v>3203</v>
      </c>
      <c r="I531" s="28" t="s">
        <v>3204</v>
      </c>
      <c r="J531" s="28" t="s">
        <v>70</v>
      </c>
      <c r="K531" s="28" t="s">
        <v>3205</v>
      </c>
      <c r="L531" s="28" t="s">
        <v>3205</v>
      </c>
      <c r="M531" s="28">
        <v>25736</v>
      </c>
      <c r="N531" s="29" t="s">
        <v>530</v>
      </c>
      <c r="O531" s="24">
        <f>VLOOKUP(A531,Hoja1!A:C,3,0)</f>
        <v>8</v>
      </c>
      <c r="P531" s="30" t="str">
        <f>VLOOKUP(M531,[1]TIPOLOGIAS!$A:$F,4,0)</f>
        <v>BOGOTA</v>
      </c>
      <c r="Q531" s="30" t="str">
        <f>VLOOKUP(P531,'BASE TARIFA 2025'!C:D,2,0)</f>
        <v>WOMPI CENTRO</v>
      </c>
      <c r="R531" s="31">
        <f>VLOOKUP(P531,'BASE TARIFA 2025'!C:F,4,0)</f>
        <v>15709.5</v>
      </c>
    </row>
    <row r="532" spans="1:18" s="28" customFormat="1" ht="14.4" x14ac:dyDescent="0.3">
      <c r="A532" s="28">
        <v>35260</v>
      </c>
      <c r="B532" s="28" t="s">
        <v>3206</v>
      </c>
      <c r="C532" s="28">
        <v>900638635</v>
      </c>
      <c r="D532" s="28" t="s">
        <v>72</v>
      </c>
      <c r="E532" s="28" t="s">
        <v>3207</v>
      </c>
      <c r="F532" s="28" t="s">
        <v>3208</v>
      </c>
      <c r="G532" s="28" t="s">
        <v>3209</v>
      </c>
      <c r="H532" s="28" t="s">
        <v>3210</v>
      </c>
      <c r="I532" s="28" t="s">
        <v>3211</v>
      </c>
      <c r="J532" s="28" t="s">
        <v>70</v>
      </c>
      <c r="K532" s="28" t="s">
        <v>3205</v>
      </c>
      <c r="L532" s="28" t="s">
        <v>3205</v>
      </c>
      <c r="M532" s="28">
        <v>25736</v>
      </c>
      <c r="N532" s="29" t="s">
        <v>744</v>
      </c>
      <c r="O532" s="24">
        <f>VLOOKUP(A532,Hoja1!A:C,3,0)</f>
        <v>8</v>
      </c>
      <c r="P532" s="30" t="str">
        <f>VLOOKUP(M532,[1]TIPOLOGIAS!$A:$F,4,0)</f>
        <v>BOGOTA</v>
      </c>
      <c r="Q532" s="30" t="str">
        <f>VLOOKUP(P532,'BASE TARIFA 2025'!C:D,2,0)</f>
        <v>WOMPI CENTRO</v>
      </c>
      <c r="R532" s="31">
        <f>VLOOKUP(P532,'BASE TARIFA 2025'!C:F,4,0)</f>
        <v>15709.5</v>
      </c>
    </row>
    <row r="533" spans="1:18" s="28" customFormat="1" ht="14.4" x14ac:dyDescent="0.3">
      <c r="A533" s="28">
        <v>38719</v>
      </c>
      <c r="B533" s="28" t="s">
        <v>3212</v>
      </c>
      <c r="C533" s="28">
        <v>92533159</v>
      </c>
      <c r="E533" s="28" t="s">
        <v>3213</v>
      </c>
      <c r="F533" s="28" t="s">
        <v>3214</v>
      </c>
      <c r="G533" s="28" t="s">
        <v>3215</v>
      </c>
      <c r="H533" s="28" t="s">
        <v>3216</v>
      </c>
      <c r="I533" s="28" t="s">
        <v>3217</v>
      </c>
      <c r="J533" s="28" t="s">
        <v>70</v>
      </c>
      <c r="K533" s="28" t="s">
        <v>3205</v>
      </c>
      <c r="L533" s="28" t="s">
        <v>3205</v>
      </c>
      <c r="M533" s="28">
        <v>25736</v>
      </c>
      <c r="N533" s="29" t="s">
        <v>744</v>
      </c>
      <c r="O533" s="24">
        <f>VLOOKUP(A533,Hoja1!A:C,3,0)</f>
        <v>16</v>
      </c>
      <c r="P533" s="30" t="str">
        <f>VLOOKUP(M533,[1]TIPOLOGIAS!$A:$F,4,0)</f>
        <v>BOGOTA</v>
      </c>
      <c r="Q533" s="30" t="str">
        <f>VLOOKUP(P533,'BASE TARIFA 2025'!C:D,2,0)</f>
        <v>WOMPI CENTRO</v>
      </c>
      <c r="R533" s="31">
        <f>VLOOKUP(P533,'BASE TARIFA 2025'!C:F,4,0)</f>
        <v>15709.5</v>
      </c>
    </row>
    <row r="534" spans="1:18" s="28" customFormat="1" ht="14.4" x14ac:dyDescent="0.3">
      <c r="A534" s="28">
        <v>39870</v>
      </c>
      <c r="B534" s="28" t="s">
        <v>3218</v>
      </c>
      <c r="C534" s="28">
        <v>800253616</v>
      </c>
      <c r="D534" s="28" t="s">
        <v>130</v>
      </c>
      <c r="E534" s="28" t="s">
        <v>3219</v>
      </c>
      <c r="F534" s="28" t="s">
        <v>3219</v>
      </c>
      <c r="G534" s="28" t="s">
        <v>3220</v>
      </c>
      <c r="H534" s="28" t="s">
        <v>3221</v>
      </c>
      <c r="I534" s="28" t="s">
        <v>3222</v>
      </c>
      <c r="J534" s="28" t="s">
        <v>70</v>
      </c>
      <c r="K534" s="28" t="s">
        <v>3205</v>
      </c>
      <c r="L534" s="28" t="s">
        <v>3205</v>
      </c>
      <c r="M534" s="28">
        <v>25736</v>
      </c>
      <c r="N534" s="29" t="s">
        <v>744</v>
      </c>
      <c r="O534" s="24">
        <f>VLOOKUP(A534,Hoja1!A:C,3,0)</f>
        <v>8</v>
      </c>
      <c r="P534" s="30" t="str">
        <f>VLOOKUP(M534,[1]TIPOLOGIAS!$A:$F,4,0)</f>
        <v>BOGOTA</v>
      </c>
      <c r="Q534" s="30" t="str">
        <f>VLOOKUP(P534,'BASE TARIFA 2025'!C:D,2,0)</f>
        <v>WOMPI CENTRO</v>
      </c>
      <c r="R534" s="31">
        <f>VLOOKUP(P534,'BASE TARIFA 2025'!C:F,4,0)</f>
        <v>15709.5</v>
      </c>
    </row>
    <row r="535" spans="1:18" s="28" customFormat="1" ht="14.4" x14ac:dyDescent="0.3">
      <c r="A535" s="28">
        <v>33522</v>
      </c>
      <c r="B535" s="28" t="s">
        <v>3223</v>
      </c>
      <c r="C535" s="28">
        <v>1143337129</v>
      </c>
      <c r="D535" s="28" t="s">
        <v>69</v>
      </c>
      <c r="E535" s="28" t="s">
        <v>3224</v>
      </c>
      <c r="F535" s="28" t="s">
        <v>3224</v>
      </c>
      <c r="G535" s="28" t="s">
        <v>3225</v>
      </c>
      <c r="H535" s="28" t="s">
        <v>3226</v>
      </c>
      <c r="I535" s="28" t="s">
        <v>3227</v>
      </c>
      <c r="J535" s="28" t="s">
        <v>70</v>
      </c>
      <c r="K535" s="28" t="s">
        <v>3205</v>
      </c>
      <c r="L535" s="28" t="s">
        <v>3205</v>
      </c>
      <c r="M535" s="28">
        <v>25736</v>
      </c>
      <c r="N535" s="29" t="s">
        <v>530</v>
      </c>
      <c r="O535" s="24">
        <f>VLOOKUP(A535,Hoja1!A:C,3,0)</f>
        <v>8</v>
      </c>
      <c r="P535" s="30" t="str">
        <f>VLOOKUP(M535,[1]TIPOLOGIAS!$A:$F,4,0)</f>
        <v>BOGOTA</v>
      </c>
      <c r="Q535" s="30" t="str">
        <f>VLOOKUP(P535,'BASE TARIFA 2025'!C:D,2,0)</f>
        <v>WOMPI CENTRO</v>
      </c>
      <c r="R535" s="31">
        <f>VLOOKUP(P535,'BASE TARIFA 2025'!C:F,4,0)</f>
        <v>15709.5</v>
      </c>
    </row>
    <row r="536" spans="1:18" s="28" customFormat="1" ht="14.4" x14ac:dyDescent="0.3">
      <c r="A536" s="28">
        <v>24567</v>
      </c>
      <c r="B536" s="28" t="s">
        <v>3228</v>
      </c>
      <c r="C536" s="28">
        <v>900925006</v>
      </c>
      <c r="D536" s="28" t="s">
        <v>3229</v>
      </c>
      <c r="E536" s="28" t="s">
        <v>3229</v>
      </c>
      <c r="F536" s="28" t="s">
        <v>3230</v>
      </c>
      <c r="G536" s="28" t="s">
        <v>3231</v>
      </c>
      <c r="H536" s="28" t="s">
        <v>3232</v>
      </c>
      <c r="I536" s="28" t="s">
        <v>3233</v>
      </c>
      <c r="J536" s="28" t="s">
        <v>70</v>
      </c>
      <c r="K536" s="28" t="s">
        <v>3205</v>
      </c>
      <c r="L536" s="28" t="s">
        <v>3205</v>
      </c>
      <c r="M536" s="28">
        <v>25736</v>
      </c>
      <c r="N536" s="29" t="s">
        <v>530</v>
      </c>
      <c r="O536" s="24">
        <f>VLOOKUP(A536,Hoja1!A:C,3,0)</f>
        <v>8</v>
      </c>
      <c r="P536" s="30" t="str">
        <f>VLOOKUP(M536,[1]TIPOLOGIAS!$A:$F,4,0)</f>
        <v>BOGOTA</v>
      </c>
      <c r="Q536" s="30" t="str">
        <f>VLOOKUP(P536,'BASE TARIFA 2025'!C:D,2,0)</f>
        <v>WOMPI CENTRO</v>
      </c>
      <c r="R536" s="31">
        <f>VLOOKUP(P536,'BASE TARIFA 2025'!C:F,4,0)</f>
        <v>15709.5</v>
      </c>
    </row>
    <row r="537" spans="1:18" s="28" customFormat="1" ht="14.4" x14ac:dyDescent="0.3">
      <c r="A537" s="28">
        <v>17271</v>
      </c>
      <c r="B537" s="28" t="s">
        <v>3234</v>
      </c>
      <c r="C537" s="28">
        <v>5937128</v>
      </c>
      <c r="D537" s="28" t="s">
        <v>3235</v>
      </c>
      <c r="E537" s="28" t="s">
        <v>3235</v>
      </c>
      <c r="F537" s="28" t="s">
        <v>3236</v>
      </c>
      <c r="G537" s="28" t="s">
        <v>3237</v>
      </c>
      <c r="H537" s="28" t="s">
        <v>3238</v>
      </c>
      <c r="I537" s="28" t="s">
        <v>3239</v>
      </c>
      <c r="J537" s="28" t="s">
        <v>70</v>
      </c>
      <c r="K537" s="28" t="s">
        <v>3205</v>
      </c>
      <c r="L537" s="28" t="s">
        <v>3205</v>
      </c>
      <c r="M537" s="28">
        <v>25736</v>
      </c>
      <c r="N537" s="29" t="s">
        <v>744</v>
      </c>
      <c r="O537" s="24">
        <f>VLOOKUP(A537,Hoja1!A:C,3,0)</f>
        <v>8</v>
      </c>
      <c r="P537" s="30" t="str">
        <f>VLOOKUP(M537,[1]TIPOLOGIAS!$A:$F,4,0)</f>
        <v>BOGOTA</v>
      </c>
      <c r="Q537" s="30" t="str">
        <f>VLOOKUP(P537,'BASE TARIFA 2025'!C:D,2,0)</f>
        <v>WOMPI CENTRO</v>
      </c>
      <c r="R537" s="31">
        <f>VLOOKUP(P537,'BASE TARIFA 2025'!C:F,4,0)</f>
        <v>15709.5</v>
      </c>
    </row>
    <row r="538" spans="1:18" s="28" customFormat="1" ht="14.4" x14ac:dyDescent="0.3">
      <c r="A538" s="28">
        <v>16255</v>
      </c>
      <c r="B538" s="28" t="s">
        <v>3240</v>
      </c>
      <c r="C538" s="28">
        <v>93366285</v>
      </c>
      <c r="D538" s="28" t="s">
        <v>3241</v>
      </c>
      <c r="E538" s="28" t="s">
        <v>3242</v>
      </c>
      <c r="F538" s="28" t="s">
        <v>3242</v>
      </c>
      <c r="G538" s="28" t="s">
        <v>3243</v>
      </c>
      <c r="H538" s="28" t="s">
        <v>3244</v>
      </c>
      <c r="I538" s="28" t="s">
        <v>3245</v>
      </c>
      <c r="J538" s="28" t="s">
        <v>70</v>
      </c>
      <c r="K538" s="28" t="s">
        <v>140</v>
      </c>
      <c r="L538" s="28" t="s">
        <v>140</v>
      </c>
      <c r="M538" s="28">
        <v>25754</v>
      </c>
      <c r="N538" s="29" t="s">
        <v>790</v>
      </c>
      <c r="O538" s="24">
        <f>VLOOKUP(A538,Hoja1!A:C,3,0)</f>
        <v>8</v>
      </c>
      <c r="P538" s="30" t="str">
        <f>VLOOKUP(M538,[1]TIPOLOGIAS!$A:$F,4,0)</f>
        <v>BOGOTA</v>
      </c>
      <c r="Q538" s="30" t="str">
        <f>VLOOKUP(P538,'BASE TARIFA 2025'!C:D,2,0)</f>
        <v>WOMPI CENTRO</v>
      </c>
      <c r="R538" s="31">
        <f>VLOOKUP(P538,'BASE TARIFA 2025'!C:F,4,0)</f>
        <v>15709.5</v>
      </c>
    </row>
    <row r="539" spans="1:18" s="28" customFormat="1" ht="14.4" x14ac:dyDescent="0.3">
      <c r="A539" s="28">
        <v>78083</v>
      </c>
      <c r="B539" s="28" t="s">
        <v>3246</v>
      </c>
      <c r="C539" s="28">
        <v>1110518655</v>
      </c>
      <c r="D539" s="28" t="s">
        <v>3247</v>
      </c>
      <c r="E539" s="28" t="s">
        <v>3248</v>
      </c>
      <c r="F539" s="28" t="s">
        <v>3249</v>
      </c>
      <c r="G539" s="28" t="s">
        <v>3250</v>
      </c>
      <c r="H539" s="28" t="s">
        <v>3251</v>
      </c>
      <c r="I539" s="28" t="s">
        <v>3252</v>
      </c>
      <c r="J539" s="28" t="s">
        <v>70</v>
      </c>
      <c r="K539" s="28" t="s">
        <v>140</v>
      </c>
      <c r="L539" s="28" t="s">
        <v>140</v>
      </c>
      <c r="M539" s="28">
        <v>25754</v>
      </c>
      <c r="N539" s="29" t="s">
        <v>790</v>
      </c>
      <c r="O539" s="24">
        <f>VLOOKUP(A539,Hoja1!A:C,3,0)</f>
        <v>8</v>
      </c>
      <c r="P539" s="30" t="str">
        <f>VLOOKUP(M539,[1]TIPOLOGIAS!$A:$F,4,0)</f>
        <v>BOGOTA</v>
      </c>
      <c r="Q539" s="30" t="str">
        <f>VLOOKUP(P539,'BASE TARIFA 2025'!C:D,2,0)</f>
        <v>WOMPI CENTRO</v>
      </c>
      <c r="R539" s="31">
        <f>VLOOKUP(P539,'BASE TARIFA 2025'!C:F,4,0)</f>
        <v>15709.5</v>
      </c>
    </row>
    <row r="540" spans="1:18" s="28" customFormat="1" ht="14.4" x14ac:dyDescent="0.3">
      <c r="A540" s="28">
        <v>78528</v>
      </c>
      <c r="B540" s="28" t="s">
        <v>3253</v>
      </c>
      <c r="C540" s="28">
        <v>1104706033</v>
      </c>
      <c r="D540" s="28" t="s">
        <v>3254</v>
      </c>
      <c r="E540" s="28" t="s">
        <v>3254</v>
      </c>
      <c r="G540" s="28" t="s">
        <v>3255</v>
      </c>
      <c r="H540" s="28" t="s">
        <v>3256</v>
      </c>
      <c r="I540" s="28" t="s">
        <v>3257</v>
      </c>
      <c r="J540" s="28" t="s">
        <v>70</v>
      </c>
      <c r="K540" s="28" t="s">
        <v>140</v>
      </c>
      <c r="L540" s="28" t="s">
        <v>140</v>
      </c>
      <c r="M540" s="28">
        <v>25754</v>
      </c>
      <c r="N540" s="29" t="s">
        <v>722</v>
      </c>
      <c r="O540" s="24">
        <f>VLOOKUP(A540,Hoja1!A:C,3,0)</f>
        <v>8</v>
      </c>
      <c r="P540" s="30" t="str">
        <f>VLOOKUP(M540,[1]TIPOLOGIAS!$A:$F,4,0)</f>
        <v>BOGOTA</v>
      </c>
      <c r="Q540" s="30" t="str">
        <f>VLOOKUP(P540,'BASE TARIFA 2025'!C:D,2,0)</f>
        <v>WOMPI CENTRO</v>
      </c>
      <c r="R540" s="31">
        <f>VLOOKUP(P540,'BASE TARIFA 2025'!C:F,4,0)</f>
        <v>15709.5</v>
      </c>
    </row>
    <row r="541" spans="1:18" s="28" customFormat="1" ht="14.4" x14ac:dyDescent="0.3">
      <c r="A541" s="28">
        <v>78382</v>
      </c>
      <c r="B541" s="28" t="s">
        <v>3258</v>
      </c>
      <c r="C541" s="28">
        <v>1088026850</v>
      </c>
      <c r="D541" s="28" t="s">
        <v>3259</v>
      </c>
      <c r="E541" s="28" t="s">
        <v>3260</v>
      </c>
      <c r="F541" s="28" t="s">
        <v>3259</v>
      </c>
      <c r="G541" s="28" t="s">
        <v>3261</v>
      </c>
      <c r="H541" s="28" t="s">
        <v>3262</v>
      </c>
      <c r="I541" s="28" t="s">
        <v>3263</v>
      </c>
      <c r="J541" s="28" t="s">
        <v>92</v>
      </c>
      <c r="K541" s="28" t="s">
        <v>157</v>
      </c>
      <c r="L541" s="28" t="s">
        <v>157</v>
      </c>
      <c r="M541" s="28">
        <v>54001</v>
      </c>
      <c r="N541" s="29" t="s">
        <v>744</v>
      </c>
      <c r="O541" s="24">
        <f>VLOOKUP(A541,Hoja1!A:C,3,0)</f>
        <v>8</v>
      </c>
      <c r="P541" s="30" t="str">
        <f>VLOOKUP(M541,[1]TIPOLOGIAS!$A:$F,4,0)</f>
        <v>CUCUTA</v>
      </c>
      <c r="Q541" s="30" t="str">
        <f>VLOOKUP(P541,'BASE TARIFA 2025'!C:D,2,0)</f>
        <v>WOMPI SANTANDERES</v>
      </c>
      <c r="R541" s="31">
        <f>VLOOKUP(P541,'BASE TARIFA 2025'!C:F,4,0)</f>
        <v>28277.100000000002</v>
      </c>
    </row>
    <row r="542" spans="1:18" s="28" customFormat="1" ht="14.4" x14ac:dyDescent="0.3">
      <c r="A542" s="28">
        <v>77676</v>
      </c>
      <c r="B542" s="28" t="s">
        <v>3264</v>
      </c>
      <c r="C542" s="28">
        <v>19363882</v>
      </c>
      <c r="E542" s="28" t="s">
        <v>1848</v>
      </c>
      <c r="F542" s="28" t="s">
        <v>3265</v>
      </c>
      <c r="G542" s="28" t="s">
        <v>3266</v>
      </c>
      <c r="H542" s="28" t="s">
        <v>3267</v>
      </c>
      <c r="I542" s="28" t="s">
        <v>3268</v>
      </c>
      <c r="J542" s="28" t="s">
        <v>92</v>
      </c>
      <c r="K542" s="28" t="s">
        <v>157</v>
      </c>
      <c r="L542" s="28" t="s">
        <v>157</v>
      </c>
      <c r="M542" s="28">
        <v>54001</v>
      </c>
      <c r="N542" s="29" t="s">
        <v>655</v>
      </c>
      <c r="O542" s="24">
        <f>VLOOKUP(A542,Hoja1!A:C,3,0)</f>
        <v>8</v>
      </c>
      <c r="P542" s="30" t="str">
        <f>VLOOKUP(M542,[1]TIPOLOGIAS!$A:$F,4,0)</f>
        <v>CUCUTA</v>
      </c>
      <c r="Q542" s="30" t="str">
        <f>VLOOKUP(P542,'BASE TARIFA 2025'!C:D,2,0)</f>
        <v>WOMPI SANTANDERES</v>
      </c>
      <c r="R542" s="31">
        <f>VLOOKUP(P542,'BASE TARIFA 2025'!C:F,4,0)</f>
        <v>28277.100000000002</v>
      </c>
    </row>
    <row r="543" spans="1:18" s="28" customFormat="1" ht="14.4" x14ac:dyDescent="0.3">
      <c r="A543" s="28">
        <v>78381</v>
      </c>
      <c r="B543" s="28" t="s">
        <v>3269</v>
      </c>
      <c r="C543" s="28">
        <v>1110461982</v>
      </c>
      <c r="D543" s="28" t="s">
        <v>3270</v>
      </c>
      <c r="E543" s="28" t="s">
        <v>3271</v>
      </c>
      <c r="F543" s="28" t="s">
        <v>3271</v>
      </c>
      <c r="G543" s="28" t="s">
        <v>3272</v>
      </c>
      <c r="H543" s="28" t="s">
        <v>3273</v>
      </c>
      <c r="I543" s="28" t="s">
        <v>3274</v>
      </c>
      <c r="J543" s="28" t="s">
        <v>92</v>
      </c>
      <c r="K543" s="28" t="s">
        <v>157</v>
      </c>
      <c r="L543" s="28" t="s">
        <v>157</v>
      </c>
      <c r="M543" s="28">
        <v>54001</v>
      </c>
      <c r="N543" s="29" t="s">
        <v>756</v>
      </c>
      <c r="O543" s="24">
        <f>VLOOKUP(A543,Hoja1!A:C,3,0)</f>
        <v>8</v>
      </c>
      <c r="P543" s="30" t="str">
        <f>VLOOKUP(M543,[1]TIPOLOGIAS!$A:$F,4,0)</f>
        <v>CUCUTA</v>
      </c>
      <c r="Q543" s="30" t="str">
        <f>VLOOKUP(P543,'BASE TARIFA 2025'!C:D,2,0)</f>
        <v>WOMPI SANTANDERES</v>
      </c>
      <c r="R543" s="31">
        <f>VLOOKUP(P543,'BASE TARIFA 2025'!C:F,4,0)</f>
        <v>28277.100000000002</v>
      </c>
    </row>
    <row r="544" spans="1:18" s="28" customFormat="1" ht="14.4" x14ac:dyDescent="0.3">
      <c r="A544" s="28">
        <v>75410</v>
      </c>
      <c r="B544" s="28" t="s">
        <v>3275</v>
      </c>
      <c r="C544" s="28">
        <v>46450200</v>
      </c>
      <c r="D544" s="28" t="s">
        <v>69</v>
      </c>
      <c r="E544" s="28" t="s">
        <v>3276</v>
      </c>
      <c r="F544" s="28" t="s">
        <v>3276</v>
      </c>
      <c r="G544" s="28" t="s">
        <v>3277</v>
      </c>
      <c r="H544" s="28" t="s">
        <v>3278</v>
      </c>
      <c r="I544" s="28" t="s">
        <v>3279</v>
      </c>
      <c r="J544" s="28" t="s">
        <v>92</v>
      </c>
      <c r="K544" s="28" t="s">
        <v>157</v>
      </c>
      <c r="L544" s="28" t="s">
        <v>157</v>
      </c>
      <c r="M544" s="28">
        <v>54001</v>
      </c>
      <c r="N544" s="29" t="s">
        <v>744</v>
      </c>
      <c r="O544" s="24">
        <f>VLOOKUP(A544,Hoja1!A:C,3,0)</f>
        <v>8</v>
      </c>
      <c r="P544" s="30" t="str">
        <f>VLOOKUP(M544,[1]TIPOLOGIAS!$A:$F,4,0)</f>
        <v>CUCUTA</v>
      </c>
      <c r="Q544" s="30" t="str">
        <f>VLOOKUP(P544,'BASE TARIFA 2025'!C:D,2,0)</f>
        <v>WOMPI SANTANDERES</v>
      </c>
      <c r="R544" s="31">
        <f>VLOOKUP(P544,'BASE TARIFA 2025'!C:F,4,0)</f>
        <v>28277.100000000002</v>
      </c>
    </row>
    <row r="545" spans="1:18" s="28" customFormat="1" ht="14.4" x14ac:dyDescent="0.3">
      <c r="A545" s="28">
        <v>73076</v>
      </c>
      <c r="B545" s="28" t="s">
        <v>3280</v>
      </c>
      <c r="C545" s="28">
        <v>80111905</v>
      </c>
      <c r="D545" s="28" t="s">
        <v>69</v>
      </c>
      <c r="E545" s="28" t="s">
        <v>3281</v>
      </c>
      <c r="F545" s="28" t="s">
        <v>3281</v>
      </c>
      <c r="G545" s="28" t="s">
        <v>3282</v>
      </c>
      <c r="H545" s="28" t="s">
        <v>3283</v>
      </c>
      <c r="I545" s="28" t="s">
        <v>3284</v>
      </c>
      <c r="J545" s="28" t="s">
        <v>92</v>
      </c>
      <c r="K545" s="28" t="s">
        <v>157</v>
      </c>
      <c r="L545" s="28" t="s">
        <v>157</v>
      </c>
      <c r="M545" s="28">
        <v>54001</v>
      </c>
      <c r="N545" s="29" t="s">
        <v>655</v>
      </c>
      <c r="O545" s="24">
        <f>VLOOKUP(A545,Hoja1!A:C,3,0)</f>
        <v>8</v>
      </c>
      <c r="P545" s="30" t="str">
        <f>VLOOKUP(M545,[1]TIPOLOGIAS!$A:$F,4,0)</f>
        <v>CUCUTA</v>
      </c>
      <c r="Q545" s="30" t="str">
        <f>VLOOKUP(P545,'BASE TARIFA 2025'!C:D,2,0)</f>
        <v>WOMPI SANTANDERES</v>
      </c>
      <c r="R545" s="31">
        <f>VLOOKUP(P545,'BASE TARIFA 2025'!C:F,4,0)</f>
        <v>28277.100000000002</v>
      </c>
    </row>
    <row r="546" spans="1:18" s="28" customFormat="1" ht="14.4" x14ac:dyDescent="0.3">
      <c r="A546" s="28">
        <v>70850</v>
      </c>
      <c r="B546" s="28" t="s">
        <v>3285</v>
      </c>
      <c r="C546" s="28">
        <v>1110448327</v>
      </c>
      <c r="D546" s="28" t="s">
        <v>3286</v>
      </c>
      <c r="E546" s="28" t="s">
        <v>3287</v>
      </c>
      <c r="F546" s="28" t="s">
        <v>3287</v>
      </c>
      <c r="G546" s="28" t="s">
        <v>3288</v>
      </c>
      <c r="H546" s="28" t="s">
        <v>3087</v>
      </c>
      <c r="I546" s="28" t="s">
        <v>3289</v>
      </c>
      <c r="J546" s="28" t="s">
        <v>92</v>
      </c>
      <c r="K546" s="28" t="s">
        <v>157</v>
      </c>
      <c r="L546" s="28" t="s">
        <v>157</v>
      </c>
      <c r="M546" s="28">
        <v>54001</v>
      </c>
      <c r="N546" s="29" t="s">
        <v>756</v>
      </c>
      <c r="O546" s="24">
        <f>VLOOKUP(A546,Hoja1!A:C,3,0)</f>
        <v>8</v>
      </c>
      <c r="P546" s="30" t="str">
        <f>VLOOKUP(M546,[1]TIPOLOGIAS!$A:$F,4,0)</f>
        <v>CUCUTA</v>
      </c>
      <c r="Q546" s="30" t="str">
        <f>VLOOKUP(P546,'BASE TARIFA 2025'!C:D,2,0)</f>
        <v>WOMPI SANTANDERES</v>
      </c>
      <c r="R546" s="31">
        <f>VLOOKUP(P546,'BASE TARIFA 2025'!C:F,4,0)</f>
        <v>28277.100000000002</v>
      </c>
    </row>
    <row r="547" spans="1:18" s="28" customFormat="1" ht="14.4" x14ac:dyDescent="0.3">
      <c r="A547" s="28">
        <v>67622</v>
      </c>
      <c r="B547" s="28" t="s">
        <v>3290</v>
      </c>
      <c r="C547" s="28">
        <v>65763427</v>
      </c>
      <c r="D547" s="28" t="s">
        <v>3291</v>
      </c>
      <c r="E547" s="28" t="s">
        <v>3291</v>
      </c>
      <c r="F547" s="28" t="s">
        <v>3291</v>
      </c>
      <c r="G547" s="28" t="s">
        <v>3292</v>
      </c>
      <c r="H547" s="28" t="s">
        <v>3293</v>
      </c>
      <c r="I547" s="28" t="s">
        <v>3294</v>
      </c>
      <c r="J547" s="28" t="s">
        <v>85</v>
      </c>
      <c r="K547" s="28" t="s">
        <v>3127</v>
      </c>
      <c r="L547" s="28" t="s">
        <v>3127</v>
      </c>
      <c r="M547" s="28">
        <v>23068</v>
      </c>
      <c r="N547" s="29" t="s">
        <v>716</v>
      </c>
      <c r="O547" s="24">
        <f>VLOOKUP(A547,Hoja1!A:C,3,0)</f>
        <v>8</v>
      </c>
      <c r="P547" s="30" t="str">
        <f>VLOOKUP(M547,[1]TIPOLOGIAS!$A:$F,4,0)</f>
        <v>MONTERIA</v>
      </c>
      <c r="Q547" s="30" t="str">
        <f>VLOOKUP(P547,'BASE TARIFA 2025'!C:D,2,0)</f>
        <v>WOMPI COSTA</v>
      </c>
      <c r="R547" s="31">
        <f>VLOOKUP(P547,'BASE TARIFA 2025'!C:F,4,0)</f>
        <v>15709.5</v>
      </c>
    </row>
    <row r="548" spans="1:18" s="28" customFormat="1" ht="14.4" x14ac:dyDescent="0.3">
      <c r="A548" s="28">
        <v>67380</v>
      </c>
      <c r="B548" s="28" t="s">
        <v>3295</v>
      </c>
      <c r="C548" s="28">
        <v>1110492992</v>
      </c>
      <c r="D548" s="28" t="s">
        <v>3296</v>
      </c>
      <c r="E548" s="28" t="s">
        <v>3297</v>
      </c>
      <c r="F548" s="28" t="s">
        <v>3297</v>
      </c>
      <c r="G548" s="28" t="s">
        <v>3298</v>
      </c>
      <c r="H548" s="28" t="s">
        <v>3299</v>
      </c>
      <c r="I548" s="28" t="s">
        <v>3300</v>
      </c>
      <c r="J548" s="28" t="s">
        <v>85</v>
      </c>
      <c r="K548" s="28" t="s">
        <v>189</v>
      </c>
      <c r="L548" s="28" t="s">
        <v>189</v>
      </c>
      <c r="M548" s="28">
        <v>23670</v>
      </c>
      <c r="N548" s="29" t="s">
        <v>1012</v>
      </c>
      <c r="O548" s="24">
        <f>VLOOKUP(A548,Hoja1!A:C,3,0)</f>
        <v>16</v>
      </c>
      <c r="P548" s="30" t="str">
        <f>VLOOKUP(M548,[1]TIPOLOGIAS!$A:$F,4,0)</f>
        <v>MONTERIA</v>
      </c>
      <c r="Q548" s="30" t="str">
        <f>VLOOKUP(P548,'BASE TARIFA 2025'!C:D,2,0)</f>
        <v>WOMPI COSTA</v>
      </c>
      <c r="R548" s="31">
        <f>VLOOKUP(P548,'BASE TARIFA 2025'!C:F,4,0)</f>
        <v>15709.5</v>
      </c>
    </row>
    <row r="549" spans="1:18" s="28" customFormat="1" ht="14.4" x14ac:dyDescent="0.3">
      <c r="A549" s="28">
        <v>65316</v>
      </c>
      <c r="B549" s="28" t="s">
        <v>3301</v>
      </c>
      <c r="C549" s="28">
        <v>6030761</v>
      </c>
      <c r="D549" s="28" t="s">
        <v>3302</v>
      </c>
      <c r="E549" s="28" t="s">
        <v>3302</v>
      </c>
      <c r="F549" s="28" t="s">
        <v>3302</v>
      </c>
      <c r="G549" s="28" t="s">
        <v>3303</v>
      </c>
      <c r="H549" s="28" t="s">
        <v>3304</v>
      </c>
      <c r="I549" s="28" t="s">
        <v>3305</v>
      </c>
      <c r="J549" s="28" t="s">
        <v>85</v>
      </c>
      <c r="K549" s="28" t="s">
        <v>189</v>
      </c>
      <c r="L549" s="28" t="s">
        <v>189</v>
      </c>
      <c r="M549" s="28">
        <v>23670</v>
      </c>
      <c r="N549" s="29" t="s">
        <v>1012</v>
      </c>
      <c r="O549" s="24">
        <f>VLOOKUP(A549,Hoja1!A:C,3,0)</f>
        <v>8</v>
      </c>
      <c r="P549" s="30" t="str">
        <f>VLOOKUP(M549,[1]TIPOLOGIAS!$A:$F,4,0)</f>
        <v>MONTERIA</v>
      </c>
      <c r="Q549" s="30" t="str">
        <f>VLOOKUP(P549,'BASE TARIFA 2025'!C:D,2,0)</f>
        <v>WOMPI COSTA</v>
      </c>
      <c r="R549" s="31">
        <f>VLOOKUP(P549,'BASE TARIFA 2025'!C:F,4,0)</f>
        <v>15709.5</v>
      </c>
    </row>
    <row r="550" spans="1:18" s="28" customFormat="1" ht="14.4" x14ac:dyDescent="0.3">
      <c r="A550" s="28">
        <v>63485</v>
      </c>
      <c r="B550" s="28" t="s">
        <v>3306</v>
      </c>
      <c r="C550" s="28">
        <v>80111905</v>
      </c>
      <c r="D550" s="28" t="s">
        <v>3307</v>
      </c>
      <c r="E550" s="28" t="s">
        <v>3308</v>
      </c>
      <c r="F550" s="28" t="s">
        <v>3308</v>
      </c>
      <c r="G550" s="28" t="s">
        <v>3309</v>
      </c>
      <c r="H550" s="28" t="s">
        <v>3310</v>
      </c>
      <c r="I550" s="28" t="s">
        <v>3311</v>
      </c>
      <c r="J550" s="28" t="s">
        <v>85</v>
      </c>
      <c r="K550" s="28" t="s">
        <v>190</v>
      </c>
      <c r="L550" s="28" t="s">
        <v>190</v>
      </c>
      <c r="M550" s="28">
        <v>23672</v>
      </c>
      <c r="N550" s="29" t="s">
        <v>560</v>
      </c>
      <c r="O550" s="24">
        <f>VLOOKUP(A550,Hoja1!A:C,3,0)</f>
        <v>16</v>
      </c>
      <c r="P550" s="30" t="str">
        <f>VLOOKUP(M550,[1]TIPOLOGIAS!$A:$F,4,0)</f>
        <v>MONTERIA</v>
      </c>
      <c r="Q550" s="30" t="str">
        <f>VLOOKUP(P550,'BASE TARIFA 2025'!C:D,2,0)</f>
        <v>WOMPI COSTA</v>
      </c>
      <c r="R550" s="31">
        <f>VLOOKUP(P550,'BASE TARIFA 2025'!C:F,4,0)</f>
        <v>15709.5</v>
      </c>
    </row>
    <row r="551" spans="1:18" s="28" customFormat="1" ht="14.4" x14ac:dyDescent="0.3">
      <c r="A551" s="28">
        <v>64973</v>
      </c>
      <c r="B551" s="28" t="s">
        <v>3312</v>
      </c>
      <c r="C551" s="28">
        <v>65553424</v>
      </c>
      <c r="D551" s="28" t="s">
        <v>3313</v>
      </c>
      <c r="E551" s="28" t="s">
        <v>3314</v>
      </c>
      <c r="F551" s="28" t="s">
        <v>3314</v>
      </c>
      <c r="G551" s="28" t="s">
        <v>3315</v>
      </c>
      <c r="H551" s="28" t="s">
        <v>3316</v>
      </c>
      <c r="I551" s="28" t="s">
        <v>3317</v>
      </c>
      <c r="J551" s="28" t="s">
        <v>85</v>
      </c>
      <c r="K551" s="28" t="s">
        <v>190</v>
      </c>
      <c r="L551" s="28" t="s">
        <v>190</v>
      </c>
      <c r="M551" s="28">
        <v>23672</v>
      </c>
      <c r="N551" s="29" t="s">
        <v>560</v>
      </c>
      <c r="O551" s="24">
        <f>VLOOKUP(A551,Hoja1!A:C,3,0)</f>
        <v>8</v>
      </c>
      <c r="P551" s="30" t="str">
        <f>VLOOKUP(M551,[1]TIPOLOGIAS!$A:$F,4,0)</f>
        <v>MONTERIA</v>
      </c>
      <c r="Q551" s="30" t="str">
        <f>VLOOKUP(P551,'BASE TARIFA 2025'!C:D,2,0)</f>
        <v>WOMPI COSTA</v>
      </c>
      <c r="R551" s="31">
        <f>VLOOKUP(P551,'BASE TARIFA 2025'!C:F,4,0)</f>
        <v>15709.5</v>
      </c>
    </row>
    <row r="552" spans="1:18" s="28" customFormat="1" ht="14.4" x14ac:dyDescent="0.3">
      <c r="A552" s="28">
        <v>65322</v>
      </c>
      <c r="B552" s="28" t="s">
        <v>3318</v>
      </c>
      <c r="C552" s="28">
        <v>65732523</v>
      </c>
      <c r="D552" s="28" t="s">
        <v>69</v>
      </c>
      <c r="E552" s="28" t="s">
        <v>3319</v>
      </c>
      <c r="F552" s="28" t="s">
        <v>3320</v>
      </c>
      <c r="G552" s="28" t="s">
        <v>3321</v>
      </c>
      <c r="H552" s="28" t="s">
        <v>3322</v>
      </c>
      <c r="I552" s="28" t="s">
        <v>3323</v>
      </c>
      <c r="J552" s="28" t="s">
        <v>70</v>
      </c>
      <c r="K552" s="28" t="s">
        <v>3324</v>
      </c>
      <c r="L552" s="28" t="s">
        <v>3324</v>
      </c>
      <c r="M552" s="28">
        <v>25513</v>
      </c>
      <c r="N552" s="29" t="s">
        <v>996</v>
      </c>
      <c r="O552" s="24">
        <f>VLOOKUP(A552,Hoja1!A:C,3,0)</f>
        <v>8</v>
      </c>
      <c r="P552" s="30" t="str">
        <f>VLOOKUP(M552,[1]TIPOLOGIAS!$A:$F,4,0)</f>
        <v>BOGOTA</v>
      </c>
      <c r="Q552" s="30" t="str">
        <f>VLOOKUP(P552,'BASE TARIFA 2025'!C:D,2,0)</f>
        <v>WOMPI CENTRO</v>
      </c>
      <c r="R552" s="31">
        <f>VLOOKUP(P552,'BASE TARIFA 2025'!C:F,4,0)</f>
        <v>15709.5</v>
      </c>
    </row>
    <row r="553" spans="1:18" s="28" customFormat="1" ht="14.4" x14ac:dyDescent="0.3">
      <c r="A553" s="28">
        <v>18095</v>
      </c>
      <c r="B553" s="28" t="s">
        <v>3325</v>
      </c>
      <c r="C553" s="28">
        <v>14234425</v>
      </c>
      <c r="D553" s="28" t="s">
        <v>69</v>
      </c>
      <c r="E553" s="28" t="s">
        <v>3326</v>
      </c>
      <c r="F553" s="28" t="s">
        <v>3326</v>
      </c>
      <c r="G553" s="28" t="s">
        <v>3327</v>
      </c>
      <c r="H553" s="28" t="s">
        <v>3328</v>
      </c>
      <c r="I553" s="28" t="s">
        <v>3329</v>
      </c>
      <c r="J553" s="28" t="s">
        <v>70</v>
      </c>
      <c r="K553" s="28" t="s">
        <v>3324</v>
      </c>
      <c r="L553" s="28" t="s">
        <v>3324</v>
      </c>
      <c r="M553" s="28">
        <v>25513</v>
      </c>
      <c r="N553" s="29" t="s">
        <v>1012</v>
      </c>
      <c r="O553" s="24">
        <f>VLOOKUP(A553,Hoja1!A:C,3,0)</f>
        <v>16</v>
      </c>
      <c r="P553" s="30" t="str">
        <f>VLOOKUP(M553,[1]TIPOLOGIAS!$A:$F,4,0)</f>
        <v>BOGOTA</v>
      </c>
      <c r="Q553" s="30" t="str">
        <f>VLOOKUP(P553,'BASE TARIFA 2025'!C:D,2,0)</f>
        <v>WOMPI CENTRO</v>
      </c>
      <c r="R553" s="31">
        <f>VLOOKUP(P553,'BASE TARIFA 2025'!C:F,4,0)</f>
        <v>15709.5</v>
      </c>
    </row>
    <row r="554" spans="1:18" s="28" customFormat="1" ht="14.4" x14ac:dyDescent="0.3">
      <c r="A554" s="28">
        <v>64175</v>
      </c>
      <c r="B554" s="28" t="s">
        <v>3330</v>
      </c>
      <c r="C554" s="28">
        <v>28936832</v>
      </c>
      <c r="D554" s="28" t="s">
        <v>69</v>
      </c>
      <c r="E554" s="28" t="s">
        <v>3331</v>
      </c>
      <c r="F554" s="28" t="s">
        <v>3331</v>
      </c>
      <c r="G554" s="28" t="s">
        <v>3332</v>
      </c>
      <c r="H554" s="28" t="s">
        <v>3333</v>
      </c>
      <c r="I554" s="28" t="s">
        <v>3334</v>
      </c>
      <c r="J554" s="28" t="s">
        <v>70</v>
      </c>
      <c r="K554" s="28" t="s">
        <v>3324</v>
      </c>
      <c r="L554" s="28" t="s">
        <v>3324</v>
      </c>
      <c r="M554" s="28">
        <v>25513</v>
      </c>
      <c r="N554" s="29" t="s">
        <v>1012</v>
      </c>
      <c r="O554" s="24">
        <f>VLOOKUP(A554,Hoja1!A:C,3,0)</f>
        <v>8</v>
      </c>
      <c r="P554" s="30" t="str">
        <f>VLOOKUP(M554,[1]TIPOLOGIAS!$A:$F,4,0)</f>
        <v>BOGOTA</v>
      </c>
      <c r="Q554" s="30" t="str">
        <f>VLOOKUP(P554,'BASE TARIFA 2025'!C:D,2,0)</f>
        <v>WOMPI CENTRO</v>
      </c>
      <c r="R554" s="31">
        <f>VLOOKUP(P554,'BASE TARIFA 2025'!C:F,4,0)</f>
        <v>15709.5</v>
      </c>
    </row>
    <row r="555" spans="1:18" s="28" customFormat="1" ht="14.4" x14ac:dyDescent="0.3">
      <c r="A555" s="28">
        <v>61235</v>
      </c>
      <c r="B555" s="28" t="s">
        <v>3335</v>
      </c>
      <c r="C555" s="28">
        <v>1110547024</v>
      </c>
      <c r="D555" s="28" t="s">
        <v>3336</v>
      </c>
      <c r="E555" s="28" t="s">
        <v>3336</v>
      </c>
      <c r="F555" s="28" t="s">
        <v>3336</v>
      </c>
      <c r="G555" s="28" t="s">
        <v>3337</v>
      </c>
      <c r="H555" s="28" t="s">
        <v>3338</v>
      </c>
      <c r="I555" s="28" t="s">
        <v>3339</v>
      </c>
      <c r="J555" s="28" t="s">
        <v>70</v>
      </c>
      <c r="K555" s="28" t="s">
        <v>3324</v>
      </c>
      <c r="L555" s="28" t="s">
        <v>3324</v>
      </c>
      <c r="M555" s="28">
        <v>25513</v>
      </c>
      <c r="N555" s="29" t="s">
        <v>1012</v>
      </c>
      <c r="O555" s="24">
        <f>VLOOKUP(A555,Hoja1!A:C,3,0)</f>
        <v>8</v>
      </c>
      <c r="P555" s="30" t="str">
        <f>VLOOKUP(M555,[1]TIPOLOGIAS!$A:$F,4,0)</f>
        <v>BOGOTA</v>
      </c>
      <c r="Q555" s="30" t="str">
        <f>VLOOKUP(P555,'BASE TARIFA 2025'!C:D,2,0)</f>
        <v>WOMPI CENTRO</v>
      </c>
      <c r="R555" s="31">
        <f>VLOOKUP(P555,'BASE TARIFA 2025'!C:F,4,0)</f>
        <v>15709.5</v>
      </c>
    </row>
    <row r="556" spans="1:18" s="28" customFormat="1" ht="14.4" x14ac:dyDescent="0.3">
      <c r="A556" s="28">
        <v>61606</v>
      </c>
      <c r="B556" s="28" t="s">
        <v>3340</v>
      </c>
      <c r="C556" s="28">
        <v>1006124226</v>
      </c>
      <c r="D556" s="28" t="s">
        <v>3341</v>
      </c>
      <c r="E556" s="28" t="s">
        <v>3342</v>
      </c>
      <c r="F556" s="28" t="s">
        <v>3342</v>
      </c>
      <c r="G556" s="28" t="s">
        <v>3343</v>
      </c>
      <c r="H556" s="28" t="s">
        <v>3344</v>
      </c>
      <c r="I556" s="28" t="s">
        <v>3345</v>
      </c>
      <c r="J556" s="28" t="s">
        <v>70</v>
      </c>
      <c r="K556" s="28" t="s">
        <v>191</v>
      </c>
      <c r="L556" s="28" t="s">
        <v>191</v>
      </c>
      <c r="M556" s="28">
        <v>25645</v>
      </c>
      <c r="N556" s="29" t="s">
        <v>582</v>
      </c>
      <c r="O556" s="24">
        <f>VLOOKUP(A556,Hoja1!A:C,3,0)</f>
        <v>8</v>
      </c>
      <c r="P556" s="30" t="str">
        <f>VLOOKUP(M556,[1]TIPOLOGIAS!$A:$F,4,0)</f>
        <v>BOGOTA</v>
      </c>
      <c r="Q556" s="30" t="str">
        <f>VLOOKUP(P556,'BASE TARIFA 2025'!C:D,2,0)</f>
        <v>WOMPI CENTRO</v>
      </c>
      <c r="R556" s="31">
        <f>VLOOKUP(P556,'BASE TARIFA 2025'!C:F,4,0)</f>
        <v>15709.5</v>
      </c>
    </row>
    <row r="557" spans="1:18" s="28" customFormat="1" ht="14.4" x14ac:dyDescent="0.3">
      <c r="A557" s="28">
        <v>60996</v>
      </c>
      <c r="B557" s="28" t="s">
        <v>3346</v>
      </c>
      <c r="C557" s="28">
        <v>1005703282</v>
      </c>
      <c r="D557" s="28" t="s">
        <v>3347</v>
      </c>
      <c r="E557" s="28" t="s">
        <v>3347</v>
      </c>
      <c r="F557" s="28" t="s">
        <v>3347</v>
      </c>
      <c r="G557" s="28" t="s">
        <v>3348</v>
      </c>
      <c r="H557" s="28" t="s">
        <v>3349</v>
      </c>
      <c r="I557" s="28" t="s">
        <v>3350</v>
      </c>
      <c r="J557" s="28" t="s">
        <v>70</v>
      </c>
      <c r="K557" s="28" t="s">
        <v>191</v>
      </c>
      <c r="L557" s="28" t="s">
        <v>191</v>
      </c>
      <c r="M557" s="28">
        <v>25645</v>
      </c>
      <c r="N557" s="29" t="s">
        <v>582</v>
      </c>
      <c r="O557" s="24">
        <f>VLOOKUP(A557,Hoja1!A:C,3,0)</f>
        <v>16</v>
      </c>
      <c r="P557" s="30" t="str">
        <f>VLOOKUP(M557,[1]TIPOLOGIAS!$A:$F,4,0)</f>
        <v>BOGOTA</v>
      </c>
      <c r="Q557" s="30" t="str">
        <f>VLOOKUP(P557,'BASE TARIFA 2025'!C:D,2,0)</f>
        <v>WOMPI CENTRO</v>
      </c>
      <c r="R557" s="31">
        <f>VLOOKUP(P557,'BASE TARIFA 2025'!C:F,4,0)</f>
        <v>15709.5</v>
      </c>
    </row>
    <row r="558" spans="1:18" s="28" customFormat="1" ht="14.4" x14ac:dyDescent="0.3">
      <c r="A558" s="28">
        <v>59249</v>
      </c>
      <c r="B558" s="28" t="s">
        <v>3351</v>
      </c>
      <c r="C558" s="28">
        <v>38140611</v>
      </c>
      <c r="D558" s="28" t="s">
        <v>3352</v>
      </c>
      <c r="E558" s="28" t="s">
        <v>3353</v>
      </c>
      <c r="F558" s="28" t="s">
        <v>3354</v>
      </c>
      <c r="G558" s="28" t="s">
        <v>3355</v>
      </c>
      <c r="H558" s="28" t="s">
        <v>3356</v>
      </c>
      <c r="I558" s="28" t="s">
        <v>3357</v>
      </c>
      <c r="J558" s="28" t="s">
        <v>70</v>
      </c>
      <c r="K558" s="28" t="s">
        <v>114</v>
      </c>
      <c r="L558" s="28" t="s">
        <v>114</v>
      </c>
      <c r="M558" s="28">
        <v>25658</v>
      </c>
      <c r="N558" s="29" t="s">
        <v>530</v>
      </c>
      <c r="O558" s="24">
        <f>VLOOKUP(A558,Hoja1!A:C,3,0)</f>
        <v>16</v>
      </c>
      <c r="P558" s="30" t="str">
        <f>VLOOKUP(M558,[1]TIPOLOGIAS!$A:$F,4,0)</f>
        <v>BOGOTA</v>
      </c>
      <c r="Q558" s="30" t="str">
        <f>VLOOKUP(P558,'BASE TARIFA 2025'!C:D,2,0)</f>
        <v>WOMPI CENTRO</v>
      </c>
      <c r="R558" s="31">
        <f>VLOOKUP(P558,'BASE TARIFA 2025'!C:F,4,0)</f>
        <v>15709.5</v>
      </c>
    </row>
    <row r="559" spans="1:18" s="28" customFormat="1" ht="14.4" x14ac:dyDescent="0.3">
      <c r="A559" s="28">
        <v>58685</v>
      </c>
      <c r="B559" s="28" t="s">
        <v>3358</v>
      </c>
      <c r="C559" s="28">
        <v>65808373</v>
      </c>
      <c r="D559" s="28" t="s">
        <v>69</v>
      </c>
      <c r="E559" s="28" t="s">
        <v>3359</v>
      </c>
      <c r="F559" s="28" t="s">
        <v>3359</v>
      </c>
      <c r="G559" s="28" t="s">
        <v>3360</v>
      </c>
      <c r="H559" s="28" t="s">
        <v>3361</v>
      </c>
      <c r="I559" s="28" t="s">
        <v>3362</v>
      </c>
      <c r="J559" s="28" t="s">
        <v>70</v>
      </c>
      <c r="K559" s="28" t="s">
        <v>114</v>
      </c>
      <c r="L559" s="28" t="s">
        <v>114</v>
      </c>
      <c r="M559" s="28">
        <v>25658</v>
      </c>
      <c r="N559" s="29" t="s">
        <v>530</v>
      </c>
      <c r="O559" s="24">
        <f>VLOOKUP(A559,Hoja1!A:C,3,0)</f>
        <v>16</v>
      </c>
      <c r="P559" s="30" t="str">
        <f>VLOOKUP(M559,[1]TIPOLOGIAS!$A:$F,4,0)</f>
        <v>BOGOTA</v>
      </c>
      <c r="Q559" s="30" t="str">
        <f>VLOOKUP(P559,'BASE TARIFA 2025'!C:D,2,0)</f>
        <v>WOMPI CENTRO</v>
      </c>
      <c r="R559" s="31">
        <f>VLOOKUP(P559,'BASE TARIFA 2025'!C:F,4,0)</f>
        <v>15709.5</v>
      </c>
    </row>
    <row r="560" spans="1:18" s="28" customFormat="1" ht="14.4" x14ac:dyDescent="0.3">
      <c r="A560" s="28">
        <v>60123</v>
      </c>
      <c r="B560" s="28" t="s">
        <v>3363</v>
      </c>
      <c r="C560" s="28">
        <v>28815896</v>
      </c>
      <c r="D560" s="28" t="s">
        <v>3364</v>
      </c>
      <c r="E560" s="28" t="s">
        <v>3364</v>
      </c>
      <c r="G560" s="28" t="s">
        <v>3365</v>
      </c>
      <c r="H560" s="28" t="s">
        <v>3366</v>
      </c>
      <c r="I560" s="28" t="s">
        <v>3367</v>
      </c>
      <c r="J560" s="28" t="s">
        <v>70</v>
      </c>
      <c r="K560" s="28" t="s">
        <v>140</v>
      </c>
      <c r="L560" s="28" t="s">
        <v>140</v>
      </c>
      <c r="M560" s="28">
        <v>25754</v>
      </c>
      <c r="N560" s="29" t="s">
        <v>722</v>
      </c>
      <c r="O560" s="24">
        <f>VLOOKUP(A560,Hoja1!A:C,3,0)</f>
        <v>8</v>
      </c>
      <c r="P560" s="30" t="str">
        <f>VLOOKUP(M560,[1]TIPOLOGIAS!$A:$F,4,0)</f>
        <v>BOGOTA</v>
      </c>
      <c r="Q560" s="30" t="str">
        <f>VLOOKUP(P560,'BASE TARIFA 2025'!C:D,2,0)</f>
        <v>WOMPI CENTRO</v>
      </c>
      <c r="R560" s="31">
        <f>VLOOKUP(P560,'BASE TARIFA 2025'!C:F,4,0)</f>
        <v>15709.5</v>
      </c>
    </row>
    <row r="561" spans="1:18" s="28" customFormat="1" ht="14.4" x14ac:dyDescent="0.3">
      <c r="A561" s="28">
        <v>55942</v>
      </c>
      <c r="B561" s="28" t="s">
        <v>3368</v>
      </c>
      <c r="C561" s="28">
        <v>1005715081</v>
      </c>
      <c r="D561" s="28" t="s">
        <v>3369</v>
      </c>
      <c r="E561" s="28" t="s">
        <v>3369</v>
      </c>
      <c r="G561" s="28" t="s">
        <v>3370</v>
      </c>
      <c r="H561" s="28" t="s">
        <v>3371</v>
      </c>
      <c r="I561" s="28" t="s">
        <v>3372</v>
      </c>
      <c r="J561" s="28" t="s">
        <v>70</v>
      </c>
      <c r="K561" s="28" t="s">
        <v>140</v>
      </c>
      <c r="L561" s="28" t="s">
        <v>140</v>
      </c>
      <c r="M561" s="28">
        <v>25754</v>
      </c>
      <c r="N561" s="29" t="s">
        <v>756</v>
      </c>
      <c r="O561" s="24">
        <f>VLOOKUP(A561,Hoja1!A:C,3,0)</f>
        <v>16</v>
      </c>
      <c r="P561" s="30" t="str">
        <f>VLOOKUP(M561,[1]TIPOLOGIAS!$A:$F,4,0)</f>
        <v>BOGOTA</v>
      </c>
      <c r="Q561" s="30" t="str">
        <f>VLOOKUP(P561,'BASE TARIFA 2025'!C:D,2,0)</f>
        <v>WOMPI CENTRO</v>
      </c>
      <c r="R561" s="31">
        <f>VLOOKUP(P561,'BASE TARIFA 2025'!C:F,4,0)</f>
        <v>15709.5</v>
      </c>
    </row>
    <row r="562" spans="1:18" s="28" customFormat="1" ht="14.4" x14ac:dyDescent="0.3">
      <c r="A562" s="28">
        <v>55066</v>
      </c>
      <c r="B562" s="28" t="s">
        <v>3373</v>
      </c>
      <c r="C562" s="28">
        <v>1105613162</v>
      </c>
      <c r="D562" s="28" t="s">
        <v>3374</v>
      </c>
      <c r="E562" s="28" t="s">
        <v>254</v>
      </c>
      <c r="F562" s="28" t="s">
        <v>254</v>
      </c>
      <c r="G562" s="28" t="s">
        <v>255</v>
      </c>
      <c r="H562" s="28" t="s">
        <v>256</v>
      </c>
      <c r="I562" s="28" t="s">
        <v>257</v>
      </c>
      <c r="J562" s="28" t="s">
        <v>70</v>
      </c>
      <c r="K562" s="28" t="s">
        <v>140</v>
      </c>
      <c r="L562" s="28" t="s">
        <v>140</v>
      </c>
      <c r="M562" s="28">
        <v>25754</v>
      </c>
      <c r="N562" s="29" t="s">
        <v>582</v>
      </c>
      <c r="O562" s="24">
        <f>VLOOKUP(A562,Hoja1!A:C,3,0)</f>
        <v>8</v>
      </c>
      <c r="P562" s="30" t="str">
        <f>VLOOKUP(M562,[1]TIPOLOGIAS!$A:$F,4,0)</f>
        <v>BOGOTA</v>
      </c>
      <c r="Q562" s="30" t="str">
        <f>VLOOKUP(P562,'BASE TARIFA 2025'!C:D,2,0)</f>
        <v>WOMPI CENTRO</v>
      </c>
      <c r="R562" s="31">
        <f>VLOOKUP(P562,'BASE TARIFA 2025'!C:F,4,0)</f>
        <v>15709.5</v>
      </c>
    </row>
    <row r="563" spans="1:18" s="28" customFormat="1" ht="14.4" x14ac:dyDescent="0.3">
      <c r="A563" s="28">
        <v>54100</v>
      </c>
      <c r="B563" s="28" t="s">
        <v>3375</v>
      </c>
      <c r="C563" s="28">
        <v>65553424</v>
      </c>
      <c r="D563" s="28" t="s">
        <v>258</v>
      </c>
      <c r="E563" s="28" t="s">
        <v>258</v>
      </c>
      <c r="G563" s="28" t="s">
        <v>259</v>
      </c>
      <c r="H563" s="28" t="s">
        <v>260</v>
      </c>
      <c r="I563" s="28" t="s">
        <v>261</v>
      </c>
      <c r="J563" s="28" t="s">
        <v>70</v>
      </c>
      <c r="K563" s="28" t="s">
        <v>140</v>
      </c>
      <c r="L563" s="28" t="s">
        <v>140</v>
      </c>
      <c r="M563" s="28">
        <v>25754</v>
      </c>
      <c r="N563" s="29" t="s">
        <v>589</v>
      </c>
      <c r="O563" s="24">
        <f>VLOOKUP(A563,Hoja1!A:C,3,0)</f>
        <v>16</v>
      </c>
      <c r="P563" s="30" t="str">
        <f>VLOOKUP(M563,[1]TIPOLOGIAS!$A:$F,4,0)</f>
        <v>BOGOTA</v>
      </c>
      <c r="Q563" s="30" t="str">
        <f>VLOOKUP(P563,'BASE TARIFA 2025'!C:D,2,0)</f>
        <v>WOMPI CENTRO</v>
      </c>
      <c r="R563" s="31">
        <f>VLOOKUP(P563,'BASE TARIFA 2025'!C:F,4,0)</f>
        <v>15709.5</v>
      </c>
    </row>
    <row r="564" spans="1:18" s="28" customFormat="1" ht="14.4" x14ac:dyDescent="0.3">
      <c r="A564" s="28">
        <v>53378</v>
      </c>
      <c r="B564" s="28" t="s">
        <v>3376</v>
      </c>
      <c r="C564" s="28">
        <v>65766868</v>
      </c>
      <c r="D564" s="28" t="s">
        <v>3377</v>
      </c>
      <c r="E564" s="28" t="s">
        <v>3377</v>
      </c>
      <c r="F564" s="28" t="s">
        <v>3378</v>
      </c>
      <c r="G564" s="28" t="s">
        <v>3379</v>
      </c>
      <c r="H564" s="28" t="s">
        <v>3380</v>
      </c>
      <c r="I564" s="28" t="s">
        <v>3381</v>
      </c>
      <c r="J564" s="28" t="s">
        <v>70</v>
      </c>
      <c r="K564" s="28" t="s">
        <v>140</v>
      </c>
      <c r="L564" s="28" t="s">
        <v>140</v>
      </c>
      <c r="M564" s="28">
        <v>25754</v>
      </c>
      <c r="N564" s="29" t="s">
        <v>744</v>
      </c>
      <c r="O564" s="24">
        <f>VLOOKUP(A564,Hoja1!A:C,3,0)</f>
        <v>16</v>
      </c>
      <c r="P564" s="30" t="str">
        <f>VLOOKUP(M564,[1]TIPOLOGIAS!$A:$F,4,0)</f>
        <v>BOGOTA</v>
      </c>
      <c r="Q564" s="30" t="str">
        <f>VLOOKUP(P564,'BASE TARIFA 2025'!C:D,2,0)</f>
        <v>WOMPI CENTRO</v>
      </c>
      <c r="R564" s="31">
        <f>VLOOKUP(P564,'BASE TARIFA 2025'!C:F,4,0)</f>
        <v>15709.5</v>
      </c>
    </row>
    <row r="565" spans="1:18" s="28" customFormat="1" ht="14.4" x14ac:dyDescent="0.3">
      <c r="A565" s="28">
        <v>54471</v>
      </c>
      <c r="B565" s="28" t="s">
        <v>3382</v>
      </c>
      <c r="C565" s="28">
        <v>1110573514</v>
      </c>
      <c r="D565" s="28" t="s">
        <v>3383</v>
      </c>
      <c r="E565" s="28" t="s">
        <v>3383</v>
      </c>
      <c r="F565" s="28" t="s">
        <v>3383</v>
      </c>
      <c r="G565" s="28" t="s">
        <v>3384</v>
      </c>
      <c r="H565" s="28" t="s">
        <v>3385</v>
      </c>
      <c r="I565" s="28" t="s">
        <v>3386</v>
      </c>
      <c r="J565" s="28" t="s">
        <v>70</v>
      </c>
      <c r="K565" s="28" t="s">
        <v>140</v>
      </c>
      <c r="L565" s="28" t="s">
        <v>140</v>
      </c>
      <c r="M565" s="28">
        <v>25754</v>
      </c>
      <c r="N565" s="29" t="s">
        <v>1159</v>
      </c>
      <c r="O565" s="24">
        <f>VLOOKUP(A565,Hoja1!A:C,3,0)</f>
        <v>16</v>
      </c>
      <c r="P565" s="30" t="str">
        <f>VLOOKUP(M565,[1]TIPOLOGIAS!$A:$F,4,0)</f>
        <v>BOGOTA</v>
      </c>
      <c r="Q565" s="30" t="str">
        <f>VLOOKUP(P565,'BASE TARIFA 2025'!C:D,2,0)</f>
        <v>WOMPI CENTRO</v>
      </c>
      <c r="R565" s="31">
        <f>VLOOKUP(P565,'BASE TARIFA 2025'!C:F,4,0)</f>
        <v>15709.5</v>
      </c>
    </row>
    <row r="566" spans="1:18" s="28" customFormat="1" ht="14.4" x14ac:dyDescent="0.3">
      <c r="A566" s="28">
        <v>49350</v>
      </c>
      <c r="B566" s="28" t="s">
        <v>3387</v>
      </c>
      <c r="C566" s="28">
        <v>65553424</v>
      </c>
      <c r="D566" s="28" t="s">
        <v>3388</v>
      </c>
      <c r="E566" s="28" t="s">
        <v>3388</v>
      </c>
      <c r="F566" s="28" t="s">
        <v>3389</v>
      </c>
      <c r="G566" s="28" t="s">
        <v>3390</v>
      </c>
      <c r="H566" s="28" t="s">
        <v>3391</v>
      </c>
      <c r="I566" s="28" t="s">
        <v>3392</v>
      </c>
      <c r="J566" s="28" t="s">
        <v>70</v>
      </c>
      <c r="K566" s="28" t="s">
        <v>140</v>
      </c>
      <c r="L566" s="28" t="s">
        <v>140</v>
      </c>
      <c r="M566" s="28">
        <v>25754</v>
      </c>
      <c r="N566" s="29" t="s">
        <v>589</v>
      </c>
      <c r="O566" s="24">
        <f>VLOOKUP(A566,Hoja1!A:C,3,0)</f>
        <v>8</v>
      </c>
      <c r="P566" s="30" t="str">
        <f>VLOOKUP(M566,[1]TIPOLOGIAS!$A:$F,4,0)</f>
        <v>BOGOTA</v>
      </c>
      <c r="Q566" s="30" t="str">
        <f>VLOOKUP(P566,'BASE TARIFA 2025'!C:D,2,0)</f>
        <v>WOMPI CENTRO</v>
      </c>
      <c r="R566" s="31">
        <f>VLOOKUP(P566,'BASE TARIFA 2025'!C:F,4,0)</f>
        <v>15709.5</v>
      </c>
    </row>
    <row r="567" spans="1:18" s="28" customFormat="1" ht="14.4" x14ac:dyDescent="0.3">
      <c r="A567" s="28">
        <v>50893</v>
      </c>
      <c r="B567" s="28" t="s">
        <v>3393</v>
      </c>
      <c r="C567" s="28">
        <v>1030641597</v>
      </c>
      <c r="D567" s="28" t="s">
        <v>3394</v>
      </c>
      <c r="E567" s="28" t="s">
        <v>3395</v>
      </c>
      <c r="F567" s="28" t="s">
        <v>3395</v>
      </c>
      <c r="G567" s="28" t="s">
        <v>3396</v>
      </c>
      <c r="H567" s="28" t="s">
        <v>3397</v>
      </c>
      <c r="I567" s="28" t="s">
        <v>3398</v>
      </c>
      <c r="J567" s="28" t="s">
        <v>70</v>
      </c>
      <c r="K567" s="28" t="s">
        <v>140</v>
      </c>
      <c r="L567" s="28" t="s">
        <v>140</v>
      </c>
      <c r="M567" s="28">
        <v>25754</v>
      </c>
      <c r="N567" s="29" t="s">
        <v>744</v>
      </c>
      <c r="O567" s="24">
        <f>VLOOKUP(A567,Hoja1!A:C,3,0)</f>
        <v>8</v>
      </c>
      <c r="P567" s="30" t="str">
        <f>VLOOKUP(M567,[1]TIPOLOGIAS!$A:$F,4,0)</f>
        <v>BOGOTA</v>
      </c>
      <c r="Q567" s="30" t="str">
        <f>VLOOKUP(P567,'BASE TARIFA 2025'!C:D,2,0)</f>
        <v>WOMPI CENTRO</v>
      </c>
      <c r="R567" s="31">
        <f>VLOOKUP(P567,'BASE TARIFA 2025'!C:F,4,0)</f>
        <v>15709.5</v>
      </c>
    </row>
    <row r="568" spans="1:18" s="28" customFormat="1" ht="14.4" x14ac:dyDescent="0.3">
      <c r="A568" s="28">
        <v>46763</v>
      </c>
      <c r="B568" s="28" t="s">
        <v>3399</v>
      </c>
      <c r="C568" s="28">
        <v>80111905</v>
      </c>
      <c r="D568" s="28" t="s">
        <v>3400</v>
      </c>
      <c r="E568" s="28" t="s">
        <v>3400</v>
      </c>
      <c r="F568" s="28" t="s">
        <v>3401</v>
      </c>
      <c r="G568" s="28" t="s">
        <v>3402</v>
      </c>
      <c r="H568" s="28" t="s">
        <v>3403</v>
      </c>
      <c r="I568" s="28" t="s">
        <v>3404</v>
      </c>
      <c r="J568" s="28" t="s">
        <v>92</v>
      </c>
      <c r="K568" s="28" t="s">
        <v>157</v>
      </c>
      <c r="L568" s="28" t="s">
        <v>157</v>
      </c>
      <c r="M568" s="28">
        <v>54001</v>
      </c>
      <c r="N568" s="29" t="s">
        <v>1173</v>
      </c>
      <c r="O568" s="24">
        <f>VLOOKUP(A568,Hoja1!A:C,3,0)</f>
        <v>16</v>
      </c>
      <c r="P568" s="30" t="str">
        <f>VLOOKUP(M568,[1]TIPOLOGIAS!$A:$F,4,0)</f>
        <v>CUCUTA</v>
      </c>
      <c r="Q568" s="30" t="str">
        <f>VLOOKUP(P568,'BASE TARIFA 2025'!C:D,2,0)</f>
        <v>WOMPI SANTANDERES</v>
      </c>
      <c r="R568" s="31">
        <f>VLOOKUP(P568,'BASE TARIFA 2025'!C:F,4,0)</f>
        <v>28277.100000000002</v>
      </c>
    </row>
    <row r="569" spans="1:18" s="28" customFormat="1" ht="14.4" x14ac:dyDescent="0.3">
      <c r="A569" s="28">
        <v>43949</v>
      </c>
      <c r="B569" s="28" t="s">
        <v>3405</v>
      </c>
      <c r="C569" s="28">
        <v>1110535285</v>
      </c>
      <c r="D569" s="28" t="s">
        <v>3406</v>
      </c>
      <c r="E569" s="28" t="s">
        <v>69</v>
      </c>
      <c r="F569" s="28" t="s">
        <v>3407</v>
      </c>
      <c r="G569" s="28" t="s">
        <v>3408</v>
      </c>
      <c r="H569" s="28" t="s">
        <v>3409</v>
      </c>
      <c r="I569" s="28" t="s">
        <v>3410</v>
      </c>
      <c r="J569" s="28" t="s">
        <v>92</v>
      </c>
      <c r="K569" s="28" t="s">
        <v>157</v>
      </c>
      <c r="L569" s="28" t="s">
        <v>157</v>
      </c>
      <c r="M569" s="28">
        <v>54001</v>
      </c>
      <c r="N569" s="29" t="s">
        <v>744</v>
      </c>
      <c r="O569" s="24">
        <f>VLOOKUP(A569,Hoja1!A:C,3,0)</f>
        <v>16</v>
      </c>
      <c r="P569" s="30" t="str">
        <f>VLOOKUP(M569,[1]TIPOLOGIAS!$A:$F,4,0)</f>
        <v>CUCUTA</v>
      </c>
      <c r="Q569" s="30" t="str">
        <f>VLOOKUP(P569,'BASE TARIFA 2025'!C:D,2,0)</f>
        <v>WOMPI SANTANDERES</v>
      </c>
      <c r="R569" s="31">
        <f>VLOOKUP(P569,'BASE TARIFA 2025'!C:F,4,0)</f>
        <v>28277.100000000002</v>
      </c>
    </row>
    <row r="570" spans="1:18" s="28" customFormat="1" ht="14.4" x14ac:dyDescent="0.3">
      <c r="A570" s="28">
        <v>43218</v>
      </c>
      <c r="B570" s="28" t="s">
        <v>3411</v>
      </c>
      <c r="C570" s="28">
        <v>1110527349</v>
      </c>
      <c r="D570" s="28" t="s">
        <v>69</v>
      </c>
      <c r="E570" s="28" t="s">
        <v>1858</v>
      </c>
      <c r="F570" s="28" t="s">
        <v>3412</v>
      </c>
      <c r="G570" s="28" t="s">
        <v>3413</v>
      </c>
      <c r="H570" s="28" t="s">
        <v>3414</v>
      </c>
      <c r="I570" s="28" t="s">
        <v>3415</v>
      </c>
      <c r="J570" s="28" t="s">
        <v>92</v>
      </c>
      <c r="K570" s="28" t="s">
        <v>157</v>
      </c>
      <c r="L570" s="28" t="s">
        <v>157</v>
      </c>
      <c r="M570" s="28">
        <v>54001</v>
      </c>
      <c r="N570" s="29" t="s">
        <v>744</v>
      </c>
      <c r="O570" s="24">
        <f>VLOOKUP(A570,Hoja1!A:C,3,0)</f>
        <v>16</v>
      </c>
      <c r="P570" s="30" t="str">
        <f>VLOOKUP(M570,[1]TIPOLOGIAS!$A:$F,4,0)</f>
        <v>CUCUTA</v>
      </c>
      <c r="Q570" s="30" t="str">
        <f>VLOOKUP(P570,'BASE TARIFA 2025'!C:D,2,0)</f>
        <v>WOMPI SANTANDERES</v>
      </c>
      <c r="R570" s="31">
        <f>VLOOKUP(P570,'BASE TARIFA 2025'!C:F,4,0)</f>
        <v>28277.100000000002</v>
      </c>
    </row>
    <row r="571" spans="1:18" s="28" customFormat="1" ht="14.4" x14ac:dyDescent="0.3">
      <c r="A571" s="28">
        <v>40034</v>
      </c>
      <c r="B571" s="28" t="s">
        <v>3416</v>
      </c>
      <c r="C571" s="28">
        <v>1110539404</v>
      </c>
      <c r="D571" s="28" t="s">
        <v>3417</v>
      </c>
      <c r="E571" s="28" t="s">
        <v>3417</v>
      </c>
      <c r="F571" s="28" t="s">
        <v>3418</v>
      </c>
      <c r="G571" s="28" t="s">
        <v>3419</v>
      </c>
      <c r="H571" s="28" t="s">
        <v>3420</v>
      </c>
      <c r="I571" s="28" t="s">
        <v>3421</v>
      </c>
      <c r="J571" s="28" t="s">
        <v>92</v>
      </c>
      <c r="K571" s="28" t="s">
        <v>157</v>
      </c>
      <c r="L571" s="28" t="s">
        <v>157</v>
      </c>
      <c r="M571" s="28">
        <v>54001</v>
      </c>
      <c r="N571" s="29" t="s">
        <v>1173</v>
      </c>
      <c r="O571" s="24">
        <f>VLOOKUP(A571,Hoja1!A:C,3,0)</f>
        <v>8</v>
      </c>
      <c r="P571" s="30" t="str">
        <f>VLOOKUP(M571,[1]TIPOLOGIAS!$A:$F,4,0)</f>
        <v>CUCUTA</v>
      </c>
      <c r="Q571" s="30" t="str">
        <f>VLOOKUP(P571,'BASE TARIFA 2025'!C:D,2,0)</f>
        <v>WOMPI SANTANDERES</v>
      </c>
      <c r="R571" s="31">
        <f>VLOOKUP(P571,'BASE TARIFA 2025'!C:F,4,0)</f>
        <v>28277.100000000002</v>
      </c>
    </row>
    <row r="572" spans="1:18" s="28" customFormat="1" ht="14.4" x14ac:dyDescent="0.3">
      <c r="A572" s="28">
        <v>29051</v>
      </c>
      <c r="B572" s="28" t="s">
        <v>3422</v>
      </c>
      <c r="C572" s="28">
        <v>822000897</v>
      </c>
      <c r="D572" s="28" t="s">
        <v>1878</v>
      </c>
      <c r="E572" s="28" t="s">
        <v>1878</v>
      </c>
      <c r="F572" s="28" t="s">
        <v>3423</v>
      </c>
      <c r="G572" s="28" t="s">
        <v>3424</v>
      </c>
      <c r="H572" s="28" t="s">
        <v>3425</v>
      </c>
      <c r="I572" s="28" t="s">
        <v>3426</v>
      </c>
      <c r="J572" s="28" t="s">
        <v>92</v>
      </c>
      <c r="K572" s="28" t="s">
        <v>157</v>
      </c>
      <c r="L572" s="28" t="s">
        <v>157</v>
      </c>
      <c r="M572" s="28">
        <v>54001</v>
      </c>
      <c r="N572" s="29" t="s">
        <v>744</v>
      </c>
      <c r="O572" s="24">
        <f>VLOOKUP(A572,Hoja1!A:C,3,0)</f>
        <v>8</v>
      </c>
      <c r="P572" s="30" t="str">
        <f>VLOOKUP(M572,[1]TIPOLOGIAS!$A:$F,4,0)</f>
        <v>CUCUTA</v>
      </c>
      <c r="Q572" s="30" t="str">
        <f>VLOOKUP(P572,'BASE TARIFA 2025'!C:D,2,0)</f>
        <v>WOMPI SANTANDERES</v>
      </c>
      <c r="R572" s="31">
        <f>VLOOKUP(P572,'BASE TARIFA 2025'!C:F,4,0)</f>
        <v>28277.100000000002</v>
      </c>
    </row>
    <row r="573" spans="1:18" s="28" customFormat="1" ht="14.4" x14ac:dyDescent="0.3">
      <c r="A573" s="28">
        <v>17385</v>
      </c>
      <c r="B573" s="28" t="s">
        <v>3427</v>
      </c>
      <c r="C573" s="28">
        <v>5937128</v>
      </c>
      <c r="D573" s="28" t="s">
        <v>69</v>
      </c>
      <c r="E573" s="28" t="s">
        <v>3428</v>
      </c>
      <c r="F573" s="28" t="s">
        <v>3428</v>
      </c>
      <c r="G573" s="28" t="s">
        <v>3429</v>
      </c>
      <c r="H573" s="28" t="s">
        <v>3430</v>
      </c>
      <c r="I573" s="28" t="s">
        <v>3431</v>
      </c>
      <c r="J573" s="28" t="s">
        <v>92</v>
      </c>
      <c r="K573" s="28" t="s">
        <v>157</v>
      </c>
      <c r="L573" s="28" t="s">
        <v>157</v>
      </c>
      <c r="M573" s="28">
        <v>54001</v>
      </c>
      <c r="N573" s="29" t="s">
        <v>1173</v>
      </c>
      <c r="O573" s="24">
        <f>VLOOKUP(A573,Hoja1!A:C,3,0)</f>
        <v>8</v>
      </c>
      <c r="P573" s="30" t="str">
        <f>VLOOKUP(M573,[1]TIPOLOGIAS!$A:$F,4,0)</f>
        <v>CUCUTA</v>
      </c>
      <c r="Q573" s="30" t="str">
        <f>VLOOKUP(P573,'BASE TARIFA 2025'!C:D,2,0)</f>
        <v>WOMPI SANTANDERES</v>
      </c>
      <c r="R573" s="31">
        <f>VLOOKUP(P573,'BASE TARIFA 2025'!C:F,4,0)</f>
        <v>28277.100000000002</v>
      </c>
    </row>
    <row r="574" spans="1:18" s="28" customFormat="1" ht="14.4" x14ac:dyDescent="0.3">
      <c r="A574" s="28">
        <v>17384</v>
      </c>
      <c r="B574" s="28" t="s">
        <v>3432</v>
      </c>
      <c r="C574" s="28">
        <v>5937128</v>
      </c>
      <c r="D574" s="28" t="s">
        <v>3433</v>
      </c>
      <c r="E574" s="28" t="s">
        <v>3434</v>
      </c>
      <c r="F574" s="28" t="s">
        <v>3434</v>
      </c>
      <c r="G574" s="28" t="s">
        <v>3435</v>
      </c>
      <c r="H574" s="28" t="s">
        <v>3436</v>
      </c>
      <c r="I574" s="28" t="s">
        <v>3437</v>
      </c>
      <c r="J574" s="28" t="s">
        <v>74</v>
      </c>
      <c r="K574" s="28" t="s">
        <v>3438</v>
      </c>
      <c r="L574" s="28" t="s">
        <v>3438</v>
      </c>
      <c r="M574" s="28">
        <v>52540</v>
      </c>
      <c r="N574" s="29" t="s">
        <v>536</v>
      </c>
      <c r="O574" s="24">
        <f>VLOOKUP(A574,Hoja1!A:C,3,0)</f>
        <v>8</v>
      </c>
      <c r="P574" s="30" t="str">
        <f>VLOOKUP(M574,[1]TIPOLOGIAS!$A:$F,4,0)</f>
        <v>PASTO</v>
      </c>
      <c r="Q574" s="30" t="str">
        <f>VLOOKUP(P574,'BASE TARIFA 2025'!C:D,2,0)</f>
        <v>WOMPI SUROCCIDENTE</v>
      </c>
      <c r="R574" s="31">
        <f>VLOOKUP(P574,'BASE TARIFA 2025'!C:F,4,0)</f>
        <v>28277.100000000002</v>
      </c>
    </row>
    <row r="575" spans="1:18" s="28" customFormat="1" ht="14.4" x14ac:dyDescent="0.3">
      <c r="A575" s="28">
        <v>16749</v>
      </c>
      <c r="B575" s="28" t="s">
        <v>3439</v>
      </c>
      <c r="C575" s="28">
        <v>801002644</v>
      </c>
      <c r="D575" s="28" t="s">
        <v>3433</v>
      </c>
      <c r="E575" s="28" t="s">
        <v>3434</v>
      </c>
      <c r="F575" s="28" t="s">
        <v>3434</v>
      </c>
      <c r="G575" s="28" t="s">
        <v>3440</v>
      </c>
      <c r="H575" s="28" t="s">
        <v>3441</v>
      </c>
      <c r="I575" s="28" t="s">
        <v>3442</v>
      </c>
      <c r="J575" s="28" t="s">
        <v>74</v>
      </c>
      <c r="K575" s="28" t="s">
        <v>3438</v>
      </c>
      <c r="L575" s="28" t="s">
        <v>3438</v>
      </c>
      <c r="M575" s="28">
        <v>52540</v>
      </c>
      <c r="N575" s="29" t="s">
        <v>560</v>
      </c>
      <c r="O575" s="24">
        <f>VLOOKUP(A575,Hoja1!A:C,3,0)</f>
        <v>8</v>
      </c>
      <c r="P575" s="30" t="str">
        <f>VLOOKUP(M575,[1]TIPOLOGIAS!$A:$F,4,0)</f>
        <v>PASTO</v>
      </c>
      <c r="Q575" s="30" t="str">
        <f>VLOOKUP(P575,'BASE TARIFA 2025'!C:D,2,0)</f>
        <v>WOMPI SUROCCIDENTE</v>
      </c>
      <c r="R575" s="31">
        <f>VLOOKUP(P575,'BASE TARIFA 2025'!C:F,4,0)</f>
        <v>28277.100000000002</v>
      </c>
    </row>
    <row r="576" spans="1:18" s="28" customFormat="1" ht="14.4" x14ac:dyDescent="0.3">
      <c r="A576" s="28">
        <v>17466</v>
      </c>
      <c r="B576" s="28" t="s">
        <v>3443</v>
      </c>
      <c r="C576" s="28">
        <v>93409662</v>
      </c>
      <c r="D576" s="28" t="s">
        <v>3444</v>
      </c>
      <c r="E576" s="28" t="s">
        <v>3445</v>
      </c>
      <c r="F576" s="28" t="s">
        <v>3445</v>
      </c>
      <c r="G576" s="28" t="s">
        <v>3446</v>
      </c>
      <c r="H576" s="28" t="s">
        <v>3447</v>
      </c>
      <c r="I576" s="28" t="s">
        <v>3448</v>
      </c>
      <c r="J576" s="28" t="s">
        <v>74</v>
      </c>
      <c r="K576" s="28" t="s">
        <v>3438</v>
      </c>
      <c r="L576" s="28" t="s">
        <v>3438</v>
      </c>
      <c r="M576" s="28">
        <v>52540</v>
      </c>
      <c r="N576" s="29" t="s">
        <v>560</v>
      </c>
      <c r="O576" s="24">
        <f>VLOOKUP(A576,Hoja1!A:C,3,0)</f>
        <v>8</v>
      </c>
      <c r="P576" s="30" t="str">
        <f>VLOOKUP(M576,[1]TIPOLOGIAS!$A:$F,4,0)</f>
        <v>PASTO</v>
      </c>
      <c r="Q576" s="30" t="str">
        <f>VLOOKUP(P576,'BASE TARIFA 2025'!C:D,2,0)</f>
        <v>WOMPI SUROCCIDENTE</v>
      </c>
      <c r="R576" s="31">
        <f>VLOOKUP(P576,'BASE TARIFA 2025'!C:F,4,0)</f>
        <v>28277.100000000002</v>
      </c>
    </row>
    <row r="577" spans="1:18" s="28" customFormat="1" ht="14.4" x14ac:dyDescent="0.3">
      <c r="A577" s="28">
        <v>64431</v>
      </c>
      <c r="B577" s="28" t="s">
        <v>3449</v>
      </c>
      <c r="C577" s="28">
        <v>901523817</v>
      </c>
      <c r="D577" s="28" t="s">
        <v>69</v>
      </c>
      <c r="E577" s="28" t="s">
        <v>3450</v>
      </c>
      <c r="F577" s="28" t="s">
        <v>3451</v>
      </c>
      <c r="G577" s="28" t="s">
        <v>3452</v>
      </c>
      <c r="H577" s="28" t="s">
        <v>3453</v>
      </c>
      <c r="I577" s="28" t="s">
        <v>3454</v>
      </c>
      <c r="J577" s="28" t="s">
        <v>74</v>
      </c>
      <c r="K577" s="28" t="s">
        <v>3438</v>
      </c>
      <c r="L577" s="28" t="s">
        <v>3438</v>
      </c>
      <c r="M577" s="28">
        <v>52540</v>
      </c>
      <c r="N577" s="29" t="s">
        <v>560</v>
      </c>
      <c r="O577" s="24" t="e">
        <f>VLOOKUP(A577,Hoja1!A:C,3,0)</f>
        <v>#N/A</v>
      </c>
      <c r="P577" s="30" t="str">
        <f>VLOOKUP(M577,[1]TIPOLOGIAS!$A:$F,4,0)</f>
        <v>PASTO</v>
      </c>
      <c r="Q577" s="30" t="str">
        <f>VLOOKUP(P577,'BASE TARIFA 2025'!C:D,2,0)</f>
        <v>WOMPI SUROCCIDENTE</v>
      </c>
      <c r="R577" s="31">
        <f>VLOOKUP(P577,'BASE TARIFA 2025'!C:F,4,0)</f>
        <v>28277.100000000002</v>
      </c>
    </row>
    <row r="578" spans="1:18" s="28" customFormat="1" ht="14.4" x14ac:dyDescent="0.3">
      <c r="A578" s="28">
        <v>75801</v>
      </c>
      <c r="B578" s="28" t="s">
        <v>3455</v>
      </c>
      <c r="C578" s="28">
        <v>1102797894</v>
      </c>
      <c r="D578" s="28" t="s">
        <v>3456</v>
      </c>
      <c r="E578" s="28" t="s">
        <v>3457</v>
      </c>
      <c r="F578" s="28" t="s">
        <v>3457</v>
      </c>
      <c r="G578" s="28" t="s">
        <v>3458</v>
      </c>
      <c r="H578" s="28" t="s">
        <v>3459</v>
      </c>
      <c r="I578" s="28" t="s">
        <v>3460</v>
      </c>
      <c r="J578" s="28" t="s">
        <v>74</v>
      </c>
      <c r="K578" s="28" t="s">
        <v>3438</v>
      </c>
      <c r="L578" s="28" t="s">
        <v>3438</v>
      </c>
      <c r="M578" s="28">
        <v>52540</v>
      </c>
      <c r="N578" s="29" t="s">
        <v>530</v>
      </c>
      <c r="O578" s="24" t="e">
        <f>VLOOKUP(A578,Hoja1!A:C,3,0)</f>
        <v>#N/A</v>
      </c>
      <c r="P578" s="30" t="str">
        <f>VLOOKUP(M578,[1]TIPOLOGIAS!$A:$F,4,0)</f>
        <v>PASTO</v>
      </c>
      <c r="Q578" s="30" t="str">
        <f>VLOOKUP(P578,'BASE TARIFA 2025'!C:D,2,0)</f>
        <v>WOMPI SUROCCIDENTE</v>
      </c>
      <c r="R578" s="31">
        <f>VLOOKUP(P578,'BASE TARIFA 2025'!C:F,4,0)</f>
        <v>28277.100000000002</v>
      </c>
    </row>
    <row r="579" spans="1:18" s="28" customFormat="1" ht="14.4" x14ac:dyDescent="0.3">
      <c r="A579" s="28">
        <v>79791</v>
      </c>
      <c r="B579" s="28" t="s">
        <v>3461</v>
      </c>
      <c r="C579" s="28">
        <v>85468980</v>
      </c>
      <c r="D579" s="28" t="s">
        <v>3462</v>
      </c>
      <c r="E579" s="28" t="s">
        <v>3462</v>
      </c>
      <c r="F579" s="28" t="s">
        <v>3462</v>
      </c>
      <c r="G579" s="28" t="s">
        <v>3463</v>
      </c>
      <c r="H579" s="28" t="s">
        <v>3464</v>
      </c>
      <c r="I579" s="28" t="s">
        <v>3465</v>
      </c>
      <c r="J579" s="28" t="s">
        <v>74</v>
      </c>
      <c r="K579" s="28" t="s">
        <v>196</v>
      </c>
      <c r="L579" s="28" t="s">
        <v>196</v>
      </c>
      <c r="M579" s="28">
        <v>52678</v>
      </c>
      <c r="N579" s="29" t="s">
        <v>996</v>
      </c>
      <c r="O579" s="24">
        <f>VLOOKUP(A579,Hoja1!A:C,3,0)</f>
        <v>8</v>
      </c>
      <c r="P579" s="30" t="str">
        <f>VLOOKUP(M579,[1]TIPOLOGIAS!$A:$F,4,0)</f>
        <v>PASTO</v>
      </c>
      <c r="Q579" s="30" t="str">
        <f>VLOOKUP(P579,'BASE TARIFA 2025'!C:D,2,0)</f>
        <v>WOMPI SUROCCIDENTE</v>
      </c>
      <c r="R579" s="31">
        <f>VLOOKUP(P579,'BASE TARIFA 2025'!C:F,4,0)</f>
        <v>28277.100000000002</v>
      </c>
    </row>
    <row r="580" spans="1:18" s="28" customFormat="1" ht="14.4" x14ac:dyDescent="0.3">
      <c r="A580" s="28">
        <v>80623</v>
      </c>
      <c r="B580" s="28" t="s">
        <v>3466</v>
      </c>
      <c r="C580" s="28">
        <v>55240430</v>
      </c>
      <c r="D580" s="28" t="s">
        <v>3467</v>
      </c>
      <c r="E580" s="28" t="s">
        <v>3467</v>
      </c>
      <c r="F580" s="28" t="s">
        <v>3467</v>
      </c>
      <c r="G580" s="28" t="s">
        <v>3468</v>
      </c>
      <c r="H580" s="28" t="s">
        <v>3469</v>
      </c>
      <c r="I580" s="28" t="s">
        <v>3470</v>
      </c>
      <c r="J580" s="28" t="s">
        <v>74</v>
      </c>
      <c r="K580" s="28" t="s">
        <v>196</v>
      </c>
      <c r="L580" s="28" t="s">
        <v>196</v>
      </c>
      <c r="M580" s="28">
        <v>52678</v>
      </c>
      <c r="N580" s="29" t="s">
        <v>1012</v>
      </c>
      <c r="O580" s="24">
        <f>VLOOKUP(A580,Hoja1!A:C,3,0)</f>
        <v>8</v>
      </c>
      <c r="P580" s="30" t="str">
        <f>VLOOKUP(M580,[1]TIPOLOGIAS!$A:$F,4,0)</f>
        <v>PASTO</v>
      </c>
      <c r="Q580" s="30" t="str">
        <f>VLOOKUP(P580,'BASE TARIFA 2025'!C:D,2,0)</f>
        <v>WOMPI SUROCCIDENTE</v>
      </c>
      <c r="R580" s="31">
        <f>VLOOKUP(P580,'BASE TARIFA 2025'!C:F,4,0)</f>
        <v>28277.100000000002</v>
      </c>
    </row>
    <row r="581" spans="1:18" s="28" customFormat="1" ht="14.4" x14ac:dyDescent="0.3">
      <c r="A581" s="28">
        <v>76165</v>
      </c>
      <c r="B581" s="28" t="s">
        <v>3471</v>
      </c>
      <c r="C581" s="28">
        <v>1082977459</v>
      </c>
      <c r="D581" s="28" t="s">
        <v>3472</v>
      </c>
      <c r="E581" s="28" t="s">
        <v>3472</v>
      </c>
      <c r="F581" s="28" t="s">
        <v>3473</v>
      </c>
      <c r="G581" s="28" t="s">
        <v>3474</v>
      </c>
      <c r="H581" s="28" t="s">
        <v>3475</v>
      </c>
      <c r="I581" s="28" t="s">
        <v>3476</v>
      </c>
      <c r="J581" s="28" t="s">
        <v>74</v>
      </c>
      <c r="K581" s="28" t="s">
        <v>196</v>
      </c>
      <c r="L581" s="28" t="s">
        <v>196</v>
      </c>
      <c r="M581" s="28">
        <v>52678</v>
      </c>
      <c r="N581" s="29" t="s">
        <v>1012</v>
      </c>
      <c r="O581" s="24">
        <f>VLOOKUP(A581,Hoja1!A:C,3,0)</f>
        <v>8</v>
      </c>
      <c r="P581" s="30" t="str">
        <f>VLOOKUP(M581,[1]TIPOLOGIAS!$A:$F,4,0)</f>
        <v>PASTO</v>
      </c>
      <c r="Q581" s="30" t="str">
        <f>VLOOKUP(P581,'BASE TARIFA 2025'!C:D,2,0)</f>
        <v>WOMPI SUROCCIDENTE</v>
      </c>
      <c r="R581" s="31">
        <f>VLOOKUP(P581,'BASE TARIFA 2025'!C:F,4,0)</f>
        <v>28277.100000000002</v>
      </c>
    </row>
    <row r="582" spans="1:18" s="28" customFormat="1" ht="14.4" x14ac:dyDescent="0.3">
      <c r="A582" s="28">
        <v>61372</v>
      </c>
      <c r="B582" s="28" t="s">
        <v>3477</v>
      </c>
      <c r="C582" s="28">
        <v>1082972451</v>
      </c>
      <c r="D582" s="28" t="s">
        <v>1878</v>
      </c>
      <c r="E582" s="28" t="s">
        <v>3423</v>
      </c>
      <c r="F582" s="28" t="s">
        <v>3423</v>
      </c>
      <c r="G582" s="28" t="s">
        <v>3478</v>
      </c>
      <c r="H582" s="28" t="s">
        <v>3479</v>
      </c>
      <c r="I582" s="28" t="s">
        <v>3480</v>
      </c>
      <c r="J582" s="28" t="s">
        <v>92</v>
      </c>
      <c r="K582" s="28" t="s">
        <v>197</v>
      </c>
      <c r="L582" s="28" t="s">
        <v>197</v>
      </c>
      <c r="M582" s="28">
        <v>54172</v>
      </c>
      <c r="N582" s="29" t="s">
        <v>1012</v>
      </c>
      <c r="O582" s="24">
        <f>VLOOKUP(A582,Hoja1!A:C,3,0)</f>
        <v>8</v>
      </c>
      <c r="P582" s="30" t="str">
        <f>VLOOKUP(M582,[1]TIPOLOGIAS!$A:$F,4,0)</f>
        <v>CUCUTA</v>
      </c>
      <c r="Q582" s="30" t="str">
        <f>VLOOKUP(P582,'BASE TARIFA 2025'!C:D,2,0)</f>
        <v>WOMPI SANTANDERES</v>
      </c>
      <c r="R582" s="31">
        <f>VLOOKUP(P582,'BASE TARIFA 2025'!C:F,4,0)</f>
        <v>28277.100000000002</v>
      </c>
    </row>
    <row r="583" spans="1:18" s="28" customFormat="1" ht="14.4" x14ac:dyDescent="0.3">
      <c r="A583" s="28">
        <v>58669</v>
      </c>
      <c r="B583" s="28" t="s">
        <v>3481</v>
      </c>
      <c r="C583" s="28">
        <v>1128225240</v>
      </c>
      <c r="D583" s="28" t="s">
        <v>3482</v>
      </c>
      <c r="E583" s="28" t="s">
        <v>3482</v>
      </c>
      <c r="F583" s="28" t="s">
        <v>3482</v>
      </c>
      <c r="G583" s="28" t="s">
        <v>3483</v>
      </c>
      <c r="H583" s="28" t="s">
        <v>3484</v>
      </c>
      <c r="I583" s="28" t="s">
        <v>3485</v>
      </c>
      <c r="J583" s="28" t="s">
        <v>92</v>
      </c>
      <c r="K583" s="28" t="s">
        <v>197</v>
      </c>
      <c r="L583" s="28" t="s">
        <v>197</v>
      </c>
      <c r="M583" s="28">
        <v>54172</v>
      </c>
      <c r="N583" s="29" t="s">
        <v>1012</v>
      </c>
      <c r="O583" s="24">
        <f>VLOOKUP(A583,Hoja1!A:C,3,0)</f>
        <v>16</v>
      </c>
      <c r="P583" s="30" t="str">
        <f>VLOOKUP(M583,[1]TIPOLOGIAS!$A:$F,4,0)</f>
        <v>CUCUTA</v>
      </c>
      <c r="Q583" s="30" t="str">
        <f>VLOOKUP(P583,'BASE TARIFA 2025'!C:D,2,0)</f>
        <v>WOMPI SANTANDERES</v>
      </c>
      <c r="R583" s="31">
        <f>VLOOKUP(P583,'BASE TARIFA 2025'!C:F,4,0)</f>
        <v>28277.100000000002</v>
      </c>
    </row>
    <row r="584" spans="1:18" s="28" customFormat="1" ht="14.4" x14ac:dyDescent="0.3">
      <c r="A584" s="28">
        <v>51576</v>
      </c>
      <c r="B584" s="28" t="s">
        <v>3486</v>
      </c>
      <c r="C584" s="28">
        <v>7633128</v>
      </c>
      <c r="D584" s="28" t="s">
        <v>3487</v>
      </c>
      <c r="E584" s="28" t="s">
        <v>3487</v>
      </c>
      <c r="F584" s="28" t="s">
        <v>3487</v>
      </c>
      <c r="G584" s="28" t="s">
        <v>3488</v>
      </c>
      <c r="H584" s="28" t="s">
        <v>3489</v>
      </c>
      <c r="I584" s="28" t="s">
        <v>3490</v>
      </c>
      <c r="J584" s="28" t="s">
        <v>70</v>
      </c>
      <c r="K584" s="28" t="s">
        <v>140</v>
      </c>
      <c r="L584" s="28" t="s">
        <v>140</v>
      </c>
      <c r="M584" s="28">
        <v>25754</v>
      </c>
      <c r="N584" s="29" t="s">
        <v>744</v>
      </c>
      <c r="O584" s="24">
        <f>VLOOKUP(A584,Hoja1!A:C,3,0)</f>
        <v>8</v>
      </c>
      <c r="P584" s="30" t="str">
        <f>VLOOKUP(M584,[1]TIPOLOGIAS!$A:$F,4,0)</f>
        <v>BOGOTA</v>
      </c>
      <c r="Q584" s="30" t="str">
        <f>VLOOKUP(P584,'BASE TARIFA 2025'!C:D,2,0)</f>
        <v>WOMPI CENTRO</v>
      </c>
      <c r="R584" s="31">
        <f>VLOOKUP(P584,'BASE TARIFA 2025'!C:F,4,0)</f>
        <v>15709.5</v>
      </c>
    </row>
    <row r="585" spans="1:18" s="28" customFormat="1" ht="14.4" x14ac:dyDescent="0.3">
      <c r="A585" s="28">
        <v>47287</v>
      </c>
      <c r="B585" s="28" t="s">
        <v>3491</v>
      </c>
      <c r="C585" s="28">
        <v>1124054560</v>
      </c>
      <c r="D585" s="28" t="s">
        <v>3492</v>
      </c>
      <c r="E585" s="28" t="s">
        <v>3492</v>
      </c>
      <c r="F585" s="28" t="s">
        <v>3492</v>
      </c>
      <c r="G585" s="28" t="s">
        <v>3493</v>
      </c>
      <c r="H585" s="28" t="s">
        <v>3494</v>
      </c>
      <c r="I585" s="28" t="s">
        <v>3495</v>
      </c>
      <c r="J585" s="28" t="s">
        <v>70</v>
      </c>
      <c r="K585" s="28" t="s">
        <v>140</v>
      </c>
      <c r="L585" s="28" t="s">
        <v>140</v>
      </c>
      <c r="M585" s="28">
        <v>25754</v>
      </c>
      <c r="N585" s="29" t="s">
        <v>1173</v>
      </c>
      <c r="O585" s="24">
        <f>VLOOKUP(A585,Hoja1!A:C,3,0)</f>
        <v>8</v>
      </c>
      <c r="P585" s="30" t="str">
        <f>VLOOKUP(M585,[1]TIPOLOGIAS!$A:$F,4,0)</f>
        <v>BOGOTA</v>
      </c>
      <c r="Q585" s="30" t="str">
        <f>VLOOKUP(P585,'BASE TARIFA 2025'!C:D,2,0)</f>
        <v>WOMPI CENTRO</v>
      </c>
      <c r="R585" s="31">
        <f>VLOOKUP(P585,'BASE TARIFA 2025'!C:F,4,0)</f>
        <v>15709.5</v>
      </c>
    </row>
    <row r="586" spans="1:18" s="28" customFormat="1" ht="14.4" x14ac:dyDescent="0.3">
      <c r="A586" s="28">
        <v>35236</v>
      </c>
      <c r="B586" s="28" t="s">
        <v>3496</v>
      </c>
      <c r="C586" s="28">
        <v>1073979411</v>
      </c>
      <c r="D586" s="28" t="s">
        <v>3497</v>
      </c>
      <c r="E586" s="28" t="s">
        <v>3497</v>
      </c>
      <c r="F586" s="28" t="s">
        <v>3497</v>
      </c>
      <c r="G586" s="28" t="s">
        <v>3498</v>
      </c>
      <c r="H586" s="28" t="s">
        <v>3499</v>
      </c>
      <c r="I586" s="28" t="s">
        <v>3500</v>
      </c>
      <c r="J586" s="28" t="s">
        <v>70</v>
      </c>
      <c r="K586" s="28" t="s">
        <v>140</v>
      </c>
      <c r="L586" s="28" t="s">
        <v>140</v>
      </c>
      <c r="M586" s="28">
        <v>25754</v>
      </c>
      <c r="N586" s="29" t="s">
        <v>744</v>
      </c>
      <c r="O586" s="24">
        <f>VLOOKUP(A586,Hoja1!A:C,3,0)</f>
        <v>16</v>
      </c>
      <c r="P586" s="30" t="str">
        <f>VLOOKUP(M586,[1]TIPOLOGIAS!$A:$F,4,0)</f>
        <v>BOGOTA</v>
      </c>
      <c r="Q586" s="30" t="str">
        <f>VLOOKUP(P586,'BASE TARIFA 2025'!C:D,2,0)</f>
        <v>WOMPI CENTRO</v>
      </c>
      <c r="R586" s="31">
        <f>VLOOKUP(P586,'BASE TARIFA 2025'!C:F,4,0)</f>
        <v>15709.5</v>
      </c>
    </row>
    <row r="587" spans="1:18" s="28" customFormat="1" ht="14.4" x14ac:dyDescent="0.3">
      <c r="A587" s="28">
        <v>78552</v>
      </c>
      <c r="B587" s="28" t="s">
        <v>3501</v>
      </c>
      <c r="C587" s="28">
        <v>98343083</v>
      </c>
      <c r="D587" s="28" t="s">
        <v>3502</v>
      </c>
      <c r="E587" s="28" t="s">
        <v>3503</v>
      </c>
      <c r="F587" s="28" t="s">
        <v>3503</v>
      </c>
      <c r="G587" s="28" t="s">
        <v>3504</v>
      </c>
      <c r="H587" s="28" t="s">
        <v>3505</v>
      </c>
      <c r="I587" s="28" t="s">
        <v>3506</v>
      </c>
      <c r="J587" s="28" t="s">
        <v>70</v>
      </c>
      <c r="K587" s="28" t="s">
        <v>140</v>
      </c>
      <c r="L587" s="28" t="s">
        <v>140</v>
      </c>
      <c r="M587" s="28">
        <v>25754</v>
      </c>
      <c r="N587" s="29" t="s">
        <v>744</v>
      </c>
      <c r="O587" s="24">
        <f>VLOOKUP(A587,Hoja1!A:C,3,0)</f>
        <v>8</v>
      </c>
      <c r="P587" s="30" t="str">
        <f>VLOOKUP(M587,[1]TIPOLOGIAS!$A:$F,4,0)</f>
        <v>BOGOTA</v>
      </c>
      <c r="Q587" s="30" t="str">
        <f>VLOOKUP(P587,'BASE TARIFA 2025'!C:D,2,0)</f>
        <v>WOMPI CENTRO</v>
      </c>
      <c r="R587" s="31">
        <f>VLOOKUP(P587,'BASE TARIFA 2025'!C:F,4,0)</f>
        <v>15709.5</v>
      </c>
    </row>
    <row r="588" spans="1:18" s="28" customFormat="1" ht="14.4" x14ac:dyDescent="0.3">
      <c r="A588" s="28">
        <v>11043</v>
      </c>
      <c r="B588" s="28" t="s">
        <v>3507</v>
      </c>
      <c r="C588" s="28">
        <v>4486102</v>
      </c>
      <c r="D588" s="28" t="s">
        <v>3508</v>
      </c>
      <c r="E588" s="28" t="s">
        <v>3509</v>
      </c>
      <c r="F588" s="28" t="s">
        <v>3508</v>
      </c>
      <c r="G588" s="28" t="s">
        <v>3510</v>
      </c>
      <c r="H588" s="28" t="s">
        <v>3511</v>
      </c>
      <c r="I588" s="28" t="s">
        <v>3512</v>
      </c>
      <c r="J588" s="28" t="s">
        <v>70</v>
      </c>
      <c r="K588" s="28" t="s">
        <v>140</v>
      </c>
      <c r="L588" s="28" t="s">
        <v>140</v>
      </c>
      <c r="M588" s="28">
        <v>25754</v>
      </c>
      <c r="N588" s="29" t="s">
        <v>1173</v>
      </c>
      <c r="O588" s="24">
        <f>VLOOKUP(A588,Hoja1!A:C,3,0)</f>
        <v>16</v>
      </c>
      <c r="P588" s="30" t="str">
        <f>VLOOKUP(M588,[1]TIPOLOGIAS!$A:$F,4,0)</f>
        <v>BOGOTA</v>
      </c>
      <c r="Q588" s="30" t="str">
        <f>VLOOKUP(P588,'BASE TARIFA 2025'!C:D,2,0)</f>
        <v>WOMPI CENTRO</v>
      </c>
      <c r="R588" s="31">
        <f>VLOOKUP(P588,'BASE TARIFA 2025'!C:F,4,0)</f>
        <v>15709.5</v>
      </c>
    </row>
    <row r="589" spans="1:18" s="28" customFormat="1" ht="14.4" x14ac:dyDescent="0.3">
      <c r="A589" s="28">
        <v>15601</v>
      </c>
      <c r="B589" s="28" t="s">
        <v>3513</v>
      </c>
      <c r="C589" s="28">
        <v>900113903</v>
      </c>
      <c r="D589" s="28" t="s">
        <v>69</v>
      </c>
      <c r="E589" s="28" t="s">
        <v>69</v>
      </c>
      <c r="F589" s="28" t="s">
        <v>3514</v>
      </c>
      <c r="G589" s="28" t="s">
        <v>3515</v>
      </c>
      <c r="H589" s="28" t="s">
        <v>3516</v>
      </c>
      <c r="I589" s="28" t="s">
        <v>3517</v>
      </c>
      <c r="J589" s="28" t="s">
        <v>70</v>
      </c>
      <c r="K589" s="28" t="s">
        <v>140</v>
      </c>
      <c r="L589" s="28" t="s">
        <v>140</v>
      </c>
      <c r="M589" s="28">
        <v>25754</v>
      </c>
      <c r="N589" s="29" t="s">
        <v>1159</v>
      </c>
      <c r="O589" s="24">
        <f>VLOOKUP(A589,Hoja1!A:C,3,0)</f>
        <v>16</v>
      </c>
      <c r="P589" s="30" t="str">
        <f>VLOOKUP(M589,[1]TIPOLOGIAS!$A:$F,4,0)</f>
        <v>BOGOTA</v>
      </c>
      <c r="Q589" s="30" t="str">
        <f>VLOOKUP(P589,'BASE TARIFA 2025'!C:D,2,0)</f>
        <v>WOMPI CENTRO</v>
      </c>
      <c r="R589" s="31">
        <f>VLOOKUP(P589,'BASE TARIFA 2025'!C:F,4,0)</f>
        <v>15709.5</v>
      </c>
    </row>
    <row r="590" spans="1:18" s="28" customFormat="1" ht="14.4" x14ac:dyDescent="0.3">
      <c r="A590" s="28">
        <v>17046</v>
      </c>
      <c r="B590" s="28" t="s">
        <v>3518</v>
      </c>
      <c r="C590" s="28">
        <v>3082327</v>
      </c>
      <c r="E590" s="28" t="s">
        <v>3519</v>
      </c>
      <c r="F590" s="28" t="s">
        <v>3520</v>
      </c>
      <c r="G590" s="28" t="s">
        <v>3521</v>
      </c>
      <c r="H590" s="28" t="s">
        <v>3522</v>
      </c>
      <c r="I590" s="28" t="s">
        <v>3523</v>
      </c>
      <c r="J590" s="28" t="s">
        <v>70</v>
      </c>
      <c r="K590" s="28" t="s">
        <v>140</v>
      </c>
      <c r="L590" s="28" t="s">
        <v>140</v>
      </c>
      <c r="M590" s="28">
        <v>25754</v>
      </c>
      <c r="N590" s="29" t="s">
        <v>722</v>
      </c>
      <c r="O590" s="24">
        <f>VLOOKUP(A590,Hoja1!A:C,3,0)</f>
        <v>16</v>
      </c>
      <c r="P590" s="30" t="str">
        <f>VLOOKUP(M590,[1]TIPOLOGIAS!$A:$F,4,0)</f>
        <v>BOGOTA</v>
      </c>
      <c r="Q590" s="30" t="str">
        <f>VLOOKUP(P590,'BASE TARIFA 2025'!C:D,2,0)</f>
        <v>WOMPI CENTRO</v>
      </c>
      <c r="R590" s="31">
        <f>VLOOKUP(P590,'BASE TARIFA 2025'!C:F,4,0)</f>
        <v>15709.5</v>
      </c>
    </row>
    <row r="591" spans="1:18" s="28" customFormat="1" ht="14.4" x14ac:dyDescent="0.3">
      <c r="A591" s="28">
        <v>17236</v>
      </c>
      <c r="B591" s="28" t="s">
        <v>3524</v>
      </c>
      <c r="C591" s="28">
        <v>1019033081</v>
      </c>
      <c r="D591" s="28" t="s">
        <v>69</v>
      </c>
      <c r="E591" s="28" t="s">
        <v>3525</v>
      </c>
      <c r="F591" s="28" t="s">
        <v>3525</v>
      </c>
      <c r="G591" s="28" t="s">
        <v>3526</v>
      </c>
      <c r="H591" s="28" t="s">
        <v>3527</v>
      </c>
      <c r="I591" s="28" t="s">
        <v>3528</v>
      </c>
      <c r="J591" s="28" t="s">
        <v>70</v>
      </c>
      <c r="K591" s="28" t="s">
        <v>140</v>
      </c>
      <c r="L591" s="28" t="s">
        <v>140</v>
      </c>
      <c r="M591" s="28">
        <v>25754</v>
      </c>
      <c r="N591" s="29" t="s">
        <v>744</v>
      </c>
      <c r="O591" s="24">
        <f>VLOOKUP(A591,Hoja1!A:C,3,0)</f>
        <v>16</v>
      </c>
      <c r="P591" s="30" t="str">
        <f>VLOOKUP(M591,[1]TIPOLOGIAS!$A:$F,4,0)</f>
        <v>BOGOTA</v>
      </c>
      <c r="Q591" s="30" t="str">
        <f>VLOOKUP(P591,'BASE TARIFA 2025'!C:D,2,0)</f>
        <v>WOMPI CENTRO</v>
      </c>
      <c r="R591" s="31">
        <f>VLOOKUP(P591,'BASE TARIFA 2025'!C:F,4,0)</f>
        <v>15709.5</v>
      </c>
    </row>
    <row r="592" spans="1:18" s="28" customFormat="1" ht="14.4" x14ac:dyDescent="0.3">
      <c r="A592" s="28">
        <v>20628</v>
      </c>
      <c r="B592" s="28" t="s">
        <v>3529</v>
      </c>
      <c r="C592" s="28">
        <v>79640367</v>
      </c>
      <c r="D592" s="28" t="s">
        <v>3530</v>
      </c>
      <c r="E592" s="28" t="s">
        <v>3530</v>
      </c>
      <c r="F592" s="28" t="s">
        <v>3531</v>
      </c>
      <c r="G592" s="28" t="s">
        <v>3532</v>
      </c>
      <c r="H592" s="28" t="s">
        <v>3533</v>
      </c>
      <c r="I592" s="28" t="s">
        <v>3534</v>
      </c>
      <c r="J592" s="28" t="s">
        <v>92</v>
      </c>
      <c r="K592" s="28" t="s">
        <v>157</v>
      </c>
      <c r="L592" s="28" t="s">
        <v>157</v>
      </c>
      <c r="M592" s="28">
        <v>54001</v>
      </c>
      <c r="N592" s="29" t="s">
        <v>1173</v>
      </c>
      <c r="O592" s="24">
        <f>VLOOKUP(A592,Hoja1!A:C,3,0)</f>
        <v>16</v>
      </c>
      <c r="P592" s="30" t="str">
        <f>VLOOKUP(M592,[1]TIPOLOGIAS!$A:$F,4,0)</f>
        <v>CUCUTA</v>
      </c>
      <c r="Q592" s="30" t="str">
        <f>VLOOKUP(P592,'BASE TARIFA 2025'!C:D,2,0)</f>
        <v>WOMPI SANTANDERES</v>
      </c>
      <c r="R592" s="31">
        <f>VLOOKUP(P592,'BASE TARIFA 2025'!C:F,4,0)</f>
        <v>28277.100000000002</v>
      </c>
    </row>
    <row r="593" spans="1:18" s="28" customFormat="1" ht="14.4" x14ac:dyDescent="0.3">
      <c r="A593" s="28">
        <v>16746</v>
      </c>
      <c r="B593" s="28" t="s">
        <v>3535</v>
      </c>
      <c r="C593" s="28">
        <v>801002644</v>
      </c>
      <c r="D593" s="28" t="s">
        <v>3536</v>
      </c>
      <c r="E593" s="28" t="s">
        <v>3536</v>
      </c>
      <c r="F593" s="28" t="s">
        <v>3536</v>
      </c>
      <c r="G593" s="28" t="s">
        <v>3537</v>
      </c>
      <c r="H593" s="28" t="s">
        <v>3538</v>
      </c>
      <c r="I593" s="28" t="s">
        <v>3539</v>
      </c>
      <c r="J593" s="28" t="s">
        <v>92</v>
      </c>
      <c r="K593" s="28" t="s">
        <v>157</v>
      </c>
      <c r="L593" s="28" t="s">
        <v>157</v>
      </c>
      <c r="M593" s="28">
        <v>54001</v>
      </c>
      <c r="N593" s="29" t="s">
        <v>638</v>
      </c>
      <c r="O593" s="24">
        <f>VLOOKUP(A593,Hoja1!A:C,3,0)</f>
        <v>8</v>
      </c>
      <c r="P593" s="30" t="str">
        <f>VLOOKUP(M593,[1]TIPOLOGIAS!$A:$F,4,0)</f>
        <v>CUCUTA</v>
      </c>
      <c r="Q593" s="30" t="str">
        <f>VLOOKUP(P593,'BASE TARIFA 2025'!C:D,2,0)</f>
        <v>WOMPI SANTANDERES</v>
      </c>
      <c r="R593" s="31">
        <f>VLOOKUP(P593,'BASE TARIFA 2025'!C:F,4,0)</f>
        <v>28277.100000000002</v>
      </c>
    </row>
    <row r="594" spans="1:18" s="28" customFormat="1" ht="14.4" x14ac:dyDescent="0.3">
      <c r="A594" s="28">
        <v>17978</v>
      </c>
      <c r="B594" s="28" t="s">
        <v>3540</v>
      </c>
      <c r="C594" s="28">
        <v>1032357568</v>
      </c>
      <c r="D594" s="28" t="s">
        <v>69</v>
      </c>
      <c r="E594" s="28" t="s">
        <v>3541</v>
      </c>
      <c r="F594" s="28" t="s">
        <v>3541</v>
      </c>
      <c r="G594" s="28" t="s">
        <v>3542</v>
      </c>
      <c r="H594" s="28" t="s">
        <v>3543</v>
      </c>
      <c r="I594" s="28" t="s">
        <v>3544</v>
      </c>
      <c r="J594" s="28" t="s">
        <v>92</v>
      </c>
      <c r="K594" s="28" t="s">
        <v>157</v>
      </c>
      <c r="L594" s="28" t="s">
        <v>157</v>
      </c>
      <c r="M594" s="28">
        <v>54001</v>
      </c>
      <c r="N594" s="29" t="s">
        <v>655</v>
      </c>
      <c r="O594" s="24">
        <f>VLOOKUP(A594,Hoja1!A:C,3,0)</f>
        <v>16</v>
      </c>
      <c r="P594" s="30" t="str">
        <f>VLOOKUP(M594,[1]TIPOLOGIAS!$A:$F,4,0)</f>
        <v>CUCUTA</v>
      </c>
      <c r="Q594" s="30" t="str">
        <f>VLOOKUP(P594,'BASE TARIFA 2025'!C:D,2,0)</f>
        <v>WOMPI SANTANDERES</v>
      </c>
      <c r="R594" s="31">
        <f>VLOOKUP(P594,'BASE TARIFA 2025'!C:F,4,0)</f>
        <v>28277.100000000002</v>
      </c>
    </row>
    <row r="595" spans="1:18" s="28" customFormat="1" ht="14.4" x14ac:dyDescent="0.3">
      <c r="A595" s="28">
        <v>21493</v>
      </c>
      <c r="B595" s="28" t="s">
        <v>3545</v>
      </c>
      <c r="C595" s="28">
        <v>16667817</v>
      </c>
      <c r="D595" s="28" t="s">
        <v>3546</v>
      </c>
      <c r="E595" s="28" t="s">
        <v>3547</v>
      </c>
      <c r="F595" s="28" t="s">
        <v>3546</v>
      </c>
      <c r="G595" s="28" t="s">
        <v>3548</v>
      </c>
      <c r="H595" s="28" t="s">
        <v>3549</v>
      </c>
      <c r="I595" s="28" t="s">
        <v>3550</v>
      </c>
      <c r="J595" s="28" t="s">
        <v>70</v>
      </c>
      <c r="K595" s="28" t="s">
        <v>140</v>
      </c>
      <c r="L595" s="28" t="s">
        <v>140</v>
      </c>
      <c r="M595" s="28">
        <v>25754</v>
      </c>
      <c r="N595" s="29" t="s">
        <v>744</v>
      </c>
      <c r="O595" s="24">
        <f>VLOOKUP(A595,Hoja1!A:C,3,0)</f>
        <v>16</v>
      </c>
      <c r="P595" s="30" t="str">
        <f>VLOOKUP(M595,[1]TIPOLOGIAS!$A:$F,4,0)</f>
        <v>BOGOTA</v>
      </c>
      <c r="Q595" s="30" t="str">
        <f>VLOOKUP(P595,'BASE TARIFA 2025'!C:D,2,0)</f>
        <v>WOMPI CENTRO</v>
      </c>
      <c r="R595" s="31">
        <f>VLOOKUP(P595,'BASE TARIFA 2025'!C:F,4,0)</f>
        <v>15709.5</v>
      </c>
    </row>
    <row r="596" spans="1:18" s="28" customFormat="1" ht="14.4" x14ac:dyDescent="0.3">
      <c r="A596" s="28">
        <v>17567</v>
      </c>
      <c r="B596" s="28" t="s">
        <v>3551</v>
      </c>
      <c r="C596" s="28">
        <v>35510963</v>
      </c>
      <c r="D596" s="28" t="s">
        <v>3552</v>
      </c>
      <c r="E596" s="28" t="s">
        <v>3553</v>
      </c>
      <c r="F596" s="28" t="s">
        <v>3554</v>
      </c>
      <c r="G596" s="28" t="s">
        <v>3555</v>
      </c>
      <c r="H596" s="28" t="s">
        <v>3556</v>
      </c>
      <c r="I596" s="28" t="s">
        <v>3557</v>
      </c>
      <c r="J596" s="28" t="s">
        <v>70</v>
      </c>
      <c r="K596" s="28" t="s">
        <v>140</v>
      </c>
      <c r="L596" s="28" t="s">
        <v>140</v>
      </c>
      <c r="M596" s="28">
        <v>25754</v>
      </c>
      <c r="N596" s="29" t="s">
        <v>589</v>
      </c>
      <c r="O596" s="24">
        <f>VLOOKUP(A596,Hoja1!A:C,3,0)</f>
        <v>8</v>
      </c>
      <c r="P596" s="30" t="str">
        <f>VLOOKUP(M596,[1]TIPOLOGIAS!$A:$F,4,0)</f>
        <v>BOGOTA</v>
      </c>
      <c r="Q596" s="30" t="str">
        <f>VLOOKUP(P596,'BASE TARIFA 2025'!C:D,2,0)</f>
        <v>WOMPI CENTRO</v>
      </c>
      <c r="R596" s="31">
        <f>VLOOKUP(P596,'BASE TARIFA 2025'!C:F,4,0)</f>
        <v>15709.5</v>
      </c>
    </row>
    <row r="597" spans="1:18" s="28" customFormat="1" ht="14.4" x14ac:dyDescent="0.3">
      <c r="A597" s="28">
        <v>22822</v>
      </c>
      <c r="B597" s="28" t="s">
        <v>3558</v>
      </c>
      <c r="C597" s="28">
        <v>41320027</v>
      </c>
      <c r="D597" s="28" t="s">
        <v>250</v>
      </c>
      <c r="E597" s="28" t="s">
        <v>250</v>
      </c>
      <c r="F597" s="28" t="s">
        <v>250</v>
      </c>
      <c r="G597" s="28" t="s">
        <v>251</v>
      </c>
      <c r="H597" s="28" t="s">
        <v>252</v>
      </c>
      <c r="I597" s="28" t="s">
        <v>253</v>
      </c>
      <c r="J597" s="28" t="s">
        <v>70</v>
      </c>
      <c r="K597" s="28" t="s">
        <v>140</v>
      </c>
      <c r="L597" s="28" t="s">
        <v>140</v>
      </c>
      <c r="M597" s="28">
        <v>25754</v>
      </c>
      <c r="N597" s="29" t="s">
        <v>589</v>
      </c>
      <c r="O597" s="24">
        <f>VLOOKUP(A597,Hoja1!A:C,3,0)</f>
        <v>16</v>
      </c>
      <c r="P597" s="30" t="str">
        <f>VLOOKUP(M597,[1]TIPOLOGIAS!$A:$F,4,0)</f>
        <v>BOGOTA</v>
      </c>
      <c r="Q597" s="30" t="str">
        <f>VLOOKUP(P597,'BASE TARIFA 2025'!C:D,2,0)</f>
        <v>WOMPI CENTRO</v>
      </c>
      <c r="R597" s="31">
        <f>VLOOKUP(P597,'BASE TARIFA 2025'!C:F,4,0)</f>
        <v>15709.5</v>
      </c>
    </row>
    <row r="598" spans="1:18" s="28" customFormat="1" ht="14.4" x14ac:dyDescent="0.3">
      <c r="A598" s="28">
        <v>21792</v>
      </c>
      <c r="B598" s="28" t="s">
        <v>3559</v>
      </c>
      <c r="C598" s="28">
        <v>53063313</v>
      </c>
      <c r="D598" s="28" t="s">
        <v>3560</v>
      </c>
      <c r="E598" s="28" t="s">
        <v>3560</v>
      </c>
      <c r="F598" s="28" t="s">
        <v>3561</v>
      </c>
      <c r="G598" s="28" t="s">
        <v>3562</v>
      </c>
      <c r="H598" s="28" t="s">
        <v>3563</v>
      </c>
      <c r="I598" s="28" t="s">
        <v>3564</v>
      </c>
      <c r="J598" s="28" t="s">
        <v>70</v>
      </c>
      <c r="K598" s="28" t="s">
        <v>140</v>
      </c>
      <c r="L598" s="28" t="s">
        <v>140</v>
      </c>
      <c r="M598" s="28">
        <v>25754</v>
      </c>
      <c r="N598" s="29" t="s">
        <v>722</v>
      </c>
      <c r="O598" s="24">
        <f>VLOOKUP(A598,Hoja1!A:C,3,0)</f>
        <v>16</v>
      </c>
      <c r="P598" s="30" t="str">
        <f>VLOOKUP(M598,[1]TIPOLOGIAS!$A:$F,4,0)</f>
        <v>BOGOTA</v>
      </c>
      <c r="Q598" s="30" t="str">
        <f>VLOOKUP(P598,'BASE TARIFA 2025'!C:D,2,0)</f>
        <v>WOMPI CENTRO</v>
      </c>
      <c r="R598" s="31">
        <f>VLOOKUP(P598,'BASE TARIFA 2025'!C:F,4,0)</f>
        <v>15709.5</v>
      </c>
    </row>
    <row r="599" spans="1:18" s="28" customFormat="1" ht="14.4" x14ac:dyDescent="0.3">
      <c r="A599" s="28">
        <v>22540</v>
      </c>
      <c r="B599" s="28" t="s">
        <v>3565</v>
      </c>
      <c r="C599" s="28">
        <v>900364915</v>
      </c>
      <c r="D599" s="28" t="s">
        <v>3566</v>
      </c>
      <c r="E599" s="28" t="s">
        <v>3566</v>
      </c>
      <c r="F599" s="28" t="s">
        <v>3567</v>
      </c>
      <c r="G599" s="28" t="s">
        <v>3568</v>
      </c>
      <c r="H599" s="28" t="s">
        <v>3569</v>
      </c>
      <c r="I599" s="28" t="s">
        <v>3570</v>
      </c>
      <c r="J599" s="28" t="s">
        <v>70</v>
      </c>
      <c r="K599" s="28" t="s">
        <v>140</v>
      </c>
      <c r="L599" s="28" t="s">
        <v>140</v>
      </c>
      <c r="M599" s="28">
        <v>25754</v>
      </c>
      <c r="N599" s="29" t="s">
        <v>722</v>
      </c>
      <c r="O599" s="24">
        <f>VLOOKUP(A599,Hoja1!A:C,3,0)</f>
        <v>8</v>
      </c>
      <c r="P599" s="30" t="str">
        <f>VLOOKUP(M599,[1]TIPOLOGIAS!$A:$F,4,0)</f>
        <v>BOGOTA</v>
      </c>
      <c r="Q599" s="30" t="str">
        <f>VLOOKUP(P599,'BASE TARIFA 2025'!C:D,2,0)</f>
        <v>WOMPI CENTRO</v>
      </c>
      <c r="R599" s="31">
        <f>VLOOKUP(P599,'BASE TARIFA 2025'!C:F,4,0)</f>
        <v>15709.5</v>
      </c>
    </row>
    <row r="600" spans="1:18" s="28" customFormat="1" ht="14.4" x14ac:dyDescent="0.3">
      <c r="A600" s="28">
        <v>24244</v>
      </c>
      <c r="B600" s="28" t="s">
        <v>3571</v>
      </c>
      <c r="C600" s="28">
        <v>79136311</v>
      </c>
      <c r="D600" s="28" t="s">
        <v>69</v>
      </c>
      <c r="E600" s="28" t="s">
        <v>3572</v>
      </c>
      <c r="F600" s="28" t="s">
        <v>3572</v>
      </c>
      <c r="G600" s="28" t="s">
        <v>3573</v>
      </c>
      <c r="H600" s="28" t="s">
        <v>3574</v>
      </c>
      <c r="I600" s="28" t="s">
        <v>3575</v>
      </c>
      <c r="J600" s="28" t="s">
        <v>70</v>
      </c>
      <c r="K600" s="28" t="s">
        <v>140</v>
      </c>
      <c r="L600" s="28" t="s">
        <v>140</v>
      </c>
      <c r="M600" s="28">
        <v>25754</v>
      </c>
      <c r="N600" s="29" t="s">
        <v>1159</v>
      </c>
      <c r="O600" s="24">
        <f>VLOOKUP(A600,Hoja1!A:C,3,0)</f>
        <v>8</v>
      </c>
      <c r="P600" s="30" t="str">
        <f>VLOOKUP(M600,[1]TIPOLOGIAS!$A:$F,4,0)</f>
        <v>BOGOTA</v>
      </c>
      <c r="Q600" s="30" t="str">
        <f>VLOOKUP(P600,'BASE TARIFA 2025'!C:D,2,0)</f>
        <v>WOMPI CENTRO</v>
      </c>
      <c r="R600" s="31">
        <f>VLOOKUP(P600,'BASE TARIFA 2025'!C:F,4,0)</f>
        <v>15709.5</v>
      </c>
    </row>
    <row r="601" spans="1:18" s="28" customFormat="1" ht="14.4" x14ac:dyDescent="0.3">
      <c r="A601" s="28">
        <v>24510</v>
      </c>
      <c r="B601" s="28" t="s">
        <v>3576</v>
      </c>
      <c r="C601" s="28">
        <v>80187741</v>
      </c>
      <c r="D601" s="28" t="s">
        <v>69</v>
      </c>
      <c r="E601" s="28" t="s">
        <v>3577</v>
      </c>
      <c r="F601" s="28" t="s">
        <v>3577</v>
      </c>
      <c r="G601" s="28" t="s">
        <v>3578</v>
      </c>
      <c r="H601" s="28" t="s">
        <v>3579</v>
      </c>
      <c r="I601" s="28" t="s">
        <v>3580</v>
      </c>
      <c r="J601" s="28" t="s">
        <v>70</v>
      </c>
      <c r="K601" s="28" t="s">
        <v>140</v>
      </c>
      <c r="L601" s="28" t="s">
        <v>140</v>
      </c>
      <c r="M601" s="28">
        <v>25754</v>
      </c>
      <c r="N601" s="29" t="s">
        <v>744</v>
      </c>
      <c r="O601" s="24">
        <f>VLOOKUP(A601,Hoja1!A:C,3,0)</f>
        <v>8</v>
      </c>
      <c r="P601" s="30" t="str">
        <f>VLOOKUP(M601,[1]TIPOLOGIAS!$A:$F,4,0)</f>
        <v>BOGOTA</v>
      </c>
      <c r="Q601" s="30" t="str">
        <f>VLOOKUP(P601,'BASE TARIFA 2025'!C:D,2,0)</f>
        <v>WOMPI CENTRO</v>
      </c>
      <c r="R601" s="31">
        <f>VLOOKUP(P601,'BASE TARIFA 2025'!C:F,4,0)</f>
        <v>15709.5</v>
      </c>
    </row>
    <row r="602" spans="1:18" s="28" customFormat="1" ht="14.4" x14ac:dyDescent="0.3">
      <c r="A602" s="28">
        <v>25708</v>
      </c>
      <c r="B602" s="28" t="s">
        <v>3581</v>
      </c>
      <c r="C602" s="28">
        <v>52236739</v>
      </c>
      <c r="D602" s="28" t="s">
        <v>3582</v>
      </c>
      <c r="E602" s="28" t="s">
        <v>3582</v>
      </c>
      <c r="F602" s="28" t="s">
        <v>3583</v>
      </c>
      <c r="G602" s="28" t="s">
        <v>3584</v>
      </c>
      <c r="H602" s="28" t="s">
        <v>3585</v>
      </c>
      <c r="I602" s="28" t="s">
        <v>3586</v>
      </c>
      <c r="J602" s="28" t="s">
        <v>70</v>
      </c>
      <c r="K602" s="28" t="s">
        <v>140</v>
      </c>
      <c r="L602" s="28" t="s">
        <v>140</v>
      </c>
      <c r="M602" s="28">
        <v>25754</v>
      </c>
      <c r="N602" s="29" t="s">
        <v>589</v>
      </c>
      <c r="O602" s="24">
        <f>VLOOKUP(A602,Hoja1!A:C,3,0)</f>
        <v>8</v>
      </c>
      <c r="P602" s="30" t="str">
        <f>VLOOKUP(M602,[1]TIPOLOGIAS!$A:$F,4,0)</f>
        <v>BOGOTA</v>
      </c>
      <c r="Q602" s="30" t="str">
        <f>VLOOKUP(P602,'BASE TARIFA 2025'!C:D,2,0)</f>
        <v>WOMPI CENTRO</v>
      </c>
      <c r="R602" s="31">
        <f>VLOOKUP(P602,'BASE TARIFA 2025'!C:F,4,0)</f>
        <v>15709.5</v>
      </c>
    </row>
    <row r="603" spans="1:18" s="28" customFormat="1" ht="14.4" x14ac:dyDescent="0.3">
      <c r="A603" s="28">
        <v>25527</v>
      </c>
      <c r="B603" s="28" t="s">
        <v>3587</v>
      </c>
      <c r="C603" s="28">
        <v>1013579237</v>
      </c>
      <c r="D603" s="28" t="s">
        <v>3588</v>
      </c>
      <c r="E603" s="28" t="s">
        <v>3589</v>
      </c>
      <c r="F603" s="28" t="s">
        <v>3589</v>
      </c>
      <c r="G603" s="28" t="s">
        <v>3590</v>
      </c>
      <c r="H603" s="28" t="s">
        <v>3591</v>
      </c>
      <c r="I603" s="28" t="s">
        <v>3592</v>
      </c>
      <c r="J603" s="28" t="s">
        <v>88</v>
      </c>
      <c r="K603" s="28" t="s">
        <v>198</v>
      </c>
      <c r="L603" s="28" t="s">
        <v>198</v>
      </c>
      <c r="M603" s="28">
        <v>66318</v>
      </c>
      <c r="N603" s="29" t="s">
        <v>542</v>
      </c>
      <c r="O603" s="24">
        <f>VLOOKUP(A603,Hoja1!A:C,3,0)</f>
        <v>16</v>
      </c>
      <c r="P603" s="30" t="str">
        <f>VLOOKUP(M603,[1]TIPOLOGIAS!$A:$F,4,0)</f>
        <v>PEREIRA</v>
      </c>
      <c r="Q603" s="30" t="str">
        <f>VLOOKUP(P603,'BASE TARIFA 2025'!C:D,2,0)</f>
        <v>WOMPI EJE CAFETERO</v>
      </c>
      <c r="R603" s="31">
        <f>VLOOKUP(P603,'BASE TARIFA 2025'!C:F,4,0)</f>
        <v>15709.5</v>
      </c>
    </row>
    <row r="604" spans="1:18" s="28" customFormat="1" ht="14.4" x14ac:dyDescent="0.3">
      <c r="A604" s="28">
        <v>26847</v>
      </c>
      <c r="B604" s="28" t="s">
        <v>3593</v>
      </c>
      <c r="C604" s="28">
        <v>1019018018</v>
      </c>
      <c r="D604" s="28" t="s">
        <v>186</v>
      </c>
      <c r="E604" s="28" t="s">
        <v>186</v>
      </c>
      <c r="F604" s="28" t="s">
        <v>186</v>
      </c>
      <c r="G604" s="28" t="s">
        <v>3594</v>
      </c>
      <c r="H604" s="28" t="s">
        <v>3595</v>
      </c>
      <c r="I604" s="28" t="s">
        <v>3596</v>
      </c>
      <c r="J604" s="28" t="s">
        <v>88</v>
      </c>
      <c r="K604" s="28" t="s">
        <v>198</v>
      </c>
      <c r="L604" s="28" t="s">
        <v>198</v>
      </c>
      <c r="M604" s="28">
        <v>66318</v>
      </c>
      <c r="N604" s="29" t="s">
        <v>1173</v>
      </c>
      <c r="O604" s="24">
        <f>VLOOKUP(A604,Hoja1!A:C,3,0)</f>
        <v>8</v>
      </c>
      <c r="P604" s="30" t="str">
        <f>VLOOKUP(M604,[1]TIPOLOGIAS!$A:$F,4,0)</f>
        <v>PEREIRA</v>
      </c>
      <c r="Q604" s="30" t="str">
        <f>VLOOKUP(P604,'BASE TARIFA 2025'!C:D,2,0)</f>
        <v>WOMPI EJE CAFETERO</v>
      </c>
      <c r="R604" s="31">
        <f>VLOOKUP(P604,'BASE TARIFA 2025'!C:F,4,0)</f>
        <v>15709.5</v>
      </c>
    </row>
    <row r="605" spans="1:18" s="28" customFormat="1" ht="14.4" x14ac:dyDescent="0.3">
      <c r="A605" s="28">
        <v>28697</v>
      </c>
      <c r="B605" s="28" t="s">
        <v>3597</v>
      </c>
      <c r="C605" s="28">
        <v>1030674988</v>
      </c>
      <c r="D605" s="28" t="s">
        <v>3598</v>
      </c>
      <c r="E605" s="28" t="s">
        <v>3598</v>
      </c>
      <c r="G605" s="28" t="s">
        <v>3599</v>
      </c>
      <c r="H605" s="28" t="s">
        <v>3600</v>
      </c>
      <c r="I605" s="28" t="s">
        <v>3601</v>
      </c>
      <c r="J605" s="28" t="s">
        <v>88</v>
      </c>
      <c r="K605" s="28" t="s">
        <v>198</v>
      </c>
      <c r="L605" s="28" t="s">
        <v>198</v>
      </c>
      <c r="M605" s="28">
        <v>66318</v>
      </c>
      <c r="N605" s="29" t="s">
        <v>542</v>
      </c>
      <c r="O605" s="24">
        <f>VLOOKUP(A605,Hoja1!A:C,3,0)</f>
        <v>8</v>
      </c>
      <c r="P605" s="30" t="str">
        <f>VLOOKUP(M605,[1]TIPOLOGIAS!$A:$F,4,0)</f>
        <v>PEREIRA</v>
      </c>
      <c r="Q605" s="30" t="str">
        <f>VLOOKUP(P605,'BASE TARIFA 2025'!C:D,2,0)</f>
        <v>WOMPI EJE CAFETERO</v>
      </c>
      <c r="R605" s="31">
        <f>VLOOKUP(P605,'BASE TARIFA 2025'!C:F,4,0)</f>
        <v>15709.5</v>
      </c>
    </row>
    <row r="606" spans="1:18" s="28" customFormat="1" ht="14.4" x14ac:dyDescent="0.3">
      <c r="A606" s="28">
        <v>26396</v>
      </c>
      <c r="B606" s="28" t="s">
        <v>3602</v>
      </c>
      <c r="C606" s="28">
        <v>805029815</v>
      </c>
      <c r="D606" s="28" t="s">
        <v>3603</v>
      </c>
      <c r="E606" s="28" t="s">
        <v>3604</v>
      </c>
      <c r="F606" s="28" t="s">
        <v>3604</v>
      </c>
      <c r="G606" s="28" t="s">
        <v>3605</v>
      </c>
      <c r="H606" s="28" t="s">
        <v>3606</v>
      </c>
      <c r="I606" s="28" t="s">
        <v>3607</v>
      </c>
      <c r="J606" s="28" t="s">
        <v>88</v>
      </c>
      <c r="K606" s="28" t="s">
        <v>199</v>
      </c>
      <c r="L606" s="28" t="s">
        <v>199</v>
      </c>
      <c r="M606" s="28">
        <v>66682</v>
      </c>
      <c r="N606" s="29" t="s">
        <v>542</v>
      </c>
      <c r="O606" s="24">
        <f>VLOOKUP(A606,Hoja1!A:C,3,0)</f>
        <v>8</v>
      </c>
      <c r="P606" s="30" t="str">
        <f>VLOOKUP(M606,[1]TIPOLOGIAS!$A:$F,4,0)</f>
        <v>PEREIRA</v>
      </c>
      <c r="Q606" s="30" t="str">
        <f>VLOOKUP(P606,'BASE TARIFA 2025'!C:D,2,0)</f>
        <v>WOMPI EJE CAFETERO</v>
      </c>
      <c r="R606" s="31">
        <f>VLOOKUP(P606,'BASE TARIFA 2025'!C:F,4,0)</f>
        <v>15709.5</v>
      </c>
    </row>
    <row r="607" spans="1:18" s="28" customFormat="1" ht="14.4" x14ac:dyDescent="0.3">
      <c r="A607" s="28">
        <v>26399</v>
      </c>
      <c r="B607" s="28" t="s">
        <v>3608</v>
      </c>
      <c r="C607" s="28">
        <v>900627646</v>
      </c>
      <c r="D607" s="28" t="s">
        <v>3609</v>
      </c>
      <c r="E607" s="28" t="s">
        <v>3610</v>
      </c>
      <c r="F607" s="28" t="s">
        <v>3610</v>
      </c>
      <c r="G607" s="28" t="s">
        <v>3611</v>
      </c>
      <c r="H607" s="28" t="s">
        <v>3612</v>
      </c>
      <c r="I607" s="28" t="s">
        <v>3613</v>
      </c>
      <c r="J607" s="28" t="s">
        <v>88</v>
      </c>
      <c r="K607" s="28" t="s">
        <v>199</v>
      </c>
      <c r="L607" s="28" t="s">
        <v>199</v>
      </c>
      <c r="M607" s="28">
        <v>66682</v>
      </c>
      <c r="N607" s="29" t="s">
        <v>542</v>
      </c>
      <c r="O607" s="24">
        <f>VLOOKUP(A607,Hoja1!A:C,3,0)</f>
        <v>8</v>
      </c>
      <c r="P607" s="30" t="str">
        <f>VLOOKUP(M607,[1]TIPOLOGIAS!$A:$F,4,0)</f>
        <v>PEREIRA</v>
      </c>
      <c r="Q607" s="30" t="str">
        <f>VLOOKUP(P607,'BASE TARIFA 2025'!C:D,2,0)</f>
        <v>WOMPI EJE CAFETERO</v>
      </c>
      <c r="R607" s="31">
        <f>VLOOKUP(P607,'BASE TARIFA 2025'!C:F,4,0)</f>
        <v>15709.5</v>
      </c>
    </row>
    <row r="608" spans="1:18" s="28" customFormat="1" ht="14.4" x14ac:dyDescent="0.3">
      <c r="A608" s="28">
        <v>27456</v>
      </c>
      <c r="B608" s="28" t="s">
        <v>3614</v>
      </c>
      <c r="C608" s="28">
        <v>31324852</v>
      </c>
      <c r="D608" s="28" t="s">
        <v>3615</v>
      </c>
      <c r="E608" s="28" t="s">
        <v>3616</v>
      </c>
      <c r="F608" s="28" t="s">
        <v>3616</v>
      </c>
      <c r="G608" s="28" t="s">
        <v>3617</v>
      </c>
      <c r="H608" s="28" t="s">
        <v>3618</v>
      </c>
      <c r="I608" s="28" t="s">
        <v>3619</v>
      </c>
      <c r="J608" s="28" t="s">
        <v>88</v>
      </c>
      <c r="K608" s="28" t="s">
        <v>199</v>
      </c>
      <c r="L608" s="28" t="s">
        <v>199</v>
      </c>
      <c r="M608" s="28">
        <v>66682</v>
      </c>
      <c r="N608" s="29" t="s">
        <v>542</v>
      </c>
      <c r="O608" s="24">
        <f>VLOOKUP(A608,Hoja1!A:C,3,0)</f>
        <v>16</v>
      </c>
      <c r="P608" s="30" t="str">
        <f>VLOOKUP(M608,[1]TIPOLOGIAS!$A:$F,4,0)</f>
        <v>PEREIRA</v>
      </c>
      <c r="Q608" s="30" t="str">
        <f>VLOOKUP(P608,'BASE TARIFA 2025'!C:D,2,0)</f>
        <v>WOMPI EJE CAFETERO</v>
      </c>
      <c r="R608" s="31">
        <f>VLOOKUP(P608,'BASE TARIFA 2025'!C:F,4,0)</f>
        <v>15709.5</v>
      </c>
    </row>
    <row r="609" spans="1:18" s="28" customFormat="1" ht="14.4" x14ac:dyDescent="0.3">
      <c r="A609" s="28">
        <v>31830</v>
      </c>
      <c r="B609" s="28" t="s">
        <v>3620</v>
      </c>
      <c r="C609" s="28">
        <v>1019033081</v>
      </c>
      <c r="D609" s="28" t="s">
        <v>69</v>
      </c>
      <c r="E609" s="28" t="s">
        <v>306</v>
      </c>
      <c r="F609" s="28" t="s">
        <v>306</v>
      </c>
      <c r="G609" s="28" t="s">
        <v>307</v>
      </c>
      <c r="H609" s="28" t="s">
        <v>308</v>
      </c>
      <c r="I609" s="28" t="s">
        <v>309</v>
      </c>
      <c r="J609" s="28" t="s">
        <v>88</v>
      </c>
      <c r="K609" s="28" t="s">
        <v>199</v>
      </c>
      <c r="L609" s="28" t="s">
        <v>199</v>
      </c>
      <c r="M609" s="28">
        <v>66682</v>
      </c>
      <c r="N609" s="29" t="s">
        <v>589</v>
      </c>
      <c r="O609" s="24">
        <f>VLOOKUP(A609,Hoja1!A:C,3,0)</f>
        <v>8</v>
      </c>
      <c r="P609" s="30" t="str">
        <f>VLOOKUP(M609,[1]TIPOLOGIAS!$A:$F,4,0)</f>
        <v>PEREIRA</v>
      </c>
      <c r="Q609" s="30" t="str">
        <f>VLOOKUP(P609,'BASE TARIFA 2025'!C:D,2,0)</f>
        <v>WOMPI EJE CAFETERO</v>
      </c>
      <c r="R609" s="31">
        <f>VLOOKUP(P609,'BASE TARIFA 2025'!C:F,4,0)</f>
        <v>15709.5</v>
      </c>
    </row>
    <row r="610" spans="1:18" s="28" customFormat="1" ht="14.4" x14ac:dyDescent="0.3">
      <c r="A610" s="28">
        <v>33186</v>
      </c>
      <c r="B610" s="28" t="s">
        <v>3621</v>
      </c>
      <c r="C610" s="28">
        <v>13513844</v>
      </c>
      <c r="E610" s="28" t="s">
        <v>3622</v>
      </c>
      <c r="F610" s="28" t="s">
        <v>3622</v>
      </c>
      <c r="G610" s="28" t="s">
        <v>3623</v>
      </c>
      <c r="H610" s="28" t="s">
        <v>3624</v>
      </c>
      <c r="I610" s="28" t="s">
        <v>3625</v>
      </c>
      <c r="J610" s="28" t="s">
        <v>88</v>
      </c>
      <c r="K610" s="28" t="s">
        <v>199</v>
      </c>
      <c r="L610" s="28" t="s">
        <v>199</v>
      </c>
      <c r="M610" s="28">
        <v>66682</v>
      </c>
      <c r="N610" s="29" t="s">
        <v>589</v>
      </c>
      <c r="O610" s="24">
        <f>VLOOKUP(A610,Hoja1!A:C,3,0)</f>
        <v>8</v>
      </c>
      <c r="P610" s="30" t="str">
        <f>VLOOKUP(M610,[1]TIPOLOGIAS!$A:$F,4,0)</f>
        <v>PEREIRA</v>
      </c>
      <c r="Q610" s="30" t="str">
        <f>VLOOKUP(P610,'BASE TARIFA 2025'!C:D,2,0)</f>
        <v>WOMPI EJE CAFETERO</v>
      </c>
      <c r="R610" s="31">
        <f>VLOOKUP(P610,'BASE TARIFA 2025'!C:F,4,0)</f>
        <v>15709.5</v>
      </c>
    </row>
    <row r="611" spans="1:18" s="28" customFormat="1" ht="14.4" x14ac:dyDescent="0.3">
      <c r="A611" s="28">
        <v>33563</v>
      </c>
      <c r="B611" s="28" t="s">
        <v>3626</v>
      </c>
      <c r="C611" s="28">
        <v>35510717</v>
      </c>
      <c r="D611" s="28" t="s">
        <v>3627</v>
      </c>
      <c r="E611" s="28" t="s">
        <v>3627</v>
      </c>
      <c r="F611" s="28" t="s">
        <v>3627</v>
      </c>
      <c r="G611" s="28" t="s">
        <v>3628</v>
      </c>
      <c r="H611" s="28" t="s">
        <v>3629</v>
      </c>
      <c r="I611" s="28" t="s">
        <v>3630</v>
      </c>
      <c r="J611" s="28" t="s">
        <v>88</v>
      </c>
      <c r="K611" s="28" t="s">
        <v>199</v>
      </c>
      <c r="L611" s="28" t="s">
        <v>199</v>
      </c>
      <c r="M611" s="28">
        <v>66682</v>
      </c>
      <c r="N611" s="29" t="s">
        <v>589</v>
      </c>
      <c r="O611" s="24">
        <f>VLOOKUP(A611,Hoja1!A:C,3,0)</f>
        <v>8</v>
      </c>
      <c r="P611" s="30" t="str">
        <f>VLOOKUP(M611,[1]TIPOLOGIAS!$A:$F,4,0)</f>
        <v>PEREIRA</v>
      </c>
      <c r="Q611" s="30" t="str">
        <f>VLOOKUP(P611,'BASE TARIFA 2025'!C:D,2,0)</f>
        <v>WOMPI EJE CAFETERO</v>
      </c>
      <c r="R611" s="31">
        <f>VLOOKUP(P611,'BASE TARIFA 2025'!C:F,4,0)</f>
        <v>15709.5</v>
      </c>
    </row>
    <row r="612" spans="1:18" s="28" customFormat="1" ht="14.4" x14ac:dyDescent="0.3">
      <c r="A612" s="28">
        <v>29218</v>
      </c>
      <c r="B612" s="28" t="s">
        <v>3631</v>
      </c>
      <c r="C612" s="28">
        <v>79581644</v>
      </c>
      <c r="D612" s="28" t="s">
        <v>3632</v>
      </c>
      <c r="E612" s="28" t="s">
        <v>3632</v>
      </c>
      <c r="F612" s="28" t="s">
        <v>3632</v>
      </c>
      <c r="G612" s="28" t="s">
        <v>3633</v>
      </c>
      <c r="H612" s="28" t="s">
        <v>3634</v>
      </c>
      <c r="I612" s="28" t="s">
        <v>3635</v>
      </c>
      <c r="J612" s="28" t="s">
        <v>88</v>
      </c>
      <c r="K612" s="28" t="s">
        <v>199</v>
      </c>
      <c r="L612" s="28" t="s">
        <v>199</v>
      </c>
      <c r="M612" s="28">
        <v>66682</v>
      </c>
      <c r="N612" s="29" t="s">
        <v>542</v>
      </c>
      <c r="O612" s="24">
        <f>VLOOKUP(A612,Hoja1!A:C,3,0)</f>
        <v>8</v>
      </c>
      <c r="P612" s="30" t="str">
        <f>VLOOKUP(M612,[1]TIPOLOGIAS!$A:$F,4,0)</f>
        <v>PEREIRA</v>
      </c>
      <c r="Q612" s="30" t="str">
        <f>VLOOKUP(P612,'BASE TARIFA 2025'!C:D,2,0)</f>
        <v>WOMPI EJE CAFETERO</v>
      </c>
      <c r="R612" s="31">
        <f>VLOOKUP(P612,'BASE TARIFA 2025'!C:F,4,0)</f>
        <v>15709.5</v>
      </c>
    </row>
    <row r="613" spans="1:18" s="28" customFormat="1" ht="14.4" x14ac:dyDescent="0.3">
      <c r="A613" s="28">
        <v>32122</v>
      </c>
      <c r="B613" s="28" t="s">
        <v>3636</v>
      </c>
      <c r="C613" s="28">
        <v>51834939</v>
      </c>
      <c r="D613" s="28" t="s">
        <v>3637</v>
      </c>
      <c r="E613" s="28" t="s">
        <v>3637</v>
      </c>
      <c r="F613" s="28" t="s">
        <v>3638</v>
      </c>
      <c r="G613" s="28" t="s">
        <v>3639</v>
      </c>
      <c r="H613" s="28" t="s">
        <v>3640</v>
      </c>
      <c r="I613" s="28" t="s">
        <v>3641</v>
      </c>
      <c r="J613" s="28" t="s">
        <v>88</v>
      </c>
      <c r="K613" s="28" t="s">
        <v>199</v>
      </c>
      <c r="L613" s="28" t="s">
        <v>199</v>
      </c>
      <c r="M613" s="28">
        <v>66682</v>
      </c>
      <c r="N613" s="29" t="s">
        <v>589</v>
      </c>
      <c r="O613" s="24">
        <f>VLOOKUP(A613,Hoja1!A:C,3,0)</f>
        <v>8</v>
      </c>
      <c r="P613" s="30" t="str">
        <f>VLOOKUP(M613,[1]TIPOLOGIAS!$A:$F,4,0)</f>
        <v>PEREIRA</v>
      </c>
      <c r="Q613" s="30" t="str">
        <f>VLOOKUP(P613,'BASE TARIFA 2025'!C:D,2,0)</f>
        <v>WOMPI EJE CAFETERO</v>
      </c>
      <c r="R613" s="31">
        <f>VLOOKUP(P613,'BASE TARIFA 2025'!C:F,4,0)</f>
        <v>15709.5</v>
      </c>
    </row>
    <row r="614" spans="1:18" s="28" customFormat="1" ht="14.4" x14ac:dyDescent="0.3">
      <c r="A614" s="28">
        <v>32052</v>
      </c>
      <c r="B614" s="28" t="s">
        <v>3642</v>
      </c>
      <c r="C614" s="28">
        <v>1032407373</v>
      </c>
      <c r="D614" s="28" t="s">
        <v>310</v>
      </c>
      <c r="E614" s="28" t="s">
        <v>310</v>
      </c>
      <c r="F614" s="28" t="s">
        <v>310</v>
      </c>
      <c r="G614" s="28" t="s">
        <v>311</v>
      </c>
      <c r="H614" s="28" t="s">
        <v>312</v>
      </c>
      <c r="I614" s="28" t="s">
        <v>313</v>
      </c>
      <c r="J614" s="28" t="s">
        <v>88</v>
      </c>
      <c r="K614" s="28" t="s">
        <v>199</v>
      </c>
      <c r="L614" s="28" t="s">
        <v>199</v>
      </c>
      <c r="M614" s="28">
        <v>66682</v>
      </c>
      <c r="N614" s="29" t="s">
        <v>589</v>
      </c>
      <c r="O614" s="24">
        <f>VLOOKUP(A614,Hoja1!A:C,3,0)</f>
        <v>8</v>
      </c>
      <c r="P614" s="30" t="str">
        <f>VLOOKUP(M614,[1]TIPOLOGIAS!$A:$F,4,0)</f>
        <v>PEREIRA</v>
      </c>
      <c r="Q614" s="30" t="str">
        <f>VLOOKUP(P614,'BASE TARIFA 2025'!C:D,2,0)</f>
        <v>WOMPI EJE CAFETERO</v>
      </c>
      <c r="R614" s="31">
        <f>VLOOKUP(P614,'BASE TARIFA 2025'!C:F,4,0)</f>
        <v>15709.5</v>
      </c>
    </row>
    <row r="615" spans="1:18" s="28" customFormat="1" ht="14.4" x14ac:dyDescent="0.3">
      <c r="A615" s="28">
        <v>32415</v>
      </c>
      <c r="B615" s="28" t="s">
        <v>3643</v>
      </c>
      <c r="C615" s="28">
        <v>1144128226</v>
      </c>
      <c r="D615" s="28" t="s">
        <v>3644</v>
      </c>
      <c r="E615" s="28" t="s">
        <v>3644</v>
      </c>
      <c r="F615" s="28" t="s">
        <v>3644</v>
      </c>
      <c r="G615" s="28" t="s">
        <v>3645</v>
      </c>
      <c r="H615" s="28" t="s">
        <v>3646</v>
      </c>
      <c r="I615" s="28" t="s">
        <v>3647</v>
      </c>
      <c r="J615" s="28" t="s">
        <v>94</v>
      </c>
      <c r="K615" s="28" t="s">
        <v>201</v>
      </c>
      <c r="L615" s="28" t="s">
        <v>201</v>
      </c>
      <c r="M615" s="28">
        <v>68079</v>
      </c>
      <c r="N615" s="29" t="s">
        <v>1012</v>
      </c>
      <c r="O615" s="24">
        <f>VLOOKUP(A615,Hoja1!A:C,3,0)</f>
        <v>16</v>
      </c>
      <c r="P615" s="30" t="str">
        <f>VLOOKUP(M615,[1]TIPOLOGIAS!$A:$F,4,0)</f>
        <v>BUCARAMANGA</v>
      </c>
      <c r="Q615" s="30" t="str">
        <f>VLOOKUP(P615,'BASE TARIFA 2025'!C:D,2,0)</f>
        <v>WOMPI SANTANDERES</v>
      </c>
      <c r="R615" s="31">
        <f>VLOOKUP(P615,'BASE TARIFA 2025'!C:F,4,0)</f>
        <v>15709.5</v>
      </c>
    </row>
    <row r="616" spans="1:18" s="28" customFormat="1" ht="14.4" x14ac:dyDescent="0.3">
      <c r="A616" s="28">
        <v>33918</v>
      </c>
      <c r="B616" s="28" t="s">
        <v>3648</v>
      </c>
      <c r="C616" s="28">
        <v>900835258</v>
      </c>
      <c r="D616" s="28" t="s">
        <v>3649</v>
      </c>
      <c r="E616" s="28" t="s">
        <v>3650</v>
      </c>
      <c r="F616" s="28" t="s">
        <v>3650</v>
      </c>
      <c r="G616" s="28" t="s">
        <v>3651</v>
      </c>
      <c r="H616" s="28" t="s">
        <v>3652</v>
      </c>
      <c r="I616" s="28" t="s">
        <v>3653</v>
      </c>
      <c r="J616" s="28" t="s">
        <v>94</v>
      </c>
      <c r="K616" s="28" t="s">
        <v>202</v>
      </c>
      <c r="L616" s="28" t="s">
        <v>202</v>
      </c>
      <c r="M616" s="28">
        <v>68081</v>
      </c>
      <c r="N616" s="29" t="s">
        <v>1173</v>
      </c>
      <c r="O616" s="24">
        <f>VLOOKUP(A616,Hoja1!A:C,3,0)</f>
        <v>16</v>
      </c>
      <c r="P616" s="30" t="str">
        <f>VLOOKUP(M616,[1]TIPOLOGIAS!$A:$F,4,0)</f>
        <v>BUCARAMANGA</v>
      </c>
      <c r="Q616" s="30" t="str">
        <f>VLOOKUP(P616,'BASE TARIFA 2025'!C:D,2,0)</f>
        <v>WOMPI SANTANDERES</v>
      </c>
      <c r="R616" s="31">
        <f>VLOOKUP(P616,'BASE TARIFA 2025'!C:F,4,0)</f>
        <v>15709.5</v>
      </c>
    </row>
    <row r="617" spans="1:18" s="28" customFormat="1" ht="14.4" x14ac:dyDescent="0.3">
      <c r="A617" s="28">
        <v>34158</v>
      </c>
      <c r="B617" s="28" t="s">
        <v>3654</v>
      </c>
      <c r="C617" s="28">
        <v>1010198889</v>
      </c>
      <c r="D617" s="28" t="s">
        <v>3655</v>
      </c>
      <c r="E617" s="28" t="s">
        <v>3656</v>
      </c>
      <c r="F617" s="28" t="s">
        <v>3656</v>
      </c>
      <c r="G617" s="28" t="s">
        <v>3657</v>
      </c>
      <c r="H617" s="28" t="s">
        <v>3658</v>
      </c>
      <c r="I617" s="28" t="s">
        <v>3659</v>
      </c>
      <c r="J617" s="28" t="s">
        <v>94</v>
      </c>
      <c r="K617" s="28" t="s">
        <v>202</v>
      </c>
      <c r="L617" s="28" t="s">
        <v>202</v>
      </c>
      <c r="M617" s="28">
        <v>68081</v>
      </c>
      <c r="N617" s="29" t="s">
        <v>1173</v>
      </c>
      <c r="O617" s="24">
        <f>VLOOKUP(A617,Hoja1!A:C,3,0)</f>
        <v>8</v>
      </c>
      <c r="P617" s="30" t="str">
        <f>VLOOKUP(M617,[1]TIPOLOGIAS!$A:$F,4,0)</f>
        <v>BUCARAMANGA</v>
      </c>
      <c r="Q617" s="30" t="str">
        <f>VLOOKUP(P617,'BASE TARIFA 2025'!C:D,2,0)</f>
        <v>WOMPI SANTANDERES</v>
      </c>
      <c r="R617" s="31">
        <f>VLOOKUP(P617,'BASE TARIFA 2025'!C:F,4,0)</f>
        <v>15709.5</v>
      </c>
    </row>
    <row r="618" spans="1:18" s="28" customFormat="1" ht="14.4" x14ac:dyDescent="0.3">
      <c r="A618" s="28">
        <v>35053</v>
      </c>
      <c r="B618" s="28" t="s">
        <v>3660</v>
      </c>
      <c r="C618" s="28">
        <v>53115070</v>
      </c>
      <c r="E618" s="28" t="s">
        <v>3661</v>
      </c>
      <c r="F618" s="28" t="s">
        <v>3662</v>
      </c>
      <c r="G618" s="28" t="s">
        <v>3663</v>
      </c>
      <c r="H618" s="28" t="s">
        <v>3664</v>
      </c>
      <c r="I618" s="28" t="s">
        <v>3665</v>
      </c>
      <c r="J618" s="28" t="s">
        <v>94</v>
      </c>
      <c r="K618" s="28" t="s">
        <v>202</v>
      </c>
      <c r="L618" s="28" t="s">
        <v>202</v>
      </c>
      <c r="M618" s="28">
        <v>68081</v>
      </c>
      <c r="N618" s="29" t="s">
        <v>1173</v>
      </c>
      <c r="O618" s="24">
        <f>VLOOKUP(A618,Hoja1!A:C,3,0)</f>
        <v>8</v>
      </c>
      <c r="P618" s="30" t="str">
        <f>VLOOKUP(M618,[1]TIPOLOGIAS!$A:$F,4,0)</f>
        <v>BUCARAMANGA</v>
      </c>
      <c r="Q618" s="30" t="str">
        <f>VLOOKUP(P618,'BASE TARIFA 2025'!C:D,2,0)</f>
        <v>WOMPI SANTANDERES</v>
      </c>
      <c r="R618" s="31">
        <f>VLOOKUP(P618,'BASE TARIFA 2025'!C:F,4,0)</f>
        <v>15709.5</v>
      </c>
    </row>
    <row r="619" spans="1:18" s="28" customFormat="1" ht="14.4" x14ac:dyDescent="0.3">
      <c r="A619" s="28">
        <v>34769</v>
      </c>
      <c r="B619" s="28" t="s">
        <v>3666</v>
      </c>
      <c r="C619" s="28">
        <v>94514551</v>
      </c>
      <c r="D619" s="28" t="s">
        <v>3667</v>
      </c>
      <c r="E619" s="28" t="s">
        <v>3661</v>
      </c>
      <c r="F619" s="28" t="s">
        <v>3668</v>
      </c>
      <c r="G619" s="28" t="s">
        <v>3669</v>
      </c>
      <c r="H619" s="28" t="s">
        <v>3670</v>
      </c>
      <c r="I619" s="28" t="s">
        <v>3671</v>
      </c>
      <c r="J619" s="28" t="s">
        <v>94</v>
      </c>
      <c r="K619" s="28" t="s">
        <v>202</v>
      </c>
      <c r="L619" s="28" t="s">
        <v>202</v>
      </c>
      <c r="M619" s="28">
        <v>68081</v>
      </c>
      <c r="N619" s="29" t="s">
        <v>655</v>
      </c>
      <c r="O619" s="24">
        <f>VLOOKUP(A619,Hoja1!A:C,3,0)</f>
        <v>16</v>
      </c>
      <c r="P619" s="30" t="str">
        <f>VLOOKUP(M619,[1]TIPOLOGIAS!$A:$F,4,0)</f>
        <v>BUCARAMANGA</v>
      </c>
      <c r="Q619" s="30" t="str">
        <f>VLOOKUP(P619,'BASE TARIFA 2025'!C:D,2,0)</f>
        <v>WOMPI SANTANDERES</v>
      </c>
      <c r="R619" s="31">
        <f>VLOOKUP(P619,'BASE TARIFA 2025'!C:F,4,0)</f>
        <v>15709.5</v>
      </c>
    </row>
    <row r="620" spans="1:18" s="28" customFormat="1" ht="14.4" x14ac:dyDescent="0.3">
      <c r="A620" s="28">
        <v>34821</v>
      </c>
      <c r="B620" s="28" t="s">
        <v>3672</v>
      </c>
      <c r="C620" s="28">
        <v>53115070</v>
      </c>
      <c r="D620" s="28" t="s">
        <v>69</v>
      </c>
      <c r="E620" s="28" t="s">
        <v>3673</v>
      </c>
      <c r="F620" s="28" t="s">
        <v>3673</v>
      </c>
      <c r="G620" s="28" t="s">
        <v>3674</v>
      </c>
      <c r="H620" s="28" t="s">
        <v>3675</v>
      </c>
      <c r="I620" s="28" t="s">
        <v>3676</v>
      </c>
      <c r="J620" s="28" t="s">
        <v>92</v>
      </c>
      <c r="K620" s="28" t="s">
        <v>157</v>
      </c>
      <c r="L620" s="28" t="s">
        <v>157</v>
      </c>
      <c r="M620" s="28">
        <v>54001</v>
      </c>
      <c r="N620" s="29" t="s">
        <v>589</v>
      </c>
      <c r="O620" s="24">
        <f>VLOOKUP(A620,Hoja1!A:C,3,0)</f>
        <v>8</v>
      </c>
      <c r="P620" s="30" t="str">
        <f>VLOOKUP(M620,[1]TIPOLOGIAS!$A:$F,4,0)</f>
        <v>CUCUTA</v>
      </c>
      <c r="Q620" s="30" t="str">
        <f>VLOOKUP(P620,'BASE TARIFA 2025'!C:D,2,0)</f>
        <v>WOMPI SANTANDERES</v>
      </c>
      <c r="R620" s="31">
        <f>VLOOKUP(P620,'BASE TARIFA 2025'!C:F,4,0)</f>
        <v>28277.100000000002</v>
      </c>
    </row>
    <row r="621" spans="1:18" s="28" customFormat="1" ht="14.4" x14ac:dyDescent="0.3">
      <c r="A621" s="28">
        <v>35879</v>
      </c>
      <c r="B621" s="28" t="s">
        <v>3677</v>
      </c>
      <c r="C621" s="28">
        <v>39689554</v>
      </c>
      <c r="D621" s="28" t="s">
        <v>69</v>
      </c>
      <c r="E621" s="28" t="s">
        <v>3673</v>
      </c>
      <c r="F621" s="28" t="s">
        <v>3673</v>
      </c>
      <c r="G621" s="28" t="s">
        <v>3678</v>
      </c>
      <c r="H621" s="28" t="s">
        <v>3679</v>
      </c>
      <c r="I621" s="28" t="s">
        <v>3680</v>
      </c>
      <c r="J621" s="28" t="s">
        <v>92</v>
      </c>
      <c r="K621" s="28" t="s">
        <v>157</v>
      </c>
      <c r="L621" s="28" t="s">
        <v>157</v>
      </c>
      <c r="M621" s="28">
        <v>54001</v>
      </c>
      <c r="N621" s="29" t="s">
        <v>589</v>
      </c>
      <c r="O621" s="24">
        <f>VLOOKUP(A621,Hoja1!A:C,3,0)</f>
        <v>8</v>
      </c>
      <c r="P621" s="30" t="str">
        <f>VLOOKUP(M621,[1]TIPOLOGIAS!$A:$F,4,0)</f>
        <v>CUCUTA</v>
      </c>
      <c r="Q621" s="30" t="str">
        <f>VLOOKUP(P621,'BASE TARIFA 2025'!C:D,2,0)</f>
        <v>WOMPI SANTANDERES</v>
      </c>
      <c r="R621" s="31">
        <f>VLOOKUP(P621,'BASE TARIFA 2025'!C:F,4,0)</f>
        <v>28277.100000000002</v>
      </c>
    </row>
    <row r="622" spans="1:18" s="28" customFormat="1" ht="14.4" x14ac:dyDescent="0.3">
      <c r="A622" s="28">
        <v>37034</v>
      </c>
      <c r="B622" s="28" t="s">
        <v>3681</v>
      </c>
      <c r="C622" s="28">
        <v>80489945</v>
      </c>
      <c r="D622" s="28" t="s">
        <v>3682</v>
      </c>
      <c r="E622" s="28" t="s">
        <v>3682</v>
      </c>
      <c r="F622" s="28" t="s">
        <v>3682</v>
      </c>
      <c r="G622" s="28" t="s">
        <v>3683</v>
      </c>
      <c r="H622" s="28" t="s">
        <v>3430</v>
      </c>
      <c r="I622" s="28" t="s">
        <v>3684</v>
      </c>
      <c r="J622" s="28" t="s">
        <v>92</v>
      </c>
      <c r="K622" s="28" t="s">
        <v>157</v>
      </c>
      <c r="L622" s="28" t="s">
        <v>157</v>
      </c>
      <c r="M622" s="28">
        <v>54001</v>
      </c>
      <c r="N622" s="29" t="s">
        <v>744</v>
      </c>
      <c r="O622" s="24">
        <f>VLOOKUP(A622,Hoja1!A:C,3,0)</f>
        <v>8</v>
      </c>
      <c r="P622" s="30" t="str">
        <f>VLOOKUP(M622,[1]TIPOLOGIAS!$A:$F,4,0)</f>
        <v>CUCUTA</v>
      </c>
      <c r="Q622" s="30" t="str">
        <f>VLOOKUP(P622,'BASE TARIFA 2025'!C:D,2,0)</f>
        <v>WOMPI SANTANDERES</v>
      </c>
      <c r="R622" s="31">
        <f>VLOOKUP(P622,'BASE TARIFA 2025'!C:F,4,0)</f>
        <v>28277.100000000002</v>
      </c>
    </row>
    <row r="623" spans="1:18" s="28" customFormat="1" ht="14.4" x14ac:dyDescent="0.3">
      <c r="A623" s="28">
        <v>34309</v>
      </c>
      <c r="B623" s="28" t="s">
        <v>3685</v>
      </c>
      <c r="C623" s="28">
        <v>42089414</v>
      </c>
      <c r="D623" s="28" t="s">
        <v>69</v>
      </c>
      <c r="E623" s="28" t="s">
        <v>3686</v>
      </c>
      <c r="F623" s="28" t="s">
        <v>3686</v>
      </c>
      <c r="G623" s="28" t="s">
        <v>3687</v>
      </c>
      <c r="H623" s="28" t="s">
        <v>3688</v>
      </c>
      <c r="I623" s="28" t="s">
        <v>3689</v>
      </c>
      <c r="J623" s="28" t="s">
        <v>92</v>
      </c>
      <c r="K623" s="28" t="s">
        <v>157</v>
      </c>
      <c r="L623" s="28" t="s">
        <v>157</v>
      </c>
      <c r="M623" s="28">
        <v>54001</v>
      </c>
      <c r="N623" s="29" t="s">
        <v>744</v>
      </c>
      <c r="O623" s="24">
        <f>VLOOKUP(A623,Hoja1!A:C,3,0)</f>
        <v>16</v>
      </c>
      <c r="P623" s="30" t="str">
        <f>VLOOKUP(M623,[1]TIPOLOGIAS!$A:$F,4,0)</f>
        <v>CUCUTA</v>
      </c>
      <c r="Q623" s="30" t="str">
        <f>VLOOKUP(P623,'BASE TARIFA 2025'!C:D,2,0)</f>
        <v>WOMPI SANTANDERES</v>
      </c>
      <c r="R623" s="31">
        <f>VLOOKUP(P623,'BASE TARIFA 2025'!C:F,4,0)</f>
        <v>28277.100000000002</v>
      </c>
    </row>
    <row r="624" spans="1:18" s="28" customFormat="1" ht="14.4" x14ac:dyDescent="0.3">
      <c r="A624" s="28">
        <v>35653</v>
      </c>
      <c r="B624" s="28" t="s">
        <v>3690</v>
      </c>
      <c r="C624" s="28">
        <v>1118299396</v>
      </c>
      <c r="D624" s="28" t="s">
        <v>1952</v>
      </c>
      <c r="E624" s="28" t="s">
        <v>1952</v>
      </c>
      <c r="F624" s="28" t="s">
        <v>1952</v>
      </c>
      <c r="G624" s="28" t="s">
        <v>3691</v>
      </c>
      <c r="H624" s="28" t="s">
        <v>3692</v>
      </c>
      <c r="I624" s="28" t="s">
        <v>3693</v>
      </c>
      <c r="J624" s="28" t="s">
        <v>92</v>
      </c>
      <c r="K624" s="28" t="s">
        <v>157</v>
      </c>
      <c r="L624" s="28" t="s">
        <v>157</v>
      </c>
      <c r="M624" s="28">
        <v>54001</v>
      </c>
      <c r="N624" s="29" t="s">
        <v>589</v>
      </c>
      <c r="O624" s="24">
        <f>VLOOKUP(A624,Hoja1!A:C,3,0)</f>
        <v>16</v>
      </c>
      <c r="P624" s="30" t="str">
        <f>VLOOKUP(M624,[1]TIPOLOGIAS!$A:$F,4,0)</f>
        <v>CUCUTA</v>
      </c>
      <c r="Q624" s="30" t="str">
        <f>VLOOKUP(P624,'BASE TARIFA 2025'!C:D,2,0)</f>
        <v>WOMPI SANTANDERES</v>
      </c>
      <c r="R624" s="31">
        <f>VLOOKUP(P624,'BASE TARIFA 2025'!C:F,4,0)</f>
        <v>28277.100000000002</v>
      </c>
    </row>
    <row r="625" spans="1:18" s="28" customFormat="1" ht="14.4" x14ac:dyDescent="0.3">
      <c r="A625" s="28">
        <v>38327</v>
      </c>
      <c r="B625" s="28" t="s">
        <v>3694</v>
      </c>
      <c r="C625" s="28">
        <v>4159131</v>
      </c>
      <c r="D625" s="28" t="s">
        <v>69</v>
      </c>
      <c r="E625" s="28" t="s">
        <v>3695</v>
      </c>
      <c r="F625" s="28" t="s">
        <v>3696</v>
      </c>
      <c r="G625" s="28" t="s">
        <v>3697</v>
      </c>
      <c r="H625" s="28" t="s">
        <v>3698</v>
      </c>
      <c r="I625" s="28" t="s">
        <v>3699</v>
      </c>
      <c r="J625" s="28" t="s">
        <v>92</v>
      </c>
      <c r="K625" s="28" t="s">
        <v>157</v>
      </c>
      <c r="L625" s="28" t="s">
        <v>157</v>
      </c>
      <c r="M625" s="28">
        <v>54001</v>
      </c>
      <c r="N625" s="29" t="s">
        <v>1173</v>
      </c>
      <c r="O625" s="24">
        <f>VLOOKUP(A625,Hoja1!A:C,3,0)</f>
        <v>8</v>
      </c>
      <c r="P625" s="30" t="str">
        <f>VLOOKUP(M625,[1]TIPOLOGIAS!$A:$F,4,0)</f>
        <v>CUCUTA</v>
      </c>
      <c r="Q625" s="30" t="str">
        <f>VLOOKUP(P625,'BASE TARIFA 2025'!C:D,2,0)</f>
        <v>WOMPI SANTANDERES</v>
      </c>
      <c r="R625" s="31">
        <f>VLOOKUP(P625,'BASE TARIFA 2025'!C:F,4,0)</f>
        <v>28277.100000000002</v>
      </c>
    </row>
    <row r="626" spans="1:18" s="28" customFormat="1" ht="14.4" x14ac:dyDescent="0.3">
      <c r="A626" s="28">
        <v>40458</v>
      </c>
      <c r="B626" s="28" t="s">
        <v>3700</v>
      </c>
      <c r="C626" s="28">
        <v>1032369298</v>
      </c>
      <c r="D626" s="28" t="s">
        <v>3701</v>
      </c>
      <c r="E626" s="28" t="s">
        <v>3701</v>
      </c>
      <c r="F626" s="28" t="s">
        <v>3701</v>
      </c>
      <c r="G626" s="28" t="s">
        <v>3702</v>
      </c>
      <c r="H626" s="28" t="s">
        <v>3703</v>
      </c>
      <c r="I626" s="28" t="s">
        <v>3704</v>
      </c>
      <c r="J626" s="28" t="s">
        <v>92</v>
      </c>
      <c r="K626" s="28" t="s">
        <v>157</v>
      </c>
      <c r="L626" s="28" t="s">
        <v>157</v>
      </c>
      <c r="M626" s="28">
        <v>54001</v>
      </c>
      <c r="N626" s="29" t="s">
        <v>756</v>
      </c>
      <c r="O626" s="24">
        <f>VLOOKUP(A626,Hoja1!A:C,3,0)</f>
        <v>8</v>
      </c>
      <c r="P626" s="30" t="str">
        <f>VLOOKUP(M626,[1]TIPOLOGIAS!$A:$F,4,0)</f>
        <v>CUCUTA</v>
      </c>
      <c r="Q626" s="30" t="str">
        <f>VLOOKUP(P626,'BASE TARIFA 2025'!C:D,2,0)</f>
        <v>WOMPI SANTANDERES</v>
      </c>
      <c r="R626" s="31">
        <f>VLOOKUP(P626,'BASE TARIFA 2025'!C:F,4,0)</f>
        <v>28277.100000000002</v>
      </c>
    </row>
    <row r="627" spans="1:18" s="28" customFormat="1" ht="14.4" x14ac:dyDescent="0.3">
      <c r="A627" s="28">
        <v>39488</v>
      </c>
      <c r="B627" s="28" t="s">
        <v>3705</v>
      </c>
      <c r="C627" s="28">
        <v>890306372</v>
      </c>
      <c r="E627" s="28" t="s">
        <v>3706</v>
      </c>
      <c r="F627" s="28" t="s">
        <v>3706</v>
      </c>
      <c r="G627" s="28" t="s">
        <v>3707</v>
      </c>
      <c r="H627" s="28" t="s">
        <v>3708</v>
      </c>
      <c r="I627" s="28" t="s">
        <v>3709</v>
      </c>
      <c r="J627" s="28" t="s">
        <v>92</v>
      </c>
      <c r="K627" s="28" t="s">
        <v>157</v>
      </c>
      <c r="L627" s="28" t="s">
        <v>157</v>
      </c>
      <c r="M627" s="28">
        <v>54001</v>
      </c>
      <c r="N627" s="29" t="s">
        <v>1173</v>
      </c>
      <c r="O627" s="24">
        <f>VLOOKUP(A627,Hoja1!A:C,3,0)</f>
        <v>8</v>
      </c>
      <c r="P627" s="30" t="str">
        <f>VLOOKUP(M627,[1]TIPOLOGIAS!$A:$F,4,0)</f>
        <v>CUCUTA</v>
      </c>
      <c r="Q627" s="30" t="str">
        <f>VLOOKUP(P627,'BASE TARIFA 2025'!C:D,2,0)</f>
        <v>WOMPI SANTANDERES</v>
      </c>
      <c r="R627" s="31">
        <f>VLOOKUP(P627,'BASE TARIFA 2025'!C:F,4,0)</f>
        <v>28277.100000000002</v>
      </c>
    </row>
    <row r="628" spans="1:18" s="28" customFormat="1" ht="14.4" x14ac:dyDescent="0.3">
      <c r="A628" s="28">
        <v>41145</v>
      </c>
      <c r="B628" s="28" t="s">
        <v>3710</v>
      </c>
      <c r="C628" s="28">
        <v>1144189178</v>
      </c>
      <c r="D628" s="28" t="s">
        <v>69</v>
      </c>
      <c r="E628" s="28" t="s">
        <v>3711</v>
      </c>
      <c r="F628" s="28" t="s">
        <v>3711</v>
      </c>
      <c r="G628" s="28" t="s">
        <v>3712</v>
      </c>
      <c r="H628" s="28" t="s">
        <v>3713</v>
      </c>
      <c r="I628" s="28" t="s">
        <v>3714</v>
      </c>
      <c r="J628" s="28" t="s">
        <v>92</v>
      </c>
      <c r="K628" s="28" t="s">
        <v>157</v>
      </c>
      <c r="L628" s="28" t="s">
        <v>157</v>
      </c>
      <c r="M628" s="28">
        <v>54001</v>
      </c>
      <c r="N628" s="29" t="s">
        <v>744</v>
      </c>
      <c r="O628" s="24">
        <f>VLOOKUP(A628,Hoja1!A:C,3,0)</f>
        <v>16</v>
      </c>
      <c r="P628" s="30" t="str">
        <f>VLOOKUP(M628,[1]TIPOLOGIAS!$A:$F,4,0)</f>
        <v>CUCUTA</v>
      </c>
      <c r="Q628" s="30" t="str">
        <f>VLOOKUP(P628,'BASE TARIFA 2025'!C:D,2,0)</f>
        <v>WOMPI SANTANDERES</v>
      </c>
      <c r="R628" s="31">
        <f>VLOOKUP(P628,'BASE TARIFA 2025'!C:F,4,0)</f>
        <v>28277.100000000002</v>
      </c>
    </row>
    <row r="629" spans="1:18" s="28" customFormat="1" ht="14.4" x14ac:dyDescent="0.3">
      <c r="A629" s="28">
        <v>77340</v>
      </c>
      <c r="B629" s="28" t="s">
        <v>3715</v>
      </c>
      <c r="C629" s="28">
        <v>66981567</v>
      </c>
      <c r="D629" s="28" t="s">
        <v>3716</v>
      </c>
      <c r="E629" s="28" t="s">
        <v>3716</v>
      </c>
      <c r="F629" s="28" t="s">
        <v>3716</v>
      </c>
      <c r="G629" s="28" t="s">
        <v>3717</v>
      </c>
      <c r="H629" s="28" t="s">
        <v>3718</v>
      </c>
      <c r="I629" s="28" t="s">
        <v>3719</v>
      </c>
      <c r="J629" s="28" t="s">
        <v>92</v>
      </c>
      <c r="K629" s="28" t="s">
        <v>157</v>
      </c>
      <c r="L629" s="28" t="s">
        <v>157</v>
      </c>
      <c r="M629" s="28">
        <v>54001</v>
      </c>
      <c r="N629" s="29" t="s">
        <v>655</v>
      </c>
      <c r="O629" s="24">
        <f>VLOOKUP(A629,Hoja1!A:C,3,0)</f>
        <v>8</v>
      </c>
      <c r="P629" s="30" t="str">
        <f>VLOOKUP(M629,[1]TIPOLOGIAS!$A:$F,4,0)</f>
        <v>CUCUTA</v>
      </c>
      <c r="Q629" s="30" t="str">
        <f>VLOOKUP(P629,'BASE TARIFA 2025'!C:D,2,0)</f>
        <v>WOMPI SANTANDERES</v>
      </c>
      <c r="R629" s="31">
        <f>VLOOKUP(P629,'BASE TARIFA 2025'!C:F,4,0)</f>
        <v>28277.100000000002</v>
      </c>
    </row>
    <row r="630" spans="1:18" s="28" customFormat="1" ht="14.4" x14ac:dyDescent="0.3">
      <c r="A630" s="28">
        <v>78068</v>
      </c>
      <c r="B630" s="28" t="s">
        <v>3720</v>
      </c>
      <c r="C630" s="28">
        <v>91493829</v>
      </c>
      <c r="D630" s="28" t="s">
        <v>3721</v>
      </c>
      <c r="E630" s="28" t="s">
        <v>3722</v>
      </c>
      <c r="F630" s="28" t="s">
        <v>3722</v>
      </c>
      <c r="G630" s="28" t="s">
        <v>3723</v>
      </c>
      <c r="H630" s="28" t="s">
        <v>3724</v>
      </c>
      <c r="I630" s="28" t="s">
        <v>3725</v>
      </c>
      <c r="J630" s="28" t="s">
        <v>70</v>
      </c>
      <c r="K630" s="28" t="s">
        <v>140</v>
      </c>
      <c r="L630" s="28" t="s">
        <v>140</v>
      </c>
      <c r="M630" s="28">
        <v>25754</v>
      </c>
      <c r="N630" s="29" t="s">
        <v>744</v>
      </c>
      <c r="O630" s="24">
        <f>VLOOKUP(A630,Hoja1!A:C,3,0)</f>
        <v>8</v>
      </c>
      <c r="P630" s="30" t="str">
        <f>VLOOKUP(M630,[1]TIPOLOGIAS!$A:$F,4,0)</f>
        <v>BOGOTA</v>
      </c>
      <c r="Q630" s="30" t="str">
        <f>VLOOKUP(P630,'BASE TARIFA 2025'!C:D,2,0)</f>
        <v>WOMPI CENTRO</v>
      </c>
      <c r="R630" s="31">
        <f>VLOOKUP(P630,'BASE TARIFA 2025'!C:F,4,0)</f>
        <v>15709.5</v>
      </c>
    </row>
    <row r="631" spans="1:18" s="28" customFormat="1" ht="14.4" x14ac:dyDescent="0.3">
      <c r="A631" s="28">
        <v>78240</v>
      </c>
      <c r="B631" s="28" t="s">
        <v>3726</v>
      </c>
      <c r="C631" s="28">
        <v>1012425308</v>
      </c>
      <c r="D631" s="28" t="s">
        <v>3727</v>
      </c>
      <c r="E631" s="28" t="s">
        <v>3727</v>
      </c>
      <c r="F631" s="28" t="s">
        <v>3727</v>
      </c>
      <c r="G631" s="28" t="s">
        <v>3728</v>
      </c>
      <c r="H631" s="28" t="s">
        <v>3729</v>
      </c>
      <c r="I631" s="28" t="s">
        <v>3730</v>
      </c>
      <c r="J631" s="28" t="s">
        <v>70</v>
      </c>
      <c r="K631" s="28" t="s">
        <v>140</v>
      </c>
      <c r="L631" s="28" t="s">
        <v>140</v>
      </c>
      <c r="M631" s="28">
        <v>25754</v>
      </c>
      <c r="N631" s="29" t="s">
        <v>1159</v>
      </c>
      <c r="O631" s="24">
        <f>VLOOKUP(A631,Hoja1!A:C,3,0)</f>
        <v>8</v>
      </c>
      <c r="P631" s="30" t="str">
        <f>VLOOKUP(M631,[1]TIPOLOGIAS!$A:$F,4,0)</f>
        <v>BOGOTA</v>
      </c>
      <c r="Q631" s="30" t="str">
        <f>VLOOKUP(P631,'BASE TARIFA 2025'!C:D,2,0)</f>
        <v>WOMPI CENTRO</v>
      </c>
      <c r="R631" s="31">
        <f>VLOOKUP(P631,'BASE TARIFA 2025'!C:F,4,0)</f>
        <v>15709.5</v>
      </c>
    </row>
    <row r="632" spans="1:18" s="28" customFormat="1" ht="14.4" x14ac:dyDescent="0.3">
      <c r="A632" s="28">
        <v>78241</v>
      </c>
      <c r="B632" s="28" t="s">
        <v>3731</v>
      </c>
      <c r="C632" s="28">
        <v>1080187193</v>
      </c>
      <c r="D632" s="28" t="s">
        <v>3732</v>
      </c>
      <c r="E632" s="28" t="s">
        <v>3733</v>
      </c>
      <c r="F632" s="28" t="s">
        <v>3733</v>
      </c>
      <c r="G632" s="28" t="s">
        <v>3734</v>
      </c>
      <c r="H632" s="28" t="s">
        <v>3735</v>
      </c>
      <c r="I632" s="28" t="s">
        <v>3736</v>
      </c>
      <c r="J632" s="28" t="s">
        <v>70</v>
      </c>
      <c r="K632" s="28" t="s">
        <v>140</v>
      </c>
      <c r="L632" s="28" t="s">
        <v>140</v>
      </c>
      <c r="M632" s="28">
        <v>25754</v>
      </c>
      <c r="N632" s="29" t="s">
        <v>744</v>
      </c>
      <c r="O632" s="24">
        <f>VLOOKUP(A632,Hoja1!A:C,3,0)</f>
        <v>8</v>
      </c>
      <c r="P632" s="30" t="str">
        <f>VLOOKUP(M632,[1]TIPOLOGIAS!$A:$F,4,0)</f>
        <v>BOGOTA</v>
      </c>
      <c r="Q632" s="30" t="str">
        <f>VLOOKUP(P632,'BASE TARIFA 2025'!C:D,2,0)</f>
        <v>WOMPI CENTRO</v>
      </c>
      <c r="R632" s="31">
        <f>VLOOKUP(P632,'BASE TARIFA 2025'!C:F,4,0)</f>
        <v>15709.5</v>
      </c>
    </row>
    <row r="633" spans="1:18" s="28" customFormat="1" ht="14.4" x14ac:dyDescent="0.3">
      <c r="A633" s="28">
        <v>79288</v>
      </c>
      <c r="B633" s="28" t="s">
        <v>3737</v>
      </c>
      <c r="C633" s="28">
        <v>16706827</v>
      </c>
      <c r="D633" s="28" t="s">
        <v>3738</v>
      </c>
      <c r="E633" s="28" t="s">
        <v>3739</v>
      </c>
      <c r="F633" s="28" t="s">
        <v>3740</v>
      </c>
      <c r="G633" s="28" t="s">
        <v>3741</v>
      </c>
      <c r="H633" s="28" t="s">
        <v>3742</v>
      </c>
      <c r="I633" s="28" t="s">
        <v>3743</v>
      </c>
      <c r="J633" s="28" t="s">
        <v>70</v>
      </c>
      <c r="K633" s="28" t="s">
        <v>140</v>
      </c>
      <c r="L633" s="28" t="s">
        <v>140</v>
      </c>
      <c r="M633" s="28">
        <v>25754</v>
      </c>
      <c r="N633" s="29" t="s">
        <v>790</v>
      </c>
      <c r="O633" s="24">
        <f>VLOOKUP(A633,Hoja1!A:C,3,0)</f>
        <v>8</v>
      </c>
      <c r="P633" s="30" t="str">
        <f>VLOOKUP(M633,[1]TIPOLOGIAS!$A:$F,4,0)</f>
        <v>BOGOTA</v>
      </c>
      <c r="Q633" s="30" t="str">
        <f>VLOOKUP(P633,'BASE TARIFA 2025'!C:D,2,0)</f>
        <v>WOMPI CENTRO</v>
      </c>
      <c r="R633" s="31">
        <f>VLOOKUP(P633,'BASE TARIFA 2025'!C:F,4,0)</f>
        <v>15709.5</v>
      </c>
    </row>
    <row r="634" spans="1:18" s="28" customFormat="1" ht="14.4" x14ac:dyDescent="0.3">
      <c r="A634" s="28">
        <v>79656</v>
      </c>
      <c r="B634" s="28" t="s">
        <v>3744</v>
      </c>
      <c r="C634" s="28">
        <v>901407185</v>
      </c>
      <c r="D634" s="28" t="s">
        <v>90</v>
      </c>
      <c r="E634" s="28" t="s">
        <v>3745</v>
      </c>
      <c r="F634" s="28" t="s">
        <v>3745</v>
      </c>
      <c r="G634" s="28" t="s">
        <v>3746</v>
      </c>
      <c r="H634" s="28" t="s">
        <v>3747</v>
      </c>
      <c r="I634" s="28" t="s">
        <v>3748</v>
      </c>
      <c r="J634" s="28" t="s">
        <v>70</v>
      </c>
      <c r="K634" s="28" t="s">
        <v>140</v>
      </c>
      <c r="L634" s="28" t="s">
        <v>140</v>
      </c>
      <c r="M634" s="28">
        <v>25754</v>
      </c>
      <c r="N634" s="29" t="s">
        <v>744</v>
      </c>
      <c r="O634" s="24" t="e">
        <f>VLOOKUP(A634,Hoja1!A:C,3,0)</f>
        <v>#N/A</v>
      </c>
      <c r="P634" s="30" t="str">
        <f>VLOOKUP(M634,[1]TIPOLOGIAS!$A:$F,4,0)</f>
        <v>BOGOTA</v>
      </c>
      <c r="Q634" s="30" t="str">
        <f>VLOOKUP(P634,'BASE TARIFA 2025'!C:D,2,0)</f>
        <v>WOMPI CENTRO</v>
      </c>
      <c r="R634" s="31">
        <f>VLOOKUP(P634,'BASE TARIFA 2025'!C:F,4,0)</f>
        <v>15709.5</v>
      </c>
    </row>
    <row r="635" spans="1:18" s="28" customFormat="1" ht="14.4" x14ac:dyDescent="0.3">
      <c r="A635" s="28">
        <v>80244</v>
      </c>
      <c r="B635" s="28" t="s">
        <v>3749</v>
      </c>
      <c r="C635" s="28">
        <v>79902110</v>
      </c>
      <c r="D635" s="28" t="s">
        <v>3750</v>
      </c>
      <c r="E635" s="28" t="s">
        <v>3751</v>
      </c>
      <c r="F635" s="28" t="s">
        <v>3751</v>
      </c>
      <c r="G635" s="28" t="s">
        <v>3752</v>
      </c>
      <c r="H635" s="28" t="s">
        <v>3753</v>
      </c>
      <c r="I635" s="28" t="s">
        <v>3754</v>
      </c>
      <c r="J635" s="28" t="s">
        <v>70</v>
      </c>
      <c r="K635" s="28" t="s">
        <v>140</v>
      </c>
      <c r="L635" s="28" t="s">
        <v>140</v>
      </c>
      <c r="M635" s="28">
        <v>25754</v>
      </c>
      <c r="N635" s="29" t="s">
        <v>756</v>
      </c>
      <c r="O635" s="24">
        <f>VLOOKUP(A635,Hoja1!A:C,3,0)</f>
        <v>8</v>
      </c>
      <c r="P635" s="30" t="str">
        <f>VLOOKUP(M635,[1]TIPOLOGIAS!$A:$F,4,0)</f>
        <v>BOGOTA</v>
      </c>
      <c r="Q635" s="30" t="str">
        <f>VLOOKUP(P635,'BASE TARIFA 2025'!C:D,2,0)</f>
        <v>WOMPI CENTRO</v>
      </c>
      <c r="R635" s="31">
        <f>VLOOKUP(P635,'BASE TARIFA 2025'!C:F,4,0)</f>
        <v>15709.5</v>
      </c>
    </row>
    <row r="636" spans="1:18" s="28" customFormat="1" ht="14.4" x14ac:dyDescent="0.3">
      <c r="A636" s="28">
        <v>80115</v>
      </c>
      <c r="B636" s="28" t="s">
        <v>3755</v>
      </c>
      <c r="C636" s="28">
        <v>12206322</v>
      </c>
      <c r="D636" s="28" t="s">
        <v>87</v>
      </c>
      <c r="E636" s="28" t="s">
        <v>3756</v>
      </c>
      <c r="F636" s="28" t="s">
        <v>3756</v>
      </c>
      <c r="G636" s="28" t="s">
        <v>3757</v>
      </c>
      <c r="H636" s="28" t="s">
        <v>3758</v>
      </c>
      <c r="I636" s="28" t="s">
        <v>3759</v>
      </c>
      <c r="J636" s="28" t="s">
        <v>70</v>
      </c>
      <c r="K636" s="28" t="s">
        <v>140</v>
      </c>
      <c r="L636" s="28" t="s">
        <v>140</v>
      </c>
      <c r="M636" s="28">
        <v>25754</v>
      </c>
      <c r="N636" s="29" t="s">
        <v>790</v>
      </c>
      <c r="O636" s="24">
        <f>VLOOKUP(A636,Hoja1!A:C,3,0)</f>
        <v>16</v>
      </c>
      <c r="P636" s="30" t="str">
        <f>VLOOKUP(M636,[1]TIPOLOGIAS!$A:$F,4,0)</f>
        <v>BOGOTA</v>
      </c>
      <c r="Q636" s="30" t="str">
        <f>VLOOKUP(P636,'BASE TARIFA 2025'!C:D,2,0)</f>
        <v>WOMPI CENTRO</v>
      </c>
      <c r="R636" s="31">
        <f>VLOOKUP(P636,'BASE TARIFA 2025'!C:F,4,0)</f>
        <v>15709.5</v>
      </c>
    </row>
    <row r="637" spans="1:18" s="28" customFormat="1" ht="14.4" x14ac:dyDescent="0.3">
      <c r="A637" s="28">
        <v>80651</v>
      </c>
      <c r="B637" s="28" t="s">
        <v>3760</v>
      </c>
      <c r="C637" s="28">
        <v>28053959</v>
      </c>
      <c r="D637" s="28" t="s">
        <v>3761</v>
      </c>
      <c r="E637" s="28" t="s">
        <v>3762</v>
      </c>
      <c r="F637" s="28" t="s">
        <v>3763</v>
      </c>
      <c r="G637" s="28" t="s">
        <v>3764</v>
      </c>
      <c r="H637" s="28" t="s">
        <v>3765</v>
      </c>
      <c r="I637" s="28" t="s">
        <v>3766</v>
      </c>
      <c r="J637" s="28" t="s">
        <v>70</v>
      </c>
      <c r="K637" s="28" t="s">
        <v>140</v>
      </c>
      <c r="L637" s="28" t="s">
        <v>140</v>
      </c>
      <c r="M637" s="28">
        <v>25754</v>
      </c>
      <c r="N637" s="29" t="s">
        <v>756</v>
      </c>
      <c r="O637" s="24">
        <f>VLOOKUP(A637,Hoja1!A:C,3,0)</f>
        <v>8</v>
      </c>
      <c r="P637" s="30" t="str">
        <f>VLOOKUP(M637,[1]TIPOLOGIAS!$A:$F,4,0)</f>
        <v>BOGOTA</v>
      </c>
      <c r="Q637" s="30" t="str">
        <f>VLOOKUP(P637,'BASE TARIFA 2025'!C:D,2,0)</f>
        <v>WOMPI CENTRO</v>
      </c>
      <c r="R637" s="31">
        <f>VLOOKUP(P637,'BASE TARIFA 2025'!C:F,4,0)</f>
        <v>15709.5</v>
      </c>
    </row>
    <row r="638" spans="1:18" s="28" customFormat="1" ht="14.4" x14ac:dyDescent="0.3">
      <c r="A638" s="28">
        <v>80431</v>
      </c>
      <c r="B638" s="28" t="s">
        <v>3767</v>
      </c>
      <c r="C638" s="28">
        <v>901830353</v>
      </c>
      <c r="D638" s="28" t="s">
        <v>3768</v>
      </c>
      <c r="E638" s="28" t="s">
        <v>3769</v>
      </c>
      <c r="F638" s="28" t="s">
        <v>3770</v>
      </c>
      <c r="G638" s="28" t="s">
        <v>3771</v>
      </c>
      <c r="H638" s="28" t="s">
        <v>3772</v>
      </c>
      <c r="I638" s="28" t="s">
        <v>3773</v>
      </c>
      <c r="J638" s="28" t="s">
        <v>70</v>
      </c>
      <c r="K638" s="28" t="s">
        <v>140</v>
      </c>
      <c r="L638" s="28" t="s">
        <v>140</v>
      </c>
      <c r="M638" s="28">
        <v>25754</v>
      </c>
      <c r="N638" s="29" t="s">
        <v>756</v>
      </c>
      <c r="O638" s="24">
        <f>VLOOKUP(A638,Hoja1!A:C,3,0)</f>
        <v>8</v>
      </c>
      <c r="P638" s="30" t="str">
        <f>VLOOKUP(M638,[1]TIPOLOGIAS!$A:$F,4,0)</f>
        <v>BOGOTA</v>
      </c>
      <c r="Q638" s="30" t="str">
        <f>VLOOKUP(P638,'BASE TARIFA 2025'!C:D,2,0)</f>
        <v>WOMPI CENTRO</v>
      </c>
      <c r="R638" s="31">
        <f>VLOOKUP(P638,'BASE TARIFA 2025'!C:F,4,0)</f>
        <v>15709.5</v>
      </c>
    </row>
    <row r="639" spans="1:18" s="28" customFormat="1" ht="14.4" x14ac:dyDescent="0.3">
      <c r="A639" s="28">
        <v>42327</v>
      </c>
      <c r="B639" s="28" t="s">
        <v>3774</v>
      </c>
      <c r="C639" s="28">
        <v>1012433757</v>
      </c>
      <c r="D639" s="28" t="s">
        <v>69</v>
      </c>
      <c r="E639" s="28" t="s">
        <v>3775</v>
      </c>
      <c r="F639" s="28" t="s">
        <v>3775</v>
      </c>
      <c r="G639" s="28" t="s">
        <v>3776</v>
      </c>
      <c r="H639" s="28" t="s">
        <v>3777</v>
      </c>
      <c r="I639" s="28" t="s">
        <v>3778</v>
      </c>
      <c r="J639" s="28" t="s">
        <v>74</v>
      </c>
      <c r="K639" s="28" t="s">
        <v>3779</v>
      </c>
      <c r="L639" s="28" t="s">
        <v>3780</v>
      </c>
      <c r="M639" s="28">
        <v>52051</v>
      </c>
      <c r="N639" s="29" t="s">
        <v>582</v>
      </c>
      <c r="O639" s="24">
        <f>VLOOKUP(A639,Hoja1!A:C,3,0)</f>
        <v>16</v>
      </c>
      <c r="P639" s="30" t="str">
        <f>VLOOKUP(M639,[1]TIPOLOGIAS!$A:$F,4,0)</f>
        <v>PASTO</v>
      </c>
      <c r="Q639" s="30" t="str">
        <f>VLOOKUP(P639,'BASE TARIFA 2025'!C:D,2,0)</f>
        <v>WOMPI SUROCCIDENTE</v>
      </c>
      <c r="R639" s="31">
        <f>VLOOKUP(P639,'BASE TARIFA 2025'!C:F,4,0)</f>
        <v>28277.100000000002</v>
      </c>
    </row>
    <row r="640" spans="1:18" s="28" customFormat="1" ht="14.4" x14ac:dyDescent="0.3">
      <c r="A640" s="28">
        <v>42329</v>
      </c>
      <c r="B640" s="28" t="s">
        <v>3781</v>
      </c>
      <c r="C640" s="28">
        <v>1022408241</v>
      </c>
      <c r="D640" s="28" t="s">
        <v>3782</v>
      </c>
      <c r="E640" s="28" t="s">
        <v>3783</v>
      </c>
      <c r="F640" s="28" t="s">
        <v>3784</v>
      </c>
      <c r="G640" s="28" t="s">
        <v>3785</v>
      </c>
      <c r="H640" s="28" t="s">
        <v>3786</v>
      </c>
      <c r="I640" s="28" t="s">
        <v>3787</v>
      </c>
      <c r="J640" s="28" t="s">
        <v>94</v>
      </c>
      <c r="K640" s="28" t="s">
        <v>202</v>
      </c>
      <c r="L640" s="28" t="s">
        <v>202</v>
      </c>
      <c r="M640" s="28">
        <v>68081</v>
      </c>
      <c r="N640" s="29" t="s">
        <v>655</v>
      </c>
      <c r="O640" s="24">
        <f>VLOOKUP(A640,Hoja1!A:C,3,0)</f>
        <v>8</v>
      </c>
      <c r="P640" s="30" t="str">
        <f>VLOOKUP(M640,[1]TIPOLOGIAS!$A:$F,4,0)</f>
        <v>BUCARAMANGA</v>
      </c>
      <c r="Q640" s="30" t="str">
        <f>VLOOKUP(P640,'BASE TARIFA 2025'!C:D,2,0)</f>
        <v>WOMPI SANTANDERES</v>
      </c>
      <c r="R640" s="31">
        <f>VLOOKUP(P640,'BASE TARIFA 2025'!C:F,4,0)</f>
        <v>15709.5</v>
      </c>
    </row>
    <row r="641" spans="1:18" s="28" customFormat="1" ht="14.4" x14ac:dyDescent="0.3">
      <c r="A641" s="28">
        <v>42417</v>
      </c>
      <c r="B641" s="28" t="s">
        <v>3788</v>
      </c>
      <c r="C641" s="28">
        <v>890306372</v>
      </c>
      <c r="D641" s="28" t="s">
        <v>3789</v>
      </c>
      <c r="E641" s="28" t="s">
        <v>3790</v>
      </c>
      <c r="F641" s="28" t="s">
        <v>3790</v>
      </c>
      <c r="G641" s="28" t="s">
        <v>3791</v>
      </c>
      <c r="H641" s="28" t="s">
        <v>3792</v>
      </c>
      <c r="I641" s="28" t="s">
        <v>3793</v>
      </c>
      <c r="J641" s="28" t="s">
        <v>94</v>
      </c>
      <c r="K641" s="28" t="s">
        <v>202</v>
      </c>
      <c r="L641" s="28" t="s">
        <v>202</v>
      </c>
      <c r="M641" s="28">
        <v>68081</v>
      </c>
      <c r="N641" s="29" t="s">
        <v>542</v>
      </c>
      <c r="O641" s="24">
        <f>VLOOKUP(A641,Hoja1!A:C,3,0)</f>
        <v>8</v>
      </c>
      <c r="P641" s="30" t="str">
        <f>VLOOKUP(M641,[1]TIPOLOGIAS!$A:$F,4,0)</f>
        <v>BUCARAMANGA</v>
      </c>
      <c r="Q641" s="30" t="str">
        <f>VLOOKUP(P641,'BASE TARIFA 2025'!C:D,2,0)</f>
        <v>WOMPI SANTANDERES</v>
      </c>
      <c r="R641" s="31">
        <f>VLOOKUP(P641,'BASE TARIFA 2025'!C:F,4,0)</f>
        <v>15709.5</v>
      </c>
    </row>
    <row r="642" spans="1:18" s="28" customFormat="1" ht="14.4" x14ac:dyDescent="0.3">
      <c r="A642" s="28">
        <v>42663</v>
      </c>
      <c r="B642" s="28" t="s">
        <v>3794</v>
      </c>
      <c r="C642" s="28">
        <v>14274460</v>
      </c>
      <c r="D642" s="28" t="s">
        <v>3795</v>
      </c>
      <c r="E642" s="28" t="s">
        <v>3795</v>
      </c>
      <c r="F642" s="28" t="s">
        <v>3795</v>
      </c>
      <c r="G642" s="28" t="s">
        <v>3796</v>
      </c>
      <c r="H642" s="28" t="s">
        <v>3797</v>
      </c>
      <c r="I642" s="28" t="s">
        <v>3798</v>
      </c>
      <c r="J642" s="28" t="s">
        <v>94</v>
      </c>
      <c r="K642" s="28" t="s">
        <v>82</v>
      </c>
      <c r="L642" s="28" t="s">
        <v>82</v>
      </c>
      <c r="M642" s="28">
        <v>68101</v>
      </c>
      <c r="N642" s="29" t="s">
        <v>560</v>
      </c>
      <c r="O642" s="24">
        <f>VLOOKUP(A642,Hoja1!A:C,3,0)</f>
        <v>8</v>
      </c>
      <c r="P642" s="30" t="str">
        <f>VLOOKUP(M642,[1]TIPOLOGIAS!$A:$F,4,0)</f>
        <v>TUNJA</v>
      </c>
      <c r="Q642" s="30" t="str">
        <f>VLOOKUP(P642,'BASE TARIFA 2025'!C:D,2,0)</f>
        <v>WOMPI SANTANDERES</v>
      </c>
      <c r="R642" s="31">
        <f>VLOOKUP(P642,'BASE TARIFA 2025'!C:F,4,0)</f>
        <v>28277.100000000002</v>
      </c>
    </row>
    <row r="643" spans="1:18" s="28" customFormat="1" ht="14.4" x14ac:dyDescent="0.3">
      <c r="A643" s="28">
        <v>43766</v>
      </c>
      <c r="B643" s="28" t="s">
        <v>3799</v>
      </c>
      <c r="C643" s="28">
        <v>52755576</v>
      </c>
      <c r="D643" s="28" t="s">
        <v>3800</v>
      </c>
      <c r="E643" s="28" t="s">
        <v>69</v>
      </c>
      <c r="F643" s="28" t="s">
        <v>3800</v>
      </c>
      <c r="G643" s="28" t="s">
        <v>3801</v>
      </c>
      <c r="H643" s="28" t="s">
        <v>3802</v>
      </c>
      <c r="I643" s="28" t="s">
        <v>3803</v>
      </c>
      <c r="J643" s="28" t="s">
        <v>94</v>
      </c>
      <c r="K643" s="28" t="s">
        <v>82</v>
      </c>
      <c r="L643" s="28" t="s">
        <v>82</v>
      </c>
      <c r="M643" s="28">
        <v>68101</v>
      </c>
      <c r="N643" s="29" t="s">
        <v>560</v>
      </c>
      <c r="O643" s="24">
        <f>VLOOKUP(A643,Hoja1!A:C,3,0)</f>
        <v>8</v>
      </c>
      <c r="P643" s="30" t="str">
        <f>VLOOKUP(M643,[1]TIPOLOGIAS!$A:$F,4,0)</f>
        <v>TUNJA</v>
      </c>
      <c r="Q643" s="30" t="str">
        <f>VLOOKUP(P643,'BASE TARIFA 2025'!C:D,2,0)</f>
        <v>WOMPI SANTANDERES</v>
      </c>
      <c r="R643" s="31">
        <f>VLOOKUP(P643,'BASE TARIFA 2025'!C:F,4,0)</f>
        <v>28277.100000000002</v>
      </c>
    </row>
    <row r="644" spans="1:18" s="28" customFormat="1" ht="14.4" x14ac:dyDescent="0.3">
      <c r="A644" s="28">
        <v>44033</v>
      </c>
      <c r="B644" s="28" t="s">
        <v>3804</v>
      </c>
      <c r="C644" s="28">
        <v>53049846</v>
      </c>
      <c r="D644" s="28" t="s">
        <v>3805</v>
      </c>
      <c r="E644" s="28" t="s">
        <v>3806</v>
      </c>
      <c r="F644" s="28" t="s">
        <v>3806</v>
      </c>
      <c r="G644" s="28" t="s">
        <v>3807</v>
      </c>
      <c r="H644" s="28" t="s">
        <v>3808</v>
      </c>
      <c r="I644" s="28" t="s">
        <v>3809</v>
      </c>
      <c r="J644" s="28" t="s">
        <v>94</v>
      </c>
      <c r="K644" s="28" t="s">
        <v>320</v>
      </c>
      <c r="L644" s="28" t="s">
        <v>320</v>
      </c>
      <c r="M644" s="28">
        <v>68147</v>
      </c>
      <c r="N644" s="29" t="s">
        <v>1173</v>
      </c>
      <c r="O644" s="24">
        <f>VLOOKUP(A644,Hoja1!A:C,3,0)</f>
        <v>8</v>
      </c>
      <c r="P644" s="30" t="str">
        <f>VLOOKUP(M644,[1]TIPOLOGIAS!$A:$F,4,0)</f>
        <v>BUCARAMANGA</v>
      </c>
      <c r="Q644" s="30" t="str">
        <f>VLOOKUP(P644,'BASE TARIFA 2025'!C:D,2,0)</f>
        <v>WOMPI SANTANDERES</v>
      </c>
      <c r="R644" s="31">
        <f>VLOOKUP(P644,'BASE TARIFA 2025'!C:F,4,0)</f>
        <v>15709.5</v>
      </c>
    </row>
    <row r="645" spans="1:18" s="28" customFormat="1" ht="14.4" x14ac:dyDescent="0.3">
      <c r="A645" s="28">
        <v>46195</v>
      </c>
      <c r="B645" s="28" t="s">
        <v>3810</v>
      </c>
      <c r="C645" s="28">
        <v>51932280</v>
      </c>
      <c r="D645" s="28" t="s">
        <v>3811</v>
      </c>
      <c r="E645" s="28" t="s">
        <v>3811</v>
      </c>
      <c r="F645" s="28" t="s">
        <v>3811</v>
      </c>
      <c r="G645" s="28" t="s">
        <v>3812</v>
      </c>
      <c r="H645" s="28" t="s">
        <v>3813</v>
      </c>
      <c r="I645" s="28" t="s">
        <v>3814</v>
      </c>
      <c r="J645" s="28" t="s">
        <v>94</v>
      </c>
      <c r="K645" s="28" t="s">
        <v>320</v>
      </c>
      <c r="L645" s="28" t="s">
        <v>320</v>
      </c>
      <c r="M645" s="28">
        <v>68147</v>
      </c>
      <c r="N645" s="29" t="s">
        <v>1173</v>
      </c>
      <c r="O645" s="24">
        <f>VLOOKUP(A645,Hoja1!A:C,3,0)</f>
        <v>8</v>
      </c>
      <c r="P645" s="30" t="str">
        <f>VLOOKUP(M645,[1]TIPOLOGIAS!$A:$F,4,0)</f>
        <v>BUCARAMANGA</v>
      </c>
      <c r="Q645" s="30" t="str">
        <f>VLOOKUP(P645,'BASE TARIFA 2025'!C:D,2,0)</f>
        <v>WOMPI SANTANDERES</v>
      </c>
      <c r="R645" s="31">
        <f>VLOOKUP(P645,'BASE TARIFA 2025'!C:F,4,0)</f>
        <v>15709.5</v>
      </c>
    </row>
    <row r="646" spans="1:18" s="28" customFormat="1" ht="14.4" x14ac:dyDescent="0.3">
      <c r="A646" s="28">
        <v>43591</v>
      </c>
      <c r="B646" s="28" t="s">
        <v>3815</v>
      </c>
      <c r="C646" s="28">
        <v>901165287</v>
      </c>
      <c r="D646" s="28" t="s">
        <v>3816</v>
      </c>
      <c r="E646" s="28" t="s">
        <v>3817</v>
      </c>
      <c r="F646" s="28" t="s">
        <v>3817</v>
      </c>
      <c r="G646" s="28" t="s">
        <v>3818</v>
      </c>
      <c r="H646" s="28" t="s">
        <v>3819</v>
      </c>
      <c r="I646" s="28" t="s">
        <v>3820</v>
      </c>
      <c r="J646" s="28" t="s">
        <v>94</v>
      </c>
      <c r="K646" s="28" t="s">
        <v>3821</v>
      </c>
      <c r="L646" s="28" t="s">
        <v>3821</v>
      </c>
      <c r="M646" s="28">
        <v>68167</v>
      </c>
      <c r="N646" s="29" t="s">
        <v>996</v>
      </c>
      <c r="O646" s="24">
        <f>VLOOKUP(A646,Hoja1!A:C,3,0)</f>
        <v>16</v>
      </c>
      <c r="P646" s="30" t="str">
        <f>VLOOKUP(M646,[1]TIPOLOGIAS!$A:$F,4,0)</f>
        <v>BUCARAMANGA</v>
      </c>
      <c r="Q646" s="30" t="str">
        <f>VLOOKUP(P646,'BASE TARIFA 2025'!C:D,2,0)</f>
        <v>WOMPI SANTANDERES</v>
      </c>
      <c r="R646" s="31">
        <f>VLOOKUP(P646,'BASE TARIFA 2025'!C:F,4,0)</f>
        <v>15709.5</v>
      </c>
    </row>
    <row r="647" spans="1:18" s="28" customFormat="1" ht="14.4" x14ac:dyDescent="0.3">
      <c r="A647" s="28">
        <v>43595</v>
      </c>
      <c r="B647" s="28" t="s">
        <v>3822</v>
      </c>
      <c r="C647" s="28">
        <v>1034518</v>
      </c>
      <c r="D647" s="28" t="s">
        <v>3823</v>
      </c>
      <c r="E647" s="28" t="s">
        <v>3823</v>
      </c>
      <c r="F647" s="28" t="s">
        <v>3823</v>
      </c>
      <c r="G647" s="28" t="s">
        <v>3824</v>
      </c>
      <c r="H647" s="28" t="s">
        <v>3825</v>
      </c>
      <c r="I647" s="28" t="s">
        <v>3826</v>
      </c>
      <c r="J647" s="28" t="s">
        <v>94</v>
      </c>
      <c r="K647" s="28" t="s">
        <v>3821</v>
      </c>
      <c r="L647" s="28" t="s">
        <v>3821</v>
      </c>
      <c r="M647" s="28">
        <v>68167</v>
      </c>
      <c r="N647" s="29" t="s">
        <v>996</v>
      </c>
      <c r="O647" s="24">
        <f>VLOOKUP(A647,Hoja1!A:C,3,0)</f>
        <v>8</v>
      </c>
      <c r="P647" s="30" t="str">
        <f>VLOOKUP(M647,[1]TIPOLOGIAS!$A:$F,4,0)</f>
        <v>BUCARAMANGA</v>
      </c>
      <c r="Q647" s="30" t="str">
        <f>VLOOKUP(P647,'BASE TARIFA 2025'!C:D,2,0)</f>
        <v>WOMPI SANTANDERES</v>
      </c>
      <c r="R647" s="31">
        <f>VLOOKUP(P647,'BASE TARIFA 2025'!C:F,4,0)</f>
        <v>15709.5</v>
      </c>
    </row>
    <row r="648" spans="1:18" s="28" customFormat="1" ht="14.4" x14ac:dyDescent="0.3">
      <c r="A648" s="28">
        <v>47605</v>
      </c>
      <c r="B648" s="28" t="s">
        <v>3827</v>
      </c>
      <c r="C648" s="28">
        <v>52316901</v>
      </c>
      <c r="D648" s="28" t="s">
        <v>3828</v>
      </c>
      <c r="E648" s="28" t="s">
        <v>3828</v>
      </c>
      <c r="F648" s="28" t="s">
        <v>3828</v>
      </c>
      <c r="G648" s="28" t="s">
        <v>3829</v>
      </c>
      <c r="H648" s="28" t="s">
        <v>3830</v>
      </c>
      <c r="I648" s="28" t="s">
        <v>3831</v>
      </c>
      <c r="J648" s="28" t="s">
        <v>94</v>
      </c>
      <c r="K648" s="28" t="s">
        <v>3821</v>
      </c>
      <c r="L648" s="28" t="s">
        <v>3821</v>
      </c>
      <c r="M648" s="28">
        <v>68167</v>
      </c>
      <c r="N648" s="29" t="s">
        <v>996</v>
      </c>
      <c r="O648" s="24">
        <f>VLOOKUP(A648,Hoja1!A:C,3,0)</f>
        <v>16</v>
      </c>
      <c r="P648" s="30" t="str">
        <f>VLOOKUP(M648,[1]TIPOLOGIAS!$A:$F,4,0)</f>
        <v>BUCARAMANGA</v>
      </c>
      <c r="Q648" s="30" t="str">
        <f>VLOOKUP(P648,'BASE TARIFA 2025'!C:D,2,0)</f>
        <v>WOMPI SANTANDERES</v>
      </c>
      <c r="R648" s="31">
        <f>VLOOKUP(P648,'BASE TARIFA 2025'!C:F,4,0)</f>
        <v>15709.5</v>
      </c>
    </row>
    <row r="649" spans="1:18" s="28" customFormat="1" ht="14.4" x14ac:dyDescent="0.3">
      <c r="A649" s="28">
        <v>47175</v>
      </c>
      <c r="B649" s="28" t="s">
        <v>3832</v>
      </c>
      <c r="C649" s="28">
        <v>1071302150</v>
      </c>
      <c r="D649" s="28" t="s">
        <v>3833</v>
      </c>
      <c r="E649" s="28" t="s">
        <v>3833</v>
      </c>
      <c r="F649" s="28" t="s">
        <v>3833</v>
      </c>
      <c r="G649" s="28" t="s">
        <v>3834</v>
      </c>
      <c r="H649" s="28" t="s">
        <v>3835</v>
      </c>
      <c r="I649" s="28" t="s">
        <v>3836</v>
      </c>
      <c r="J649" s="28" t="s">
        <v>95</v>
      </c>
      <c r="K649" s="28" t="s">
        <v>210</v>
      </c>
      <c r="L649" s="28" t="s">
        <v>210</v>
      </c>
      <c r="M649" s="28">
        <v>70215</v>
      </c>
      <c r="N649" s="29" t="s">
        <v>996</v>
      </c>
      <c r="O649" s="24">
        <f>VLOOKUP(A649,Hoja1!A:C,3,0)</f>
        <v>8</v>
      </c>
      <c r="P649" s="30" t="str">
        <f>VLOOKUP(M649,[1]TIPOLOGIAS!$A:$F,4,0)</f>
        <v>SINCELEJO</v>
      </c>
      <c r="Q649" s="30" t="str">
        <f>VLOOKUP(P649,'BASE TARIFA 2025'!C:D,2,0)</f>
        <v>WOMPI COSTA</v>
      </c>
      <c r="R649" s="31">
        <f>VLOOKUP(P649,'BASE TARIFA 2025'!C:F,4,0)</f>
        <v>28277.100000000002</v>
      </c>
    </row>
    <row r="650" spans="1:18" s="28" customFormat="1" ht="14.4" x14ac:dyDescent="0.3">
      <c r="A650" s="28">
        <v>46824</v>
      </c>
      <c r="B650" s="28" t="s">
        <v>3837</v>
      </c>
      <c r="C650" s="28">
        <v>39745060</v>
      </c>
      <c r="D650" s="28" t="s">
        <v>3838</v>
      </c>
      <c r="E650" s="28" t="s">
        <v>3839</v>
      </c>
      <c r="F650" s="28" t="s">
        <v>3839</v>
      </c>
      <c r="G650" s="28" t="s">
        <v>3840</v>
      </c>
      <c r="H650" s="28" t="s">
        <v>3841</v>
      </c>
      <c r="I650" s="28" t="s">
        <v>3842</v>
      </c>
      <c r="J650" s="28" t="s">
        <v>95</v>
      </c>
      <c r="K650" s="28" t="s">
        <v>212</v>
      </c>
      <c r="L650" s="28" t="s">
        <v>212</v>
      </c>
      <c r="M650" s="28">
        <v>70235</v>
      </c>
      <c r="N650" s="29" t="s">
        <v>542</v>
      </c>
      <c r="O650" s="24">
        <f>VLOOKUP(A650,Hoja1!A:C,3,0)</f>
        <v>8</v>
      </c>
      <c r="P650" s="30" t="str">
        <f>VLOOKUP(M650,[1]TIPOLOGIAS!$A:$F,4,0)</f>
        <v>SINCELEJO</v>
      </c>
      <c r="Q650" s="30" t="str">
        <f>VLOOKUP(P650,'BASE TARIFA 2025'!C:D,2,0)</f>
        <v>WOMPI COSTA</v>
      </c>
      <c r="R650" s="31">
        <f>VLOOKUP(P650,'BASE TARIFA 2025'!C:F,4,0)</f>
        <v>28277.100000000002</v>
      </c>
    </row>
    <row r="651" spans="1:18" s="28" customFormat="1" ht="14.4" x14ac:dyDescent="0.3">
      <c r="A651" s="28">
        <v>46887</v>
      </c>
      <c r="B651" s="28" t="s">
        <v>3843</v>
      </c>
      <c r="C651" s="28">
        <v>79826217</v>
      </c>
      <c r="D651" s="28" t="s">
        <v>3844</v>
      </c>
      <c r="E651" s="28" t="s">
        <v>3844</v>
      </c>
      <c r="F651" s="28" t="s">
        <v>3844</v>
      </c>
      <c r="G651" s="28" t="s">
        <v>3845</v>
      </c>
      <c r="H651" s="28" t="s">
        <v>3846</v>
      </c>
      <c r="I651" s="28" t="s">
        <v>3847</v>
      </c>
      <c r="J651" s="28" t="s">
        <v>95</v>
      </c>
      <c r="K651" s="28" t="s">
        <v>212</v>
      </c>
      <c r="L651" s="28" t="s">
        <v>212</v>
      </c>
      <c r="M651" s="28">
        <v>70235</v>
      </c>
      <c r="N651" s="29" t="s">
        <v>542</v>
      </c>
      <c r="O651" s="24">
        <f>VLOOKUP(A651,Hoja1!A:C,3,0)</f>
        <v>8</v>
      </c>
      <c r="P651" s="30" t="str">
        <f>VLOOKUP(M651,[1]TIPOLOGIAS!$A:$F,4,0)</f>
        <v>SINCELEJO</v>
      </c>
      <c r="Q651" s="30" t="str">
        <f>VLOOKUP(P651,'BASE TARIFA 2025'!C:D,2,0)</f>
        <v>WOMPI COSTA</v>
      </c>
      <c r="R651" s="31">
        <f>VLOOKUP(P651,'BASE TARIFA 2025'!C:F,4,0)</f>
        <v>28277.100000000002</v>
      </c>
    </row>
    <row r="652" spans="1:18" s="28" customFormat="1" ht="14.4" x14ac:dyDescent="0.3">
      <c r="A652" s="28">
        <v>47023</v>
      </c>
      <c r="B652" s="28" t="s">
        <v>3848</v>
      </c>
      <c r="C652" s="28">
        <v>52696226</v>
      </c>
      <c r="D652" s="28" t="s">
        <v>3849</v>
      </c>
      <c r="E652" s="28" t="s">
        <v>3850</v>
      </c>
      <c r="F652" s="28" t="s">
        <v>3850</v>
      </c>
      <c r="G652" s="28" t="s">
        <v>3851</v>
      </c>
      <c r="H652" s="28" t="s">
        <v>3852</v>
      </c>
      <c r="I652" s="28" t="s">
        <v>3853</v>
      </c>
      <c r="J652" s="28" t="s">
        <v>92</v>
      </c>
      <c r="K652" s="28" t="s">
        <v>157</v>
      </c>
      <c r="L652" s="28" t="s">
        <v>157</v>
      </c>
      <c r="M652" s="28">
        <v>54001</v>
      </c>
      <c r="N652" s="29" t="s">
        <v>1159</v>
      </c>
      <c r="O652" s="24">
        <f>VLOOKUP(A652,Hoja1!A:C,3,0)</f>
        <v>16</v>
      </c>
      <c r="P652" s="30" t="str">
        <f>VLOOKUP(M652,[1]TIPOLOGIAS!$A:$F,4,0)</f>
        <v>CUCUTA</v>
      </c>
      <c r="Q652" s="30" t="str">
        <f>VLOOKUP(P652,'BASE TARIFA 2025'!C:D,2,0)</f>
        <v>WOMPI SANTANDERES</v>
      </c>
      <c r="R652" s="31">
        <f>VLOOKUP(P652,'BASE TARIFA 2025'!C:F,4,0)</f>
        <v>28277.100000000002</v>
      </c>
    </row>
    <row r="653" spans="1:18" s="28" customFormat="1" ht="14.4" x14ac:dyDescent="0.3">
      <c r="A653" s="28">
        <v>47025</v>
      </c>
      <c r="B653" s="28" t="s">
        <v>3854</v>
      </c>
      <c r="C653" s="28">
        <v>53115070</v>
      </c>
      <c r="D653" s="28" t="s">
        <v>69</v>
      </c>
      <c r="E653" s="28" t="s">
        <v>3855</v>
      </c>
      <c r="F653" s="28" t="s">
        <v>3855</v>
      </c>
      <c r="G653" s="28" t="s">
        <v>3856</v>
      </c>
      <c r="H653" s="28" t="s">
        <v>3857</v>
      </c>
      <c r="I653" s="28" t="s">
        <v>3858</v>
      </c>
      <c r="J653" s="28" t="s">
        <v>92</v>
      </c>
      <c r="K653" s="28" t="s">
        <v>157</v>
      </c>
      <c r="L653" s="28" t="s">
        <v>157</v>
      </c>
      <c r="M653" s="28">
        <v>54001</v>
      </c>
      <c r="N653" s="29" t="s">
        <v>655</v>
      </c>
      <c r="O653" s="24">
        <f>VLOOKUP(A653,Hoja1!A:C,3,0)</f>
        <v>8</v>
      </c>
      <c r="P653" s="30" t="str">
        <f>VLOOKUP(M653,[1]TIPOLOGIAS!$A:$F,4,0)</f>
        <v>CUCUTA</v>
      </c>
      <c r="Q653" s="30" t="str">
        <f>VLOOKUP(P653,'BASE TARIFA 2025'!C:D,2,0)</f>
        <v>WOMPI SANTANDERES</v>
      </c>
      <c r="R653" s="31">
        <f>VLOOKUP(P653,'BASE TARIFA 2025'!C:F,4,0)</f>
        <v>28277.100000000002</v>
      </c>
    </row>
    <row r="654" spans="1:18" s="28" customFormat="1" ht="14.4" x14ac:dyDescent="0.3">
      <c r="A654" s="28">
        <v>48078</v>
      </c>
      <c r="B654" s="28" t="s">
        <v>3859</v>
      </c>
      <c r="C654" s="28">
        <v>52236739</v>
      </c>
      <c r="D654" s="28" t="s">
        <v>69</v>
      </c>
      <c r="E654" s="28" t="s">
        <v>3860</v>
      </c>
      <c r="F654" s="28" t="s">
        <v>3861</v>
      </c>
      <c r="G654" s="28" t="s">
        <v>3862</v>
      </c>
      <c r="H654" s="28" t="s">
        <v>3863</v>
      </c>
      <c r="I654" s="28" t="s">
        <v>3864</v>
      </c>
      <c r="J654" s="28" t="s">
        <v>92</v>
      </c>
      <c r="K654" s="28" t="s">
        <v>157</v>
      </c>
      <c r="L654" s="28" t="s">
        <v>157</v>
      </c>
      <c r="M654" s="28">
        <v>54001</v>
      </c>
      <c r="N654" s="29" t="s">
        <v>1173</v>
      </c>
      <c r="O654" s="24">
        <f>VLOOKUP(A654,Hoja1!A:C,3,0)</f>
        <v>8</v>
      </c>
      <c r="P654" s="30" t="str">
        <f>VLOOKUP(M654,[1]TIPOLOGIAS!$A:$F,4,0)</f>
        <v>CUCUTA</v>
      </c>
      <c r="Q654" s="30" t="str">
        <f>VLOOKUP(P654,'BASE TARIFA 2025'!C:D,2,0)</f>
        <v>WOMPI SANTANDERES</v>
      </c>
      <c r="R654" s="31">
        <f>VLOOKUP(P654,'BASE TARIFA 2025'!C:F,4,0)</f>
        <v>28277.100000000002</v>
      </c>
    </row>
    <row r="655" spans="1:18" s="28" customFormat="1" ht="14.4" x14ac:dyDescent="0.3">
      <c r="A655" s="28">
        <v>47416</v>
      </c>
      <c r="B655" s="28" t="s">
        <v>3865</v>
      </c>
      <c r="C655" s="28">
        <v>900582515</v>
      </c>
      <c r="D655" s="28" t="s">
        <v>3866</v>
      </c>
      <c r="E655" s="28" t="s">
        <v>3867</v>
      </c>
      <c r="F655" s="28" t="s">
        <v>3867</v>
      </c>
      <c r="G655" s="28" t="s">
        <v>3868</v>
      </c>
      <c r="H655" s="28" t="s">
        <v>3869</v>
      </c>
      <c r="I655" s="28" t="s">
        <v>3870</v>
      </c>
      <c r="J655" s="28" t="s">
        <v>92</v>
      </c>
      <c r="K655" s="28" t="s">
        <v>157</v>
      </c>
      <c r="L655" s="28" t="s">
        <v>157</v>
      </c>
      <c r="M655" s="28">
        <v>54001</v>
      </c>
      <c r="N655" s="29" t="s">
        <v>542</v>
      </c>
      <c r="O655" s="24">
        <f>VLOOKUP(A655,Hoja1!A:C,3,0)</f>
        <v>16</v>
      </c>
      <c r="P655" s="30" t="str">
        <f>VLOOKUP(M655,[1]TIPOLOGIAS!$A:$F,4,0)</f>
        <v>CUCUTA</v>
      </c>
      <c r="Q655" s="30" t="str">
        <f>VLOOKUP(P655,'BASE TARIFA 2025'!C:D,2,0)</f>
        <v>WOMPI SANTANDERES</v>
      </c>
      <c r="R655" s="31">
        <f>VLOOKUP(P655,'BASE TARIFA 2025'!C:F,4,0)</f>
        <v>28277.100000000002</v>
      </c>
    </row>
    <row r="656" spans="1:18" s="28" customFormat="1" ht="14.4" x14ac:dyDescent="0.3">
      <c r="A656" s="28">
        <v>49817</v>
      </c>
      <c r="B656" s="28" t="s">
        <v>3871</v>
      </c>
      <c r="C656" s="28">
        <v>66837815</v>
      </c>
      <c r="D656" s="28" t="s">
        <v>69</v>
      </c>
      <c r="E656" s="28" t="s">
        <v>3872</v>
      </c>
      <c r="F656" s="28" t="s">
        <v>3286</v>
      </c>
      <c r="G656" s="28" t="s">
        <v>3873</v>
      </c>
      <c r="H656" s="28" t="s">
        <v>3874</v>
      </c>
      <c r="I656" s="28" t="s">
        <v>3875</v>
      </c>
      <c r="J656" s="28" t="s">
        <v>92</v>
      </c>
      <c r="K656" s="28" t="s">
        <v>157</v>
      </c>
      <c r="L656" s="28" t="s">
        <v>157</v>
      </c>
      <c r="M656" s="28">
        <v>54001</v>
      </c>
      <c r="N656" s="29" t="s">
        <v>1173</v>
      </c>
      <c r="O656" s="24">
        <f>VLOOKUP(A656,Hoja1!A:C,3,0)</f>
        <v>16</v>
      </c>
      <c r="P656" s="30" t="str">
        <f>VLOOKUP(M656,[1]TIPOLOGIAS!$A:$F,4,0)</f>
        <v>CUCUTA</v>
      </c>
      <c r="Q656" s="30" t="str">
        <f>VLOOKUP(P656,'BASE TARIFA 2025'!C:D,2,0)</f>
        <v>WOMPI SANTANDERES</v>
      </c>
      <c r="R656" s="31">
        <f>VLOOKUP(P656,'BASE TARIFA 2025'!C:F,4,0)</f>
        <v>28277.100000000002</v>
      </c>
    </row>
    <row r="657" spans="1:18" s="28" customFormat="1" ht="14.4" x14ac:dyDescent="0.3">
      <c r="A657" s="28">
        <v>48848</v>
      </c>
      <c r="B657" s="28" t="s">
        <v>3876</v>
      </c>
      <c r="C657" s="28">
        <v>51987636</v>
      </c>
      <c r="D657" s="28" t="s">
        <v>3877</v>
      </c>
      <c r="E657" s="28" t="s">
        <v>3878</v>
      </c>
      <c r="F657" s="28" t="s">
        <v>3878</v>
      </c>
      <c r="G657" s="28" t="s">
        <v>3879</v>
      </c>
      <c r="H657" s="28" t="s">
        <v>3880</v>
      </c>
      <c r="I657" s="28" t="s">
        <v>3881</v>
      </c>
      <c r="J657" s="28" t="s">
        <v>92</v>
      </c>
      <c r="K657" s="28" t="s">
        <v>157</v>
      </c>
      <c r="L657" s="28" t="s">
        <v>157</v>
      </c>
      <c r="M657" s="28">
        <v>54001</v>
      </c>
      <c r="N657" s="29" t="s">
        <v>1173</v>
      </c>
      <c r="O657" s="24">
        <f>VLOOKUP(A657,Hoja1!A:C,3,0)</f>
        <v>8</v>
      </c>
      <c r="P657" s="30" t="str">
        <f>VLOOKUP(M657,[1]TIPOLOGIAS!$A:$F,4,0)</f>
        <v>CUCUTA</v>
      </c>
      <c r="Q657" s="30" t="str">
        <f>VLOOKUP(P657,'BASE TARIFA 2025'!C:D,2,0)</f>
        <v>WOMPI SANTANDERES</v>
      </c>
      <c r="R657" s="31">
        <f>VLOOKUP(P657,'BASE TARIFA 2025'!C:F,4,0)</f>
        <v>28277.100000000002</v>
      </c>
    </row>
    <row r="658" spans="1:18" s="28" customFormat="1" ht="14.4" x14ac:dyDescent="0.3">
      <c r="A658" s="28">
        <v>48858</v>
      </c>
      <c r="B658" s="28" t="s">
        <v>3882</v>
      </c>
      <c r="C658" s="28">
        <v>890306372</v>
      </c>
      <c r="D658" s="28" t="s">
        <v>3883</v>
      </c>
      <c r="E658" s="28" t="s">
        <v>3884</v>
      </c>
      <c r="F658" s="28" t="s">
        <v>3884</v>
      </c>
      <c r="G658" s="28" t="s">
        <v>3885</v>
      </c>
      <c r="H658" s="28" t="s">
        <v>3886</v>
      </c>
      <c r="I658" s="28" t="s">
        <v>3887</v>
      </c>
      <c r="J658" s="28" t="s">
        <v>92</v>
      </c>
      <c r="K658" s="28" t="s">
        <v>157</v>
      </c>
      <c r="L658" s="28" t="s">
        <v>157</v>
      </c>
      <c r="M658" s="28">
        <v>54001</v>
      </c>
      <c r="N658" s="29" t="s">
        <v>589</v>
      </c>
      <c r="O658" s="24">
        <f>VLOOKUP(A658,Hoja1!A:C,3,0)</f>
        <v>8</v>
      </c>
      <c r="P658" s="30" t="str">
        <f>VLOOKUP(M658,[1]TIPOLOGIAS!$A:$F,4,0)</f>
        <v>CUCUTA</v>
      </c>
      <c r="Q658" s="30" t="str">
        <f>VLOOKUP(P658,'BASE TARIFA 2025'!C:D,2,0)</f>
        <v>WOMPI SANTANDERES</v>
      </c>
      <c r="R658" s="31">
        <f>VLOOKUP(P658,'BASE TARIFA 2025'!C:F,4,0)</f>
        <v>28277.100000000002</v>
      </c>
    </row>
    <row r="659" spans="1:18" s="28" customFormat="1" ht="14.4" x14ac:dyDescent="0.3">
      <c r="A659" s="28">
        <v>49980</v>
      </c>
      <c r="B659" s="28" t="s">
        <v>3888</v>
      </c>
      <c r="C659" s="28">
        <v>52984616</v>
      </c>
      <c r="D659" s="28" t="s">
        <v>3889</v>
      </c>
      <c r="E659" s="28" t="s">
        <v>3884</v>
      </c>
      <c r="F659" s="28" t="s">
        <v>3890</v>
      </c>
      <c r="G659" s="28" t="s">
        <v>3891</v>
      </c>
      <c r="H659" s="28" t="s">
        <v>3892</v>
      </c>
      <c r="I659" s="28" t="s">
        <v>3893</v>
      </c>
      <c r="J659" s="28" t="s">
        <v>92</v>
      </c>
      <c r="K659" s="28" t="s">
        <v>157</v>
      </c>
      <c r="L659" s="28" t="s">
        <v>157</v>
      </c>
      <c r="M659" s="28">
        <v>54001</v>
      </c>
      <c r="N659" s="29" t="s">
        <v>589</v>
      </c>
      <c r="O659" s="24">
        <f>VLOOKUP(A659,Hoja1!A:C,3,0)</f>
        <v>8</v>
      </c>
      <c r="P659" s="30" t="str">
        <f>VLOOKUP(M659,[1]TIPOLOGIAS!$A:$F,4,0)</f>
        <v>CUCUTA</v>
      </c>
      <c r="Q659" s="30" t="str">
        <f>VLOOKUP(P659,'BASE TARIFA 2025'!C:D,2,0)</f>
        <v>WOMPI SANTANDERES</v>
      </c>
      <c r="R659" s="31">
        <f>VLOOKUP(P659,'BASE TARIFA 2025'!C:F,4,0)</f>
        <v>28277.100000000002</v>
      </c>
    </row>
    <row r="660" spans="1:18" s="28" customFormat="1" ht="14.4" x14ac:dyDescent="0.3">
      <c r="A660" s="28">
        <v>49567</v>
      </c>
      <c r="B660" s="28" t="s">
        <v>3894</v>
      </c>
      <c r="C660" s="28">
        <v>80826314</v>
      </c>
      <c r="E660" s="28" t="s">
        <v>3536</v>
      </c>
      <c r="F660" s="28" t="s">
        <v>3536</v>
      </c>
      <c r="G660" s="28" t="s">
        <v>3895</v>
      </c>
      <c r="H660" s="28" t="s">
        <v>3896</v>
      </c>
      <c r="I660" s="28" t="s">
        <v>3897</v>
      </c>
      <c r="J660" s="28" t="s">
        <v>92</v>
      </c>
      <c r="K660" s="28" t="s">
        <v>157</v>
      </c>
      <c r="L660" s="28" t="s">
        <v>157</v>
      </c>
      <c r="M660" s="28">
        <v>54001</v>
      </c>
      <c r="N660" s="29" t="s">
        <v>638</v>
      </c>
      <c r="O660" s="24">
        <f>VLOOKUP(A660,Hoja1!A:C,3,0)</f>
        <v>8</v>
      </c>
      <c r="P660" s="30" t="str">
        <f>VLOOKUP(M660,[1]TIPOLOGIAS!$A:$F,4,0)</f>
        <v>CUCUTA</v>
      </c>
      <c r="Q660" s="30" t="str">
        <f>VLOOKUP(P660,'BASE TARIFA 2025'!C:D,2,0)</f>
        <v>WOMPI SANTANDERES</v>
      </c>
      <c r="R660" s="31">
        <f>VLOOKUP(P660,'BASE TARIFA 2025'!C:F,4,0)</f>
        <v>28277.100000000002</v>
      </c>
    </row>
    <row r="661" spans="1:18" s="28" customFormat="1" ht="14.4" x14ac:dyDescent="0.3">
      <c r="A661" s="28">
        <v>51640</v>
      </c>
      <c r="B661" s="28" t="s">
        <v>3898</v>
      </c>
      <c r="C661" s="28">
        <v>28964121</v>
      </c>
      <c r="D661" s="28" t="s">
        <v>69</v>
      </c>
      <c r="E661" s="28" t="s">
        <v>1952</v>
      </c>
      <c r="F661" s="28" t="s">
        <v>1952</v>
      </c>
      <c r="G661" s="28" t="s">
        <v>3899</v>
      </c>
      <c r="H661" s="28" t="s">
        <v>3430</v>
      </c>
      <c r="I661" s="28" t="s">
        <v>3900</v>
      </c>
      <c r="J661" s="28" t="s">
        <v>92</v>
      </c>
      <c r="K661" s="28" t="s">
        <v>157</v>
      </c>
      <c r="L661" s="28" t="s">
        <v>157</v>
      </c>
      <c r="M661" s="28">
        <v>54001</v>
      </c>
      <c r="N661" s="29" t="s">
        <v>744</v>
      </c>
      <c r="O661" s="24">
        <f>VLOOKUP(A661,Hoja1!A:C,3,0)</f>
        <v>8</v>
      </c>
      <c r="P661" s="30" t="str">
        <f>VLOOKUP(M661,[1]TIPOLOGIAS!$A:$F,4,0)</f>
        <v>CUCUTA</v>
      </c>
      <c r="Q661" s="30" t="str">
        <f>VLOOKUP(P661,'BASE TARIFA 2025'!C:D,2,0)</f>
        <v>WOMPI SANTANDERES</v>
      </c>
      <c r="R661" s="31">
        <f>VLOOKUP(P661,'BASE TARIFA 2025'!C:F,4,0)</f>
        <v>28277.100000000002</v>
      </c>
    </row>
    <row r="662" spans="1:18" s="28" customFormat="1" ht="14.4" x14ac:dyDescent="0.3">
      <c r="A662" s="28">
        <v>50209</v>
      </c>
      <c r="B662" s="28" t="s">
        <v>3901</v>
      </c>
      <c r="C662" s="28">
        <v>51911277</v>
      </c>
      <c r="D662" s="28" t="s">
        <v>3902</v>
      </c>
      <c r="E662" s="28" t="s">
        <v>3902</v>
      </c>
      <c r="F662" s="28" t="s">
        <v>3902</v>
      </c>
      <c r="G662" s="28" t="s">
        <v>3903</v>
      </c>
      <c r="H662" s="28" t="s">
        <v>3904</v>
      </c>
      <c r="I662" s="28" t="s">
        <v>3905</v>
      </c>
      <c r="J662" s="28" t="s">
        <v>74</v>
      </c>
      <c r="K662" s="28" t="s">
        <v>91</v>
      </c>
      <c r="L662" s="28" t="s">
        <v>91</v>
      </c>
      <c r="M662" s="28">
        <v>52110</v>
      </c>
      <c r="N662" s="29" t="s">
        <v>536</v>
      </c>
      <c r="O662" s="24">
        <f>VLOOKUP(A662,Hoja1!A:C,3,0)</f>
        <v>16</v>
      </c>
      <c r="P662" s="30" t="str">
        <f>VLOOKUP(M662,[1]TIPOLOGIAS!$A:$F,4,0)</f>
        <v>PASTO</v>
      </c>
      <c r="Q662" s="30" t="str">
        <f>VLOOKUP(P662,'BASE TARIFA 2025'!C:D,2,0)</f>
        <v>WOMPI SUROCCIDENTE</v>
      </c>
      <c r="R662" s="31">
        <f>VLOOKUP(P662,'BASE TARIFA 2025'!C:F,4,0)</f>
        <v>28277.100000000002</v>
      </c>
    </row>
    <row r="663" spans="1:18" s="28" customFormat="1" ht="14.4" x14ac:dyDescent="0.3">
      <c r="A663" s="28">
        <v>50411</v>
      </c>
      <c r="B663" s="28" t="s">
        <v>3906</v>
      </c>
      <c r="C663" s="28">
        <v>52446199</v>
      </c>
      <c r="D663" s="28" t="s">
        <v>3907</v>
      </c>
      <c r="E663" s="28" t="s">
        <v>3907</v>
      </c>
      <c r="F663" s="28" t="s">
        <v>3908</v>
      </c>
      <c r="G663" s="28" t="s">
        <v>3909</v>
      </c>
      <c r="H663" s="28" t="s">
        <v>3910</v>
      </c>
      <c r="I663" s="28" t="s">
        <v>3911</v>
      </c>
      <c r="J663" s="28" t="s">
        <v>74</v>
      </c>
      <c r="K663" s="28" t="s">
        <v>91</v>
      </c>
      <c r="L663" s="28" t="s">
        <v>91</v>
      </c>
      <c r="M663" s="28">
        <v>52110</v>
      </c>
      <c r="N663" s="29" t="s">
        <v>553</v>
      </c>
      <c r="O663" s="24">
        <f>VLOOKUP(A663,Hoja1!A:C,3,0)</f>
        <v>8</v>
      </c>
      <c r="P663" s="30" t="str">
        <f>VLOOKUP(M663,[1]TIPOLOGIAS!$A:$F,4,0)</f>
        <v>PASTO</v>
      </c>
      <c r="Q663" s="30" t="str">
        <f>VLOOKUP(P663,'BASE TARIFA 2025'!C:D,2,0)</f>
        <v>WOMPI SUROCCIDENTE</v>
      </c>
      <c r="R663" s="31">
        <f>VLOOKUP(P663,'BASE TARIFA 2025'!C:F,4,0)</f>
        <v>28277.100000000002</v>
      </c>
    </row>
    <row r="664" spans="1:18" s="28" customFormat="1" ht="14.4" x14ac:dyDescent="0.3">
      <c r="A664" s="28">
        <v>50846</v>
      </c>
      <c r="B664" s="28" t="s">
        <v>3912</v>
      </c>
      <c r="C664" s="28">
        <v>51647614</v>
      </c>
      <c r="D664" s="28" t="s">
        <v>3913</v>
      </c>
      <c r="E664" s="28" t="s">
        <v>3913</v>
      </c>
      <c r="F664" s="28" t="s">
        <v>3913</v>
      </c>
      <c r="G664" s="28" t="s">
        <v>3914</v>
      </c>
      <c r="H664" s="28" t="s">
        <v>3915</v>
      </c>
      <c r="I664" s="28" t="s">
        <v>3916</v>
      </c>
      <c r="J664" s="28" t="s">
        <v>74</v>
      </c>
      <c r="K664" s="28" t="s">
        <v>91</v>
      </c>
      <c r="L664" s="28" t="s">
        <v>91</v>
      </c>
      <c r="M664" s="28">
        <v>52110</v>
      </c>
      <c r="N664" s="29" t="s">
        <v>553</v>
      </c>
      <c r="O664" s="24">
        <f>VLOOKUP(A664,Hoja1!A:C,3,0)</f>
        <v>8</v>
      </c>
      <c r="P664" s="30" t="str">
        <f>VLOOKUP(M664,[1]TIPOLOGIAS!$A:$F,4,0)</f>
        <v>PASTO</v>
      </c>
      <c r="Q664" s="30" t="str">
        <f>VLOOKUP(P664,'BASE TARIFA 2025'!C:D,2,0)</f>
        <v>WOMPI SUROCCIDENTE</v>
      </c>
      <c r="R664" s="31">
        <f>VLOOKUP(P664,'BASE TARIFA 2025'!C:F,4,0)</f>
        <v>28277.100000000002</v>
      </c>
    </row>
    <row r="665" spans="1:18" s="28" customFormat="1" ht="14.4" x14ac:dyDescent="0.3">
      <c r="A665" s="28">
        <v>50060</v>
      </c>
      <c r="B665" s="28" t="s">
        <v>3917</v>
      </c>
      <c r="C665" s="28">
        <v>1033736872</v>
      </c>
      <c r="D665" s="28" t="s">
        <v>99</v>
      </c>
      <c r="E665" s="28" t="s">
        <v>3918</v>
      </c>
      <c r="F665" s="28" t="s">
        <v>3918</v>
      </c>
      <c r="G665" s="28" t="s">
        <v>3919</v>
      </c>
      <c r="H665" s="28" t="s">
        <v>3920</v>
      </c>
      <c r="I665" s="28" t="s">
        <v>3921</v>
      </c>
      <c r="J665" s="28" t="s">
        <v>74</v>
      </c>
      <c r="K665" s="28" t="s">
        <v>3922</v>
      </c>
      <c r="L665" s="28" t="s">
        <v>3922</v>
      </c>
      <c r="M665" s="28">
        <v>52560</v>
      </c>
      <c r="N665" s="29" t="s">
        <v>790</v>
      </c>
      <c r="O665" s="24">
        <f>VLOOKUP(A665,Hoja1!A:C,3,0)</f>
        <v>8</v>
      </c>
      <c r="P665" s="30" t="str">
        <f>VLOOKUP(M665,[1]TIPOLOGIAS!$A:$F,4,0)</f>
        <v>PASTO</v>
      </c>
      <c r="Q665" s="30" t="str">
        <f>VLOOKUP(P665,'BASE TARIFA 2025'!C:D,2,0)</f>
        <v>WOMPI SUROCCIDENTE</v>
      </c>
      <c r="R665" s="31">
        <f>VLOOKUP(P665,'BASE TARIFA 2025'!C:F,4,0)</f>
        <v>28277.100000000002</v>
      </c>
    </row>
    <row r="666" spans="1:18" s="28" customFormat="1" ht="14.4" x14ac:dyDescent="0.3">
      <c r="A666" s="28">
        <v>52737</v>
      </c>
      <c r="B666" s="28" t="s">
        <v>3923</v>
      </c>
      <c r="C666" s="28">
        <v>80164040</v>
      </c>
      <c r="D666" s="28" t="s">
        <v>3924</v>
      </c>
      <c r="E666" s="28" t="s">
        <v>3925</v>
      </c>
      <c r="F666" s="28" t="s">
        <v>3925</v>
      </c>
      <c r="G666" s="28" t="s">
        <v>3926</v>
      </c>
      <c r="H666" s="28" t="s">
        <v>3927</v>
      </c>
      <c r="I666" s="28" t="s">
        <v>3928</v>
      </c>
      <c r="J666" s="28" t="s">
        <v>74</v>
      </c>
      <c r="K666" s="28" t="s">
        <v>3929</v>
      </c>
      <c r="L666" s="28" t="s">
        <v>3929</v>
      </c>
      <c r="M666" s="28">
        <v>52612</v>
      </c>
      <c r="N666" s="29" t="s">
        <v>655</v>
      </c>
      <c r="O666" s="24">
        <f>VLOOKUP(A666,Hoja1!A:C,3,0)</f>
        <v>8</v>
      </c>
      <c r="P666" s="30" t="str">
        <f>VLOOKUP(M666,[1]TIPOLOGIAS!$A:$F,4,0)</f>
        <v>PASTO</v>
      </c>
      <c r="Q666" s="30" t="str">
        <f>VLOOKUP(P666,'BASE TARIFA 2025'!C:D,2,0)</f>
        <v>WOMPI SUROCCIDENTE</v>
      </c>
      <c r="R666" s="31">
        <f>VLOOKUP(P666,'BASE TARIFA 2025'!C:F,4,0)</f>
        <v>28277.100000000002</v>
      </c>
    </row>
    <row r="667" spans="1:18" s="28" customFormat="1" ht="14.4" x14ac:dyDescent="0.3">
      <c r="A667" s="28">
        <v>53867</v>
      </c>
      <c r="B667" s="28" t="s">
        <v>3930</v>
      </c>
      <c r="C667" s="28">
        <v>31958119</v>
      </c>
      <c r="D667" s="28" t="s">
        <v>3931</v>
      </c>
      <c r="E667" s="28" t="s">
        <v>3932</v>
      </c>
      <c r="F667" s="28" t="s">
        <v>3932</v>
      </c>
      <c r="G667" s="28" t="s">
        <v>3933</v>
      </c>
      <c r="H667" s="28" t="s">
        <v>3934</v>
      </c>
      <c r="I667" s="28" t="s">
        <v>3935</v>
      </c>
      <c r="J667" s="28" t="s">
        <v>74</v>
      </c>
      <c r="K667" s="28" t="s">
        <v>3929</v>
      </c>
      <c r="L667" s="28" t="s">
        <v>3929</v>
      </c>
      <c r="M667" s="28">
        <v>52612</v>
      </c>
      <c r="N667" s="29" t="s">
        <v>655</v>
      </c>
      <c r="O667" s="24">
        <f>VLOOKUP(A667,Hoja1!A:C,3,0)</f>
        <v>8</v>
      </c>
      <c r="P667" s="30" t="str">
        <f>VLOOKUP(M667,[1]TIPOLOGIAS!$A:$F,4,0)</f>
        <v>PASTO</v>
      </c>
      <c r="Q667" s="30" t="str">
        <f>VLOOKUP(P667,'BASE TARIFA 2025'!C:D,2,0)</f>
        <v>WOMPI SUROCCIDENTE</v>
      </c>
      <c r="R667" s="31">
        <f>VLOOKUP(P667,'BASE TARIFA 2025'!C:F,4,0)</f>
        <v>28277.100000000002</v>
      </c>
    </row>
    <row r="668" spans="1:18" s="28" customFormat="1" ht="14.4" x14ac:dyDescent="0.3">
      <c r="A668" s="28">
        <v>53070</v>
      </c>
      <c r="B668" s="28" t="s">
        <v>3936</v>
      </c>
      <c r="C668" s="28">
        <v>24230645</v>
      </c>
      <c r="D668" s="28" t="s">
        <v>3937</v>
      </c>
      <c r="E668" s="28" t="s">
        <v>3938</v>
      </c>
      <c r="F668" s="28" t="s">
        <v>3938</v>
      </c>
      <c r="G668" s="28" t="s">
        <v>3939</v>
      </c>
      <c r="H668" s="28" t="s">
        <v>3940</v>
      </c>
      <c r="I668" s="28" t="s">
        <v>3941</v>
      </c>
      <c r="J668" s="28" t="s">
        <v>74</v>
      </c>
      <c r="K668" s="28" t="s">
        <v>3929</v>
      </c>
      <c r="L668" s="28" t="s">
        <v>3929</v>
      </c>
      <c r="M668" s="28">
        <v>52612</v>
      </c>
      <c r="N668" s="29" t="s">
        <v>655</v>
      </c>
      <c r="O668" s="24">
        <f>VLOOKUP(A668,Hoja1!A:C,3,0)</f>
        <v>8</v>
      </c>
      <c r="P668" s="30" t="str">
        <f>VLOOKUP(M668,[1]TIPOLOGIAS!$A:$F,4,0)</f>
        <v>PASTO</v>
      </c>
      <c r="Q668" s="30" t="str">
        <f>VLOOKUP(P668,'BASE TARIFA 2025'!C:D,2,0)</f>
        <v>WOMPI SUROCCIDENTE</v>
      </c>
      <c r="R668" s="31">
        <f>VLOOKUP(P668,'BASE TARIFA 2025'!C:F,4,0)</f>
        <v>28277.100000000002</v>
      </c>
    </row>
    <row r="669" spans="1:18" s="28" customFormat="1" ht="14.4" x14ac:dyDescent="0.3">
      <c r="A669" s="28">
        <v>54560</v>
      </c>
      <c r="B669" s="28" t="s">
        <v>3942</v>
      </c>
      <c r="C669" s="28">
        <v>901407185</v>
      </c>
      <c r="E669" s="28" t="s">
        <v>3943</v>
      </c>
      <c r="F669" s="28" t="s">
        <v>3943</v>
      </c>
      <c r="G669" s="28" t="s">
        <v>3944</v>
      </c>
      <c r="H669" s="28" t="s">
        <v>3945</v>
      </c>
      <c r="I669" s="28" t="s">
        <v>3946</v>
      </c>
      <c r="J669" s="28" t="s">
        <v>103</v>
      </c>
      <c r="K669" s="28" t="s">
        <v>3947</v>
      </c>
      <c r="L669" s="28" t="s">
        <v>3947</v>
      </c>
      <c r="M669" s="28">
        <v>73352</v>
      </c>
      <c r="N669" s="29" t="s">
        <v>1173</v>
      </c>
      <c r="O669" s="24" t="e">
        <f>VLOOKUP(A669,Hoja1!A:C,3,0)</f>
        <v>#N/A</v>
      </c>
      <c r="P669" s="30" t="str">
        <f>VLOOKUP(M669,[1]TIPOLOGIAS!$A:$F,4,0)</f>
        <v>IBAGUE</v>
      </c>
      <c r="Q669" s="30" t="str">
        <f>VLOOKUP(P669,'BASE TARIFA 2025'!C:D,2,0)</f>
        <v>WOMPI ORIENTE</v>
      </c>
      <c r="R669" s="31">
        <f>VLOOKUP(P669,'BASE TARIFA 2025'!C:F,4,0)</f>
        <v>28277.100000000002</v>
      </c>
    </row>
    <row r="670" spans="1:18" s="28" customFormat="1" ht="14.4" x14ac:dyDescent="0.3">
      <c r="A670" s="28">
        <v>55789</v>
      </c>
      <c r="B670" s="28" t="s">
        <v>3948</v>
      </c>
      <c r="C670" s="28">
        <v>37796762</v>
      </c>
      <c r="D670" s="28" t="s">
        <v>3949</v>
      </c>
      <c r="E670" s="28" t="s">
        <v>3949</v>
      </c>
      <c r="F670" s="28" t="s">
        <v>3949</v>
      </c>
      <c r="G670" s="28" t="s">
        <v>3950</v>
      </c>
      <c r="H670" s="28" t="s">
        <v>3951</v>
      </c>
      <c r="I670" s="28" t="s">
        <v>3952</v>
      </c>
      <c r="J670" s="28" t="s">
        <v>103</v>
      </c>
      <c r="K670" s="28" t="s">
        <v>3947</v>
      </c>
      <c r="L670" s="28" t="s">
        <v>3947</v>
      </c>
      <c r="M670" s="28">
        <v>73352</v>
      </c>
      <c r="N670" s="29" t="s">
        <v>1173</v>
      </c>
      <c r="O670" s="24">
        <f>VLOOKUP(A670,Hoja1!A:C,3,0)</f>
        <v>8</v>
      </c>
      <c r="P670" s="30" t="str">
        <f>VLOOKUP(M670,[1]TIPOLOGIAS!$A:$F,4,0)</f>
        <v>IBAGUE</v>
      </c>
      <c r="Q670" s="30" t="str">
        <f>VLOOKUP(P670,'BASE TARIFA 2025'!C:D,2,0)</f>
        <v>WOMPI ORIENTE</v>
      </c>
      <c r="R670" s="31">
        <f>VLOOKUP(P670,'BASE TARIFA 2025'!C:F,4,0)</f>
        <v>28277.100000000002</v>
      </c>
    </row>
    <row r="671" spans="1:18" s="28" customFormat="1" ht="14.4" x14ac:dyDescent="0.3">
      <c r="A671" s="28">
        <v>55686</v>
      </c>
      <c r="B671" s="28" t="s">
        <v>3953</v>
      </c>
      <c r="C671" s="28">
        <v>1019023514</v>
      </c>
      <c r="D671" s="28" t="s">
        <v>3954</v>
      </c>
      <c r="E671" s="28" t="s">
        <v>3954</v>
      </c>
      <c r="F671" s="28" t="s">
        <v>3954</v>
      </c>
      <c r="G671" s="28" t="s">
        <v>3955</v>
      </c>
      <c r="H671" s="28" t="s">
        <v>3956</v>
      </c>
      <c r="I671" s="28" t="s">
        <v>3957</v>
      </c>
      <c r="J671" s="28" t="s">
        <v>103</v>
      </c>
      <c r="K671" s="28" t="s">
        <v>3947</v>
      </c>
      <c r="L671" s="28" t="s">
        <v>3947</v>
      </c>
      <c r="M671" s="28">
        <v>73352</v>
      </c>
      <c r="N671" s="29" t="s">
        <v>1173</v>
      </c>
      <c r="O671" s="24">
        <f>VLOOKUP(A671,Hoja1!A:C,3,0)</f>
        <v>8</v>
      </c>
      <c r="P671" s="30" t="str">
        <f>VLOOKUP(M671,[1]TIPOLOGIAS!$A:$F,4,0)</f>
        <v>IBAGUE</v>
      </c>
      <c r="Q671" s="30" t="str">
        <f>VLOOKUP(P671,'BASE TARIFA 2025'!C:D,2,0)</f>
        <v>WOMPI ORIENTE</v>
      </c>
      <c r="R671" s="31">
        <f>VLOOKUP(P671,'BASE TARIFA 2025'!C:F,4,0)</f>
        <v>28277.100000000002</v>
      </c>
    </row>
    <row r="672" spans="1:18" s="28" customFormat="1" ht="14.4" x14ac:dyDescent="0.3">
      <c r="A672" s="28">
        <v>58582</v>
      </c>
      <c r="B672" s="28" t="s">
        <v>3958</v>
      </c>
      <c r="C672" s="28">
        <v>80100968</v>
      </c>
      <c r="D672" s="28" t="s">
        <v>3959</v>
      </c>
      <c r="E672" s="28" t="s">
        <v>3959</v>
      </c>
      <c r="F672" s="28" t="s">
        <v>3959</v>
      </c>
      <c r="G672" s="28" t="s">
        <v>3960</v>
      </c>
      <c r="H672" s="28" t="s">
        <v>3961</v>
      </c>
      <c r="I672" s="28" t="s">
        <v>3962</v>
      </c>
      <c r="J672" s="28" t="s">
        <v>103</v>
      </c>
      <c r="K672" s="28" t="s">
        <v>3947</v>
      </c>
      <c r="L672" s="28" t="s">
        <v>3947</v>
      </c>
      <c r="M672" s="28">
        <v>73352</v>
      </c>
      <c r="N672" s="29" t="s">
        <v>1173</v>
      </c>
      <c r="O672" s="24">
        <f>VLOOKUP(A672,Hoja1!A:C,3,0)</f>
        <v>8</v>
      </c>
      <c r="P672" s="30" t="str">
        <f>VLOOKUP(M672,[1]TIPOLOGIAS!$A:$F,4,0)</f>
        <v>IBAGUE</v>
      </c>
      <c r="Q672" s="30" t="str">
        <f>VLOOKUP(P672,'BASE TARIFA 2025'!C:D,2,0)</f>
        <v>WOMPI ORIENTE</v>
      </c>
      <c r="R672" s="31">
        <f>VLOOKUP(P672,'BASE TARIFA 2025'!C:F,4,0)</f>
        <v>28277.100000000002</v>
      </c>
    </row>
    <row r="673" spans="1:18" s="28" customFormat="1" ht="14.4" x14ac:dyDescent="0.3">
      <c r="A673" s="28">
        <v>53675</v>
      </c>
      <c r="B673" s="28" t="s">
        <v>3963</v>
      </c>
      <c r="C673" s="28">
        <v>1019054697</v>
      </c>
      <c r="D673" s="28" t="s">
        <v>69</v>
      </c>
      <c r="E673" s="28" t="s">
        <v>3964</v>
      </c>
      <c r="F673" s="28" t="s">
        <v>3964</v>
      </c>
      <c r="G673" s="28" t="s">
        <v>3965</v>
      </c>
      <c r="H673" s="28" t="s">
        <v>3966</v>
      </c>
      <c r="I673" s="28" t="s">
        <v>3967</v>
      </c>
      <c r="J673" s="28" t="s">
        <v>103</v>
      </c>
      <c r="K673" s="28" t="s">
        <v>3968</v>
      </c>
      <c r="L673" s="28" t="s">
        <v>3968</v>
      </c>
      <c r="M673" s="28">
        <v>73443</v>
      </c>
      <c r="N673" s="29" t="s">
        <v>638</v>
      </c>
      <c r="O673" s="24">
        <f>VLOOKUP(A673,Hoja1!A:C,3,0)</f>
        <v>8</v>
      </c>
      <c r="P673" s="30" t="str">
        <f>VLOOKUP(M673,[1]TIPOLOGIAS!$A:$F,4,0)</f>
        <v>IBAGUE</v>
      </c>
      <c r="Q673" s="30" t="str">
        <f>VLOOKUP(P673,'BASE TARIFA 2025'!C:D,2,0)</f>
        <v>WOMPI ORIENTE</v>
      </c>
      <c r="R673" s="31">
        <f>VLOOKUP(P673,'BASE TARIFA 2025'!C:F,4,0)</f>
        <v>28277.100000000002</v>
      </c>
    </row>
    <row r="674" spans="1:18" s="28" customFormat="1" ht="14.4" x14ac:dyDescent="0.3">
      <c r="A674" s="28">
        <v>57626</v>
      </c>
      <c r="B674" s="28" t="s">
        <v>3969</v>
      </c>
      <c r="C674" s="28">
        <v>901456623</v>
      </c>
      <c r="D674" s="28" t="s">
        <v>3970</v>
      </c>
      <c r="E674" s="28" t="s">
        <v>3970</v>
      </c>
      <c r="F674" s="28" t="s">
        <v>3970</v>
      </c>
      <c r="G674" s="28" t="s">
        <v>3971</v>
      </c>
      <c r="H674" s="28" t="s">
        <v>3972</v>
      </c>
      <c r="I674" s="28" t="s">
        <v>3973</v>
      </c>
      <c r="J674" s="28" t="s">
        <v>103</v>
      </c>
      <c r="K674" s="28" t="s">
        <v>3968</v>
      </c>
      <c r="L674" s="28" t="s">
        <v>3968</v>
      </c>
      <c r="M674" s="28">
        <v>73443</v>
      </c>
      <c r="N674" s="29" t="s">
        <v>638</v>
      </c>
      <c r="O674" s="24">
        <f>VLOOKUP(A674,Hoja1!A:C,3,0)</f>
        <v>16</v>
      </c>
      <c r="P674" s="30" t="str">
        <f>VLOOKUP(M674,[1]TIPOLOGIAS!$A:$F,4,0)</f>
        <v>IBAGUE</v>
      </c>
      <c r="Q674" s="30" t="str">
        <f>VLOOKUP(P674,'BASE TARIFA 2025'!C:D,2,0)</f>
        <v>WOMPI ORIENTE</v>
      </c>
      <c r="R674" s="31">
        <f>VLOOKUP(P674,'BASE TARIFA 2025'!C:F,4,0)</f>
        <v>28277.100000000002</v>
      </c>
    </row>
    <row r="675" spans="1:18" s="28" customFormat="1" ht="14.4" x14ac:dyDescent="0.3">
      <c r="A675" s="28">
        <v>57628</v>
      </c>
      <c r="B675" s="28" t="s">
        <v>3974</v>
      </c>
      <c r="C675" s="28">
        <v>1032390597</v>
      </c>
      <c r="D675" s="28" t="s">
        <v>3975</v>
      </c>
      <c r="E675" s="28" t="s">
        <v>3975</v>
      </c>
      <c r="F675" s="28" t="s">
        <v>3975</v>
      </c>
      <c r="G675" s="28" t="s">
        <v>3976</v>
      </c>
      <c r="H675" s="28" t="s">
        <v>3977</v>
      </c>
      <c r="I675" s="28" t="s">
        <v>3978</v>
      </c>
      <c r="J675" s="28" t="s">
        <v>103</v>
      </c>
      <c r="K675" s="28" t="s">
        <v>3968</v>
      </c>
      <c r="L675" s="28" t="s">
        <v>3968</v>
      </c>
      <c r="M675" s="28">
        <v>73443</v>
      </c>
      <c r="N675" s="29" t="s">
        <v>638</v>
      </c>
      <c r="O675" s="24">
        <f>VLOOKUP(A675,Hoja1!A:C,3,0)</f>
        <v>16</v>
      </c>
      <c r="P675" s="30" t="str">
        <f>VLOOKUP(M675,[1]TIPOLOGIAS!$A:$F,4,0)</f>
        <v>IBAGUE</v>
      </c>
      <c r="Q675" s="30" t="str">
        <f>VLOOKUP(P675,'BASE TARIFA 2025'!C:D,2,0)</f>
        <v>WOMPI ORIENTE</v>
      </c>
      <c r="R675" s="31">
        <f>VLOOKUP(P675,'BASE TARIFA 2025'!C:F,4,0)</f>
        <v>28277.100000000002</v>
      </c>
    </row>
    <row r="676" spans="1:18" s="28" customFormat="1" ht="14.4" x14ac:dyDescent="0.3">
      <c r="A676" s="28">
        <v>57734</v>
      </c>
      <c r="B676" s="28" t="s">
        <v>3979</v>
      </c>
      <c r="C676" s="28">
        <v>79618120</v>
      </c>
      <c r="D676" s="28" t="s">
        <v>3980</v>
      </c>
      <c r="E676" s="28" t="s">
        <v>3980</v>
      </c>
      <c r="F676" s="28" t="s">
        <v>3981</v>
      </c>
      <c r="G676" s="28" t="s">
        <v>3982</v>
      </c>
      <c r="H676" s="28" t="s">
        <v>3983</v>
      </c>
      <c r="I676" s="28" t="s">
        <v>3984</v>
      </c>
      <c r="J676" s="28" t="s">
        <v>103</v>
      </c>
      <c r="K676" s="28" t="s">
        <v>3968</v>
      </c>
      <c r="L676" s="28" t="s">
        <v>3968</v>
      </c>
      <c r="M676" s="28">
        <v>73443</v>
      </c>
      <c r="N676" s="29" t="s">
        <v>638</v>
      </c>
      <c r="O676" s="24">
        <f>VLOOKUP(A676,Hoja1!A:C,3,0)</f>
        <v>8</v>
      </c>
      <c r="P676" s="30" t="str">
        <f>VLOOKUP(M676,[1]TIPOLOGIAS!$A:$F,4,0)</f>
        <v>IBAGUE</v>
      </c>
      <c r="Q676" s="30" t="str">
        <f>VLOOKUP(P676,'BASE TARIFA 2025'!C:D,2,0)</f>
        <v>WOMPI ORIENTE</v>
      </c>
      <c r="R676" s="31">
        <f>VLOOKUP(P676,'BASE TARIFA 2025'!C:F,4,0)</f>
        <v>28277.100000000002</v>
      </c>
    </row>
    <row r="677" spans="1:18" s="28" customFormat="1" ht="14.4" x14ac:dyDescent="0.3">
      <c r="A677" s="28">
        <v>59396</v>
      </c>
      <c r="B677" s="28" t="s">
        <v>3985</v>
      </c>
      <c r="C677" s="28">
        <v>1013603673</v>
      </c>
      <c r="D677" s="28" t="s">
        <v>3986</v>
      </c>
      <c r="E677" s="28" t="s">
        <v>3987</v>
      </c>
      <c r="F677" s="28" t="s">
        <v>3987</v>
      </c>
      <c r="G677" s="28" t="s">
        <v>3988</v>
      </c>
      <c r="H677" s="28" t="s">
        <v>3989</v>
      </c>
      <c r="I677" s="28" t="s">
        <v>3990</v>
      </c>
      <c r="J677" s="28" t="s">
        <v>110</v>
      </c>
      <c r="K677" s="28" t="s">
        <v>213</v>
      </c>
      <c r="L677" s="28" t="s">
        <v>213</v>
      </c>
      <c r="M677" s="28">
        <v>76122</v>
      </c>
      <c r="N677" s="29" t="s">
        <v>536</v>
      </c>
      <c r="O677" s="24">
        <f>VLOOKUP(A677,Hoja1!A:C,3,0)</f>
        <v>8</v>
      </c>
      <c r="P677" s="30" t="str">
        <f>VLOOKUP(M677,[1]TIPOLOGIAS!$A:$F,4,0)</f>
        <v>PEREIRA</v>
      </c>
      <c r="Q677" s="30" t="str">
        <f>VLOOKUP(P677,'BASE TARIFA 2025'!C:D,2,0)</f>
        <v>WOMPI EJE CAFETERO</v>
      </c>
      <c r="R677" s="31">
        <f>VLOOKUP(P677,'BASE TARIFA 2025'!C:F,4,0)</f>
        <v>15709.5</v>
      </c>
    </row>
    <row r="678" spans="1:18" s="28" customFormat="1" ht="14.4" x14ac:dyDescent="0.3">
      <c r="A678" s="28">
        <v>59293</v>
      </c>
      <c r="B678" s="28" t="s">
        <v>3991</v>
      </c>
      <c r="C678" s="28">
        <v>1014281611</v>
      </c>
      <c r="D678" s="28" t="s">
        <v>3992</v>
      </c>
      <c r="E678" s="28" t="s">
        <v>3993</v>
      </c>
      <c r="F678" s="28" t="s">
        <v>3993</v>
      </c>
      <c r="G678" s="28" t="s">
        <v>3994</v>
      </c>
      <c r="H678" s="28" t="s">
        <v>3995</v>
      </c>
      <c r="I678" s="28" t="s">
        <v>3996</v>
      </c>
      <c r="J678" s="28" t="s">
        <v>110</v>
      </c>
      <c r="K678" s="28" t="s">
        <v>213</v>
      </c>
      <c r="L678" s="28" t="s">
        <v>213</v>
      </c>
      <c r="M678" s="28">
        <v>76122</v>
      </c>
      <c r="N678" s="29" t="s">
        <v>536</v>
      </c>
      <c r="O678" s="24">
        <f>VLOOKUP(A678,Hoja1!A:C,3,0)</f>
        <v>16</v>
      </c>
      <c r="P678" s="30" t="str">
        <f>VLOOKUP(M678,[1]TIPOLOGIAS!$A:$F,4,0)</f>
        <v>PEREIRA</v>
      </c>
      <c r="Q678" s="30" t="str">
        <f>VLOOKUP(P678,'BASE TARIFA 2025'!C:D,2,0)</f>
        <v>WOMPI EJE CAFETERO</v>
      </c>
      <c r="R678" s="31">
        <f>VLOOKUP(P678,'BASE TARIFA 2025'!C:F,4,0)</f>
        <v>15709.5</v>
      </c>
    </row>
    <row r="679" spans="1:18" s="28" customFormat="1" ht="14.4" x14ac:dyDescent="0.3">
      <c r="A679" s="28">
        <v>77688</v>
      </c>
      <c r="B679" s="28" t="s">
        <v>3997</v>
      </c>
      <c r="C679" s="28">
        <v>1085339353</v>
      </c>
      <c r="D679" s="28" t="s">
        <v>3998</v>
      </c>
      <c r="E679" s="28" t="s">
        <v>3999</v>
      </c>
      <c r="F679" s="28" t="s">
        <v>3999</v>
      </c>
      <c r="G679" s="28" t="s">
        <v>4000</v>
      </c>
      <c r="H679" s="28" t="s">
        <v>4001</v>
      </c>
      <c r="I679" s="28" t="s">
        <v>4002</v>
      </c>
      <c r="J679" s="28" t="s">
        <v>110</v>
      </c>
      <c r="K679" s="28" t="s">
        <v>213</v>
      </c>
      <c r="L679" s="28" t="s">
        <v>213</v>
      </c>
      <c r="M679" s="28">
        <v>76122</v>
      </c>
      <c r="N679" s="29" t="s">
        <v>536</v>
      </c>
      <c r="O679" s="24">
        <f>VLOOKUP(A679,Hoja1!A:C,3,0)</f>
        <v>8</v>
      </c>
      <c r="P679" s="30" t="str">
        <f>VLOOKUP(M679,[1]TIPOLOGIAS!$A:$F,4,0)</f>
        <v>PEREIRA</v>
      </c>
      <c r="Q679" s="30" t="str">
        <f>VLOOKUP(P679,'BASE TARIFA 2025'!C:D,2,0)</f>
        <v>WOMPI EJE CAFETERO</v>
      </c>
      <c r="R679" s="31">
        <f>VLOOKUP(P679,'BASE TARIFA 2025'!C:F,4,0)</f>
        <v>15709.5</v>
      </c>
    </row>
    <row r="680" spans="1:18" s="28" customFormat="1" ht="14.4" x14ac:dyDescent="0.3">
      <c r="A680" s="28">
        <v>76903</v>
      </c>
      <c r="B680" s="28" t="s">
        <v>4003</v>
      </c>
      <c r="C680" s="28">
        <v>1089848067</v>
      </c>
      <c r="D680" s="28" t="s">
        <v>4004</v>
      </c>
      <c r="E680" s="28" t="s">
        <v>4005</v>
      </c>
      <c r="F680" s="28" t="s">
        <v>4005</v>
      </c>
      <c r="G680" s="28" t="s">
        <v>4006</v>
      </c>
      <c r="H680" s="28" t="s">
        <v>4007</v>
      </c>
      <c r="I680" s="28" t="s">
        <v>4008</v>
      </c>
      <c r="J680" s="28" t="s">
        <v>110</v>
      </c>
      <c r="K680" s="28" t="s">
        <v>213</v>
      </c>
      <c r="L680" s="28" t="s">
        <v>213</v>
      </c>
      <c r="M680" s="28">
        <v>76122</v>
      </c>
      <c r="N680" s="29" t="s">
        <v>536</v>
      </c>
      <c r="O680" s="24">
        <f>VLOOKUP(A680,Hoja1!A:C,3,0)</f>
        <v>8</v>
      </c>
      <c r="P680" s="30" t="str">
        <f>VLOOKUP(M680,[1]TIPOLOGIAS!$A:$F,4,0)</f>
        <v>PEREIRA</v>
      </c>
      <c r="Q680" s="30" t="str">
        <f>VLOOKUP(P680,'BASE TARIFA 2025'!C:D,2,0)</f>
        <v>WOMPI EJE CAFETERO</v>
      </c>
      <c r="R680" s="31">
        <f>VLOOKUP(P680,'BASE TARIFA 2025'!C:F,4,0)</f>
        <v>15709.5</v>
      </c>
    </row>
    <row r="681" spans="1:18" s="28" customFormat="1" ht="14.4" x14ac:dyDescent="0.3">
      <c r="A681" s="28">
        <v>74770</v>
      </c>
      <c r="B681" s="28" t="s">
        <v>4009</v>
      </c>
      <c r="C681" s="28">
        <v>901356173</v>
      </c>
      <c r="D681" s="28" t="s">
        <v>4010</v>
      </c>
      <c r="E681" s="28" t="s">
        <v>69</v>
      </c>
      <c r="F681" s="28" t="s">
        <v>4010</v>
      </c>
      <c r="G681" s="28" t="s">
        <v>4011</v>
      </c>
      <c r="H681" s="28" t="s">
        <v>4012</v>
      </c>
      <c r="I681" s="28" t="s">
        <v>4013</v>
      </c>
      <c r="J681" s="28" t="s">
        <v>110</v>
      </c>
      <c r="K681" s="28" t="s">
        <v>213</v>
      </c>
      <c r="L681" s="28" t="s">
        <v>213</v>
      </c>
      <c r="M681" s="28">
        <v>76122</v>
      </c>
      <c r="N681" s="29" t="s">
        <v>560</v>
      </c>
      <c r="O681" s="24">
        <f>VLOOKUP(A681,Hoja1!A:C,3,0)</f>
        <v>8</v>
      </c>
      <c r="P681" s="30" t="str">
        <f>VLOOKUP(M681,[1]TIPOLOGIAS!$A:$F,4,0)</f>
        <v>PEREIRA</v>
      </c>
      <c r="Q681" s="30" t="str">
        <f>VLOOKUP(P681,'BASE TARIFA 2025'!C:D,2,0)</f>
        <v>WOMPI EJE CAFETERO</v>
      </c>
      <c r="R681" s="31">
        <f>VLOOKUP(P681,'BASE TARIFA 2025'!C:F,4,0)</f>
        <v>15709.5</v>
      </c>
    </row>
    <row r="682" spans="1:18" s="28" customFormat="1" ht="14.4" x14ac:dyDescent="0.3">
      <c r="A682" s="28">
        <v>74771</v>
      </c>
      <c r="B682" s="28" t="s">
        <v>4014</v>
      </c>
      <c r="C682" s="28">
        <v>901356173</v>
      </c>
      <c r="D682" s="28" t="s">
        <v>69</v>
      </c>
      <c r="E682" s="28" t="s">
        <v>4015</v>
      </c>
      <c r="F682" s="28" t="s">
        <v>4015</v>
      </c>
      <c r="G682" s="28" t="s">
        <v>4016</v>
      </c>
      <c r="H682" s="28" t="s">
        <v>4017</v>
      </c>
      <c r="I682" s="28" t="s">
        <v>4018</v>
      </c>
      <c r="J682" s="28" t="s">
        <v>110</v>
      </c>
      <c r="K682" s="28" t="s">
        <v>213</v>
      </c>
      <c r="L682" s="28" t="s">
        <v>213</v>
      </c>
      <c r="M682" s="28">
        <v>76122</v>
      </c>
      <c r="N682" s="29" t="s">
        <v>560</v>
      </c>
      <c r="O682" s="24">
        <f>VLOOKUP(A682,Hoja1!A:C,3,0)</f>
        <v>8</v>
      </c>
      <c r="P682" s="30" t="str">
        <f>VLOOKUP(M682,[1]TIPOLOGIAS!$A:$F,4,0)</f>
        <v>PEREIRA</v>
      </c>
      <c r="Q682" s="30" t="str">
        <f>VLOOKUP(P682,'BASE TARIFA 2025'!C:D,2,0)</f>
        <v>WOMPI EJE CAFETERO</v>
      </c>
      <c r="R682" s="31">
        <f>VLOOKUP(P682,'BASE TARIFA 2025'!C:F,4,0)</f>
        <v>15709.5</v>
      </c>
    </row>
    <row r="683" spans="1:18" s="28" customFormat="1" ht="14.4" x14ac:dyDescent="0.3">
      <c r="A683" s="28">
        <v>68830</v>
      </c>
      <c r="B683" s="28" t="s">
        <v>4019</v>
      </c>
      <c r="C683" s="28">
        <v>1085263077</v>
      </c>
      <c r="D683" s="28" t="s">
        <v>4020</v>
      </c>
      <c r="E683" s="28" t="s">
        <v>4021</v>
      </c>
      <c r="F683" s="28" t="s">
        <v>4020</v>
      </c>
      <c r="G683" s="28" t="s">
        <v>4022</v>
      </c>
      <c r="H683" s="28" t="s">
        <v>4023</v>
      </c>
      <c r="I683" s="28" t="s">
        <v>4024</v>
      </c>
      <c r="J683" s="28" t="s">
        <v>110</v>
      </c>
      <c r="K683" s="28" t="s">
        <v>213</v>
      </c>
      <c r="L683" s="28" t="s">
        <v>213</v>
      </c>
      <c r="M683" s="28">
        <v>76122</v>
      </c>
      <c r="N683" s="29" t="s">
        <v>638</v>
      </c>
      <c r="O683" s="24">
        <f>VLOOKUP(A683,Hoja1!A:C,3,0)</f>
        <v>8</v>
      </c>
      <c r="P683" s="30" t="str">
        <f>VLOOKUP(M683,[1]TIPOLOGIAS!$A:$F,4,0)</f>
        <v>PEREIRA</v>
      </c>
      <c r="Q683" s="30" t="str">
        <f>VLOOKUP(P683,'BASE TARIFA 2025'!C:D,2,0)</f>
        <v>WOMPI EJE CAFETERO</v>
      </c>
      <c r="R683" s="31">
        <f>VLOOKUP(P683,'BASE TARIFA 2025'!C:F,4,0)</f>
        <v>15709.5</v>
      </c>
    </row>
    <row r="684" spans="1:18" s="28" customFormat="1" ht="14.4" x14ac:dyDescent="0.3">
      <c r="A684" s="28">
        <v>69325</v>
      </c>
      <c r="B684" s="28" t="s">
        <v>4025</v>
      </c>
      <c r="C684" s="28">
        <v>12972361</v>
      </c>
      <c r="D684" s="28" t="s">
        <v>4026</v>
      </c>
      <c r="E684" s="28" t="s">
        <v>4026</v>
      </c>
      <c r="F684" s="28" t="s">
        <v>4026</v>
      </c>
      <c r="G684" s="28" t="s">
        <v>4027</v>
      </c>
      <c r="H684" s="28" t="s">
        <v>4028</v>
      </c>
      <c r="I684" s="28" t="s">
        <v>4029</v>
      </c>
      <c r="J684" s="28" t="s">
        <v>110</v>
      </c>
      <c r="K684" s="28" t="s">
        <v>213</v>
      </c>
      <c r="L684" s="28" t="s">
        <v>213</v>
      </c>
      <c r="M684" s="28">
        <v>76122</v>
      </c>
      <c r="N684" s="29" t="s">
        <v>560</v>
      </c>
      <c r="O684" s="24">
        <f>VLOOKUP(A684,Hoja1!A:C,3,0)</f>
        <v>8</v>
      </c>
      <c r="P684" s="30" t="str">
        <f>VLOOKUP(M684,[1]TIPOLOGIAS!$A:$F,4,0)</f>
        <v>PEREIRA</v>
      </c>
      <c r="Q684" s="30" t="str">
        <f>VLOOKUP(P684,'BASE TARIFA 2025'!C:D,2,0)</f>
        <v>WOMPI EJE CAFETERO</v>
      </c>
      <c r="R684" s="31">
        <f>VLOOKUP(P684,'BASE TARIFA 2025'!C:F,4,0)</f>
        <v>15709.5</v>
      </c>
    </row>
    <row r="685" spans="1:18" s="28" customFormat="1" ht="14.4" x14ac:dyDescent="0.3">
      <c r="A685" s="28">
        <v>67437</v>
      </c>
      <c r="B685" s="28" t="s">
        <v>4030</v>
      </c>
      <c r="C685" s="28">
        <v>5206909</v>
      </c>
      <c r="D685" s="28" t="s">
        <v>4031</v>
      </c>
      <c r="E685" s="28" t="s">
        <v>4031</v>
      </c>
      <c r="G685" s="28" t="s">
        <v>4032</v>
      </c>
      <c r="H685" s="28" t="s">
        <v>4033</v>
      </c>
      <c r="I685" s="28" t="s">
        <v>4034</v>
      </c>
      <c r="J685" s="28" t="s">
        <v>110</v>
      </c>
      <c r="K685" s="28" t="s">
        <v>214</v>
      </c>
      <c r="L685" s="28" t="s">
        <v>214</v>
      </c>
      <c r="M685" s="28">
        <v>76275</v>
      </c>
      <c r="N685" s="29" t="s">
        <v>536</v>
      </c>
      <c r="O685" s="24">
        <f>VLOOKUP(A685,Hoja1!A:C,3,0)</f>
        <v>8</v>
      </c>
      <c r="P685" s="30" t="str">
        <f>VLOOKUP(M685,[1]TIPOLOGIAS!$A:$F,4,0)</f>
        <v>CALI</v>
      </c>
      <c r="Q685" s="30" t="str">
        <f>VLOOKUP(P685,'BASE TARIFA 2025'!C:D,2,0)</f>
        <v>WOMPI SUROCCIDENTE</v>
      </c>
      <c r="R685" s="31">
        <f>VLOOKUP(P685,'BASE TARIFA 2025'!C:F,4,0)</f>
        <v>15709.5</v>
      </c>
    </row>
    <row r="686" spans="1:18" s="28" customFormat="1" ht="14.4" x14ac:dyDescent="0.3">
      <c r="A686" s="28">
        <v>60484</v>
      </c>
      <c r="B686" s="28" t="s">
        <v>4035</v>
      </c>
      <c r="C686" s="28">
        <v>901447446</v>
      </c>
      <c r="D686" s="28" t="s">
        <v>101</v>
      </c>
      <c r="E686" s="28" t="s">
        <v>4036</v>
      </c>
      <c r="F686" s="28" t="s">
        <v>4036</v>
      </c>
      <c r="G686" s="28" t="s">
        <v>4037</v>
      </c>
      <c r="H686" s="28" t="s">
        <v>3430</v>
      </c>
      <c r="I686" s="28" t="s">
        <v>3684</v>
      </c>
      <c r="J686" s="28" t="s">
        <v>92</v>
      </c>
      <c r="K686" s="28" t="s">
        <v>157</v>
      </c>
      <c r="L686" s="28" t="s">
        <v>157</v>
      </c>
      <c r="M686" s="28">
        <v>54001</v>
      </c>
      <c r="N686" s="29" t="s">
        <v>589</v>
      </c>
      <c r="O686" s="24">
        <f>VLOOKUP(A686,Hoja1!A:C,3,0)</f>
        <v>16</v>
      </c>
      <c r="P686" s="30" t="str">
        <f>VLOOKUP(M686,[1]TIPOLOGIAS!$A:$F,4,0)</f>
        <v>CUCUTA</v>
      </c>
      <c r="Q686" s="30" t="str">
        <f>VLOOKUP(P686,'BASE TARIFA 2025'!C:D,2,0)</f>
        <v>WOMPI SANTANDERES</v>
      </c>
      <c r="R686" s="31">
        <f>VLOOKUP(P686,'BASE TARIFA 2025'!C:F,4,0)</f>
        <v>28277.100000000002</v>
      </c>
    </row>
    <row r="687" spans="1:18" s="28" customFormat="1" ht="14.4" x14ac:dyDescent="0.3">
      <c r="A687" s="28">
        <v>60485</v>
      </c>
      <c r="B687" s="28" t="s">
        <v>4038</v>
      </c>
      <c r="C687" s="28">
        <v>901447446</v>
      </c>
      <c r="D687" s="28" t="s">
        <v>4039</v>
      </c>
      <c r="E687" s="28" t="s">
        <v>4040</v>
      </c>
      <c r="F687" s="28" t="s">
        <v>4041</v>
      </c>
      <c r="G687" s="28" t="s">
        <v>4042</v>
      </c>
      <c r="H687" s="28" t="s">
        <v>4043</v>
      </c>
      <c r="I687" s="28" t="s">
        <v>4044</v>
      </c>
      <c r="J687" s="28" t="s">
        <v>92</v>
      </c>
      <c r="K687" s="28" t="s">
        <v>157</v>
      </c>
      <c r="L687" s="28" t="s">
        <v>157</v>
      </c>
      <c r="M687" s="28">
        <v>54001</v>
      </c>
      <c r="N687" s="29" t="s">
        <v>1173</v>
      </c>
      <c r="O687" s="24">
        <f>VLOOKUP(A687,Hoja1!A:C,3,0)</f>
        <v>16</v>
      </c>
      <c r="P687" s="30" t="str">
        <f>VLOOKUP(M687,[1]TIPOLOGIAS!$A:$F,4,0)</f>
        <v>CUCUTA</v>
      </c>
      <c r="Q687" s="30" t="str">
        <f>VLOOKUP(P687,'BASE TARIFA 2025'!C:D,2,0)</f>
        <v>WOMPI SANTANDERES</v>
      </c>
      <c r="R687" s="31">
        <f>VLOOKUP(P687,'BASE TARIFA 2025'!C:F,4,0)</f>
        <v>28277.100000000002</v>
      </c>
    </row>
    <row r="688" spans="1:18" s="28" customFormat="1" ht="14.4" x14ac:dyDescent="0.3">
      <c r="A688" s="28">
        <v>62838</v>
      </c>
      <c r="B688" s="28" t="s">
        <v>4045</v>
      </c>
      <c r="C688" s="28">
        <v>27141737</v>
      </c>
      <c r="E688" s="28" t="s">
        <v>4046</v>
      </c>
      <c r="F688" s="28" t="s">
        <v>4046</v>
      </c>
      <c r="G688" s="28" t="s">
        <v>4047</v>
      </c>
      <c r="H688" s="28" t="s">
        <v>4048</v>
      </c>
      <c r="I688" s="28" t="s">
        <v>4049</v>
      </c>
      <c r="J688" s="28" t="s">
        <v>92</v>
      </c>
      <c r="K688" s="28" t="s">
        <v>157</v>
      </c>
      <c r="L688" s="28" t="s">
        <v>157</v>
      </c>
      <c r="M688" s="28">
        <v>54001</v>
      </c>
      <c r="N688" s="29" t="s">
        <v>1173</v>
      </c>
      <c r="O688" s="24">
        <f>VLOOKUP(A688,Hoja1!A:C,3,0)</f>
        <v>8</v>
      </c>
      <c r="P688" s="30" t="str">
        <f>VLOOKUP(M688,[1]TIPOLOGIAS!$A:$F,4,0)</f>
        <v>CUCUTA</v>
      </c>
      <c r="Q688" s="30" t="str">
        <f>VLOOKUP(P688,'BASE TARIFA 2025'!C:D,2,0)</f>
        <v>WOMPI SANTANDERES</v>
      </c>
      <c r="R688" s="31">
        <f>VLOOKUP(P688,'BASE TARIFA 2025'!C:F,4,0)</f>
        <v>28277.100000000002</v>
      </c>
    </row>
    <row r="689" spans="1:18" s="28" customFormat="1" ht="14.4" x14ac:dyDescent="0.3">
      <c r="A689" s="28">
        <v>46135</v>
      </c>
      <c r="B689" s="28" t="s">
        <v>4050</v>
      </c>
      <c r="C689" s="28">
        <v>1085251982</v>
      </c>
      <c r="E689" s="28" t="s">
        <v>4051</v>
      </c>
      <c r="F689" s="28" t="s">
        <v>4051</v>
      </c>
      <c r="G689" s="28" t="s">
        <v>4052</v>
      </c>
      <c r="H689" s="28" t="s">
        <v>4053</v>
      </c>
      <c r="I689" s="28" t="s">
        <v>4054</v>
      </c>
      <c r="J689" s="28" t="s">
        <v>92</v>
      </c>
      <c r="K689" s="28" t="s">
        <v>157</v>
      </c>
      <c r="L689" s="28" t="s">
        <v>157</v>
      </c>
      <c r="M689" s="28">
        <v>54001</v>
      </c>
      <c r="N689" s="29" t="s">
        <v>655</v>
      </c>
      <c r="O689" s="24">
        <f>VLOOKUP(A689,Hoja1!A:C,3,0)</f>
        <v>16</v>
      </c>
      <c r="P689" s="30" t="str">
        <f>VLOOKUP(M689,[1]TIPOLOGIAS!$A:$F,4,0)</f>
        <v>CUCUTA</v>
      </c>
      <c r="Q689" s="30" t="str">
        <f>VLOOKUP(P689,'BASE TARIFA 2025'!C:D,2,0)</f>
        <v>WOMPI SANTANDERES</v>
      </c>
      <c r="R689" s="31">
        <f>VLOOKUP(P689,'BASE TARIFA 2025'!C:F,4,0)</f>
        <v>28277.100000000002</v>
      </c>
    </row>
    <row r="690" spans="1:18" s="28" customFormat="1" ht="14.4" x14ac:dyDescent="0.3">
      <c r="A690" s="28">
        <v>29031</v>
      </c>
      <c r="B690" s="28" t="s">
        <v>4055</v>
      </c>
      <c r="C690" s="28">
        <v>900779107</v>
      </c>
      <c r="D690" s="28" t="s">
        <v>4056</v>
      </c>
      <c r="E690" s="28" t="s">
        <v>1879</v>
      </c>
      <c r="F690" s="28" t="s">
        <v>1879</v>
      </c>
      <c r="G690" s="28" t="s">
        <v>4057</v>
      </c>
      <c r="H690" s="28" t="s">
        <v>4058</v>
      </c>
      <c r="I690" s="28" t="s">
        <v>4059</v>
      </c>
      <c r="J690" s="28" t="s">
        <v>92</v>
      </c>
      <c r="K690" s="28" t="s">
        <v>157</v>
      </c>
      <c r="L690" s="28" t="s">
        <v>157</v>
      </c>
      <c r="M690" s="28">
        <v>54001</v>
      </c>
      <c r="N690" s="29" t="s">
        <v>744</v>
      </c>
      <c r="O690" s="24">
        <f>VLOOKUP(A690,Hoja1!A:C,3,0)</f>
        <v>8</v>
      </c>
      <c r="P690" s="30" t="str">
        <f>VLOOKUP(M690,[1]TIPOLOGIAS!$A:$F,4,0)</f>
        <v>CUCUTA</v>
      </c>
      <c r="Q690" s="30" t="str">
        <f>VLOOKUP(P690,'BASE TARIFA 2025'!C:D,2,0)</f>
        <v>WOMPI SANTANDERES</v>
      </c>
      <c r="R690" s="31">
        <f>VLOOKUP(P690,'BASE TARIFA 2025'!C:F,4,0)</f>
        <v>28277.100000000002</v>
      </c>
    </row>
    <row r="691" spans="1:18" s="28" customFormat="1" ht="14.4" x14ac:dyDescent="0.3">
      <c r="A691" s="28">
        <v>28302</v>
      </c>
      <c r="B691" s="28" t="s">
        <v>4060</v>
      </c>
      <c r="C691" s="28">
        <v>1085278071</v>
      </c>
      <c r="E691" s="28" t="s">
        <v>1863</v>
      </c>
      <c r="F691" s="28" t="s">
        <v>1863</v>
      </c>
      <c r="G691" s="28" t="s">
        <v>4061</v>
      </c>
      <c r="H691" s="28" t="s">
        <v>4062</v>
      </c>
      <c r="I691" s="28" t="s">
        <v>4063</v>
      </c>
      <c r="J691" s="28" t="s">
        <v>92</v>
      </c>
      <c r="K691" s="28" t="s">
        <v>157</v>
      </c>
      <c r="L691" s="28" t="s">
        <v>157</v>
      </c>
      <c r="M691" s="28">
        <v>54001</v>
      </c>
      <c r="N691" s="29" t="s">
        <v>756</v>
      </c>
      <c r="O691" s="24">
        <f>VLOOKUP(A691,Hoja1!A:C,3,0)</f>
        <v>8</v>
      </c>
      <c r="P691" s="30" t="str">
        <f>VLOOKUP(M691,[1]TIPOLOGIAS!$A:$F,4,0)</f>
        <v>CUCUTA</v>
      </c>
      <c r="Q691" s="30" t="str">
        <f>VLOOKUP(P691,'BASE TARIFA 2025'!C:D,2,0)</f>
        <v>WOMPI SANTANDERES</v>
      </c>
      <c r="R691" s="31">
        <f>VLOOKUP(P691,'BASE TARIFA 2025'!C:F,4,0)</f>
        <v>28277.100000000002</v>
      </c>
    </row>
    <row r="692" spans="1:18" s="28" customFormat="1" ht="14.4" x14ac:dyDescent="0.3">
      <c r="A692" s="28">
        <v>29176</v>
      </c>
      <c r="B692" s="28" t="s">
        <v>4064</v>
      </c>
      <c r="C692" s="28">
        <v>94489262</v>
      </c>
      <c r="D692" s="28" t="s">
        <v>4065</v>
      </c>
      <c r="E692" s="28" t="s">
        <v>4066</v>
      </c>
      <c r="F692" s="28" t="s">
        <v>4066</v>
      </c>
      <c r="G692" s="28" t="s">
        <v>4067</v>
      </c>
      <c r="H692" s="28" t="s">
        <v>4068</v>
      </c>
      <c r="I692" s="28" t="s">
        <v>4069</v>
      </c>
      <c r="J692" s="28" t="s">
        <v>92</v>
      </c>
      <c r="K692" s="28" t="s">
        <v>157</v>
      </c>
      <c r="L692" s="28" t="s">
        <v>157</v>
      </c>
      <c r="M692" s="28">
        <v>54001</v>
      </c>
      <c r="N692" s="29" t="s">
        <v>756</v>
      </c>
      <c r="O692" s="24">
        <f>VLOOKUP(A692,Hoja1!A:C,3,0)</f>
        <v>8</v>
      </c>
      <c r="P692" s="30" t="str">
        <f>VLOOKUP(M692,[1]TIPOLOGIAS!$A:$F,4,0)</f>
        <v>CUCUTA</v>
      </c>
      <c r="Q692" s="30" t="str">
        <f>VLOOKUP(P692,'BASE TARIFA 2025'!C:D,2,0)</f>
        <v>WOMPI SANTANDERES</v>
      </c>
      <c r="R692" s="31">
        <f>VLOOKUP(P692,'BASE TARIFA 2025'!C:F,4,0)</f>
        <v>28277.100000000002</v>
      </c>
    </row>
    <row r="693" spans="1:18" s="28" customFormat="1" ht="14.4" x14ac:dyDescent="0.3">
      <c r="A693" s="28">
        <v>11012</v>
      </c>
      <c r="B693" s="28" t="s">
        <v>4070</v>
      </c>
      <c r="C693" s="28">
        <v>30743986</v>
      </c>
      <c r="D693" s="28" t="s">
        <v>4071</v>
      </c>
      <c r="E693" s="28" t="s">
        <v>4072</v>
      </c>
      <c r="F693" s="28" t="s">
        <v>4072</v>
      </c>
      <c r="G693" s="28" t="s">
        <v>4073</v>
      </c>
      <c r="H693" s="28" t="s">
        <v>4074</v>
      </c>
      <c r="I693" s="28" t="s">
        <v>4075</v>
      </c>
      <c r="J693" s="28" t="s">
        <v>94</v>
      </c>
      <c r="K693" s="28" t="s">
        <v>318</v>
      </c>
      <c r="L693" s="28" t="s">
        <v>318</v>
      </c>
      <c r="M693" s="28">
        <v>68162</v>
      </c>
      <c r="N693" s="29" t="s">
        <v>996</v>
      </c>
      <c r="O693" s="24">
        <f>VLOOKUP(A693,Hoja1!A:C,3,0)</f>
        <v>8</v>
      </c>
      <c r="P693" s="30" t="str">
        <f>VLOOKUP(M693,[1]TIPOLOGIAS!$A:$F,4,0)</f>
        <v>BUCARAMANGA</v>
      </c>
      <c r="Q693" s="30" t="str">
        <f>VLOOKUP(P693,'BASE TARIFA 2025'!C:D,2,0)</f>
        <v>WOMPI SANTANDERES</v>
      </c>
      <c r="R693" s="31">
        <f>VLOOKUP(P693,'BASE TARIFA 2025'!C:F,4,0)</f>
        <v>15709.5</v>
      </c>
    </row>
    <row r="694" spans="1:18" s="28" customFormat="1" ht="14.4" x14ac:dyDescent="0.3">
      <c r="A694" s="28">
        <v>14065</v>
      </c>
      <c r="B694" s="28" t="s">
        <v>4076</v>
      </c>
      <c r="C694" s="28">
        <v>94486745</v>
      </c>
      <c r="D694" s="28" t="s">
        <v>4077</v>
      </c>
      <c r="E694" s="28" t="s">
        <v>4078</v>
      </c>
      <c r="F694" s="28" t="s">
        <v>4078</v>
      </c>
      <c r="G694" s="28" t="s">
        <v>4079</v>
      </c>
      <c r="H694" s="28" t="s">
        <v>4080</v>
      </c>
      <c r="I694" s="28" t="s">
        <v>4081</v>
      </c>
      <c r="J694" s="28" t="s">
        <v>94</v>
      </c>
      <c r="K694" s="28" t="s">
        <v>318</v>
      </c>
      <c r="L694" s="28" t="s">
        <v>318</v>
      </c>
      <c r="M694" s="28">
        <v>68162</v>
      </c>
      <c r="N694" s="29" t="s">
        <v>996</v>
      </c>
      <c r="O694" s="24">
        <f>VLOOKUP(A694,Hoja1!A:C,3,0)</f>
        <v>16</v>
      </c>
      <c r="P694" s="30" t="str">
        <f>VLOOKUP(M694,[1]TIPOLOGIAS!$A:$F,4,0)</f>
        <v>BUCARAMANGA</v>
      </c>
      <c r="Q694" s="30" t="str">
        <f>VLOOKUP(P694,'BASE TARIFA 2025'!C:D,2,0)</f>
        <v>WOMPI SANTANDERES</v>
      </c>
      <c r="R694" s="31">
        <f>VLOOKUP(P694,'BASE TARIFA 2025'!C:F,4,0)</f>
        <v>15709.5</v>
      </c>
    </row>
    <row r="695" spans="1:18" s="28" customFormat="1" ht="14.4" x14ac:dyDescent="0.3">
      <c r="A695" s="28">
        <v>74776</v>
      </c>
      <c r="B695" s="28" t="s">
        <v>4082</v>
      </c>
      <c r="C695" s="28">
        <v>901356173</v>
      </c>
      <c r="D695" s="28" t="s">
        <v>4083</v>
      </c>
      <c r="E695" s="28" t="s">
        <v>4084</v>
      </c>
      <c r="F695" s="28" t="s">
        <v>4085</v>
      </c>
      <c r="G695" s="28" t="s">
        <v>4086</v>
      </c>
      <c r="H695" s="28" t="s">
        <v>4087</v>
      </c>
      <c r="I695" s="28" t="s">
        <v>4088</v>
      </c>
      <c r="J695" s="28" t="s">
        <v>94</v>
      </c>
      <c r="K695" s="28" t="s">
        <v>318</v>
      </c>
      <c r="L695" s="28" t="s">
        <v>318</v>
      </c>
      <c r="M695" s="28">
        <v>68162</v>
      </c>
      <c r="N695" s="29" t="s">
        <v>996</v>
      </c>
      <c r="O695" s="24" t="e">
        <f>VLOOKUP(A695,Hoja1!A:C,3,0)</f>
        <v>#N/A</v>
      </c>
      <c r="P695" s="30" t="str">
        <f>VLOOKUP(M695,[1]TIPOLOGIAS!$A:$F,4,0)</f>
        <v>BUCARAMANGA</v>
      </c>
      <c r="Q695" s="30" t="str">
        <f>VLOOKUP(P695,'BASE TARIFA 2025'!C:D,2,0)</f>
        <v>WOMPI SANTANDERES</v>
      </c>
      <c r="R695" s="31">
        <f>VLOOKUP(P695,'BASE TARIFA 2025'!C:F,4,0)</f>
        <v>15709.5</v>
      </c>
    </row>
    <row r="696" spans="1:18" s="28" customFormat="1" ht="14.4" x14ac:dyDescent="0.3">
      <c r="A696" s="28">
        <v>45669</v>
      </c>
      <c r="B696" s="28" t="s">
        <v>4089</v>
      </c>
      <c r="C696" s="28">
        <v>901295781</v>
      </c>
      <c r="D696" s="28" t="s">
        <v>4090</v>
      </c>
      <c r="E696" s="28" t="s">
        <v>4090</v>
      </c>
      <c r="F696" s="28" t="s">
        <v>4090</v>
      </c>
      <c r="G696" s="28" t="s">
        <v>4091</v>
      </c>
      <c r="H696" s="28" t="s">
        <v>4092</v>
      </c>
      <c r="I696" s="28" t="s">
        <v>4093</v>
      </c>
      <c r="J696" s="28" t="s">
        <v>94</v>
      </c>
      <c r="K696" s="28" t="s">
        <v>318</v>
      </c>
      <c r="L696" s="28" t="s">
        <v>318</v>
      </c>
      <c r="M696" s="28">
        <v>68162</v>
      </c>
      <c r="N696" s="29" t="s">
        <v>996</v>
      </c>
      <c r="O696" s="24" t="e">
        <f>VLOOKUP(A696,Hoja1!A:C,3,0)</f>
        <v>#N/A</v>
      </c>
      <c r="P696" s="30" t="str">
        <f>VLOOKUP(M696,[1]TIPOLOGIAS!$A:$F,4,0)</f>
        <v>BUCARAMANGA</v>
      </c>
      <c r="Q696" s="30" t="str">
        <f>VLOOKUP(P696,'BASE TARIFA 2025'!C:D,2,0)</f>
        <v>WOMPI SANTANDERES</v>
      </c>
      <c r="R696" s="31">
        <f>VLOOKUP(P696,'BASE TARIFA 2025'!C:F,4,0)</f>
        <v>15709.5</v>
      </c>
    </row>
    <row r="697" spans="1:18" s="28" customFormat="1" ht="14.4" x14ac:dyDescent="0.3">
      <c r="A697" s="28">
        <v>45668</v>
      </c>
      <c r="B697" s="28" t="s">
        <v>4094</v>
      </c>
      <c r="C697" s="28">
        <v>901295781</v>
      </c>
      <c r="D697" s="28" t="s">
        <v>4095</v>
      </c>
      <c r="E697" s="28" t="s">
        <v>4095</v>
      </c>
      <c r="F697" s="28" t="s">
        <v>4096</v>
      </c>
      <c r="G697" s="28" t="s">
        <v>4097</v>
      </c>
      <c r="H697" s="28" t="s">
        <v>4098</v>
      </c>
      <c r="I697" s="28" t="s">
        <v>4099</v>
      </c>
      <c r="J697" s="28" t="s">
        <v>94</v>
      </c>
      <c r="K697" s="28" t="s">
        <v>318</v>
      </c>
      <c r="L697" s="28" t="s">
        <v>318</v>
      </c>
      <c r="M697" s="28">
        <v>68162</v>
      </c>
      <c r="N697" s="29" t="s">
        <v>996</v>
      </c>
      <c r="O697" s="24" t="e">
        <f>VLOOKUP(A697,Hoja1!A:C,3,0)</f>
        <v>#N/A</v>
      </c>
      <c r="P697" s="30" t="str">
        <f>VLOOKUP(M697,[1]TIPOLOGIAS!$A:$F,4,0)</f>
        <v>BUCARAMANGA</v>
      </c>
      <c r="Q697" s="30" t="str">
        <f>VLOOKUP(P697,'BASE TARIFA 2025'!C:D,2,0)</f>
        <v>WOMPI SANTANDERES</v>
      </c>
      <c r="R697" s="31">
        <f>VLOOKUP(P697,'BASE TARIFA 2025'!C:F,4,0)</f>
        <v>15709.5</v>
      </c>
    </row>
    <row r="698" spans="1:18" s="28" customFormat="1" ht="14.4" x14ac:dyDescent="0.3">
      <c r="A698" s="28">
        <v>13140</v>
      </c>
      <c r="B698" s="28" t="s">
        <v>4100</v>
      </c>
      <c r="C698" s="28">
        <v>890201571</v>
      </c>
      <c r="D698" s="28" t="s">
        <v>4101</v>
      </c>
      <c r="E698" s="28" t="s">
        <v>4102</v>
      </c>
      <c r="F698" s="28" t="s">
        <v>4102</v>
      </c>
      <c r="G698" s="28" t="s">
        <v>4103</v>
      </c>
      <c r="H698" s="28" t="s">
        <v>4104</v>
      </c>
      <c r="I698" s="28" t="s">
        <v>4105</v>
      </c>
      <c r="J698" s="28" t="s">
        <v>103</v>
      </c>
      <c r="K698" s="28" t="s">
        <v>4106</v>
      </c>
      <c r="L698" s="28" t="s">
        <v>4106</v>
      </c>
      <c r="M698" s="28">
        <v>73148</v>
      </c>
      <c r="N698" s="29" t="s">
        <v>790</v>
      </c>
      <c r="O698" s="24" t="e">
        <f>VLOOKUP(A698,Hoja1!A:C,3,0)</f>
        <v>#N/A</v>
      </c>
      <c r="P698" s="30" t="str">
        <f>VLOOKUP(M698,[1]TIPOLOGIAS!$A:$F,4,0)</f>
        <v>BOGOTA</v>
      </c>
      <c r="Q698" s="30" t="str">
        <f>VLOOKUP(P698,'BASE TARIFA 2025'!C:D,2,0)</f>
        <v>WOMPI CENTRO</v>
      </c>
      <c r="R698" s="31">
        <f>VLOOKUP(P698,'BASE TARIFA 2025'!C:F,4,0)</f>
        <v>15709.5</v>
      </c>
    </row>
    <row r="699" spans="1:18" s="28" customFormat="1" ht="14.4" x14ac:dyDescent="0.3">
      <c r="A699" s="28">
        <v>17084</v>
      </c>
      <c r="B699" s="28" t="s">
        <v>4107</v>
      </c>
      <c r="C699" s="28">
        <v>63325940</v>
      </c>
      <c r="D699" s="28" t="s">
        <v>4108</v>
      </c>
      <c r="E699" s="28" t="s">
        <v>4109</v>
      </c>
      <c r="F699" s="28" t="s">
        <v>4110</v>
      </c>
      <c r="G699" s="28" t="s">
        <v>4111</v>
      </c>
      <c r="H699" s="28" t="s">
        <v>4112</v>
      </c>
      <c r="I699" s="28" t="s">
        <v>4113</v>
      </c>
      <c r="J699" s="28" t="s">
        <v>103</v>
      </c>
      <c r="K699" s="28" t="s">
        <v>4106</v>
      </c>
      <c r="L699" s="28" t="s">
        <v>4106</v>
      </c>
      <c r="M699" s="28">
        <v>73148</v>
      </c>
      <c r="N699" s="29" t="s">
        <v>790</v>
      </c>
      <c r="O699" s="24" t="e">
        <f>VLOOKUP(A699,Hoja1!A:C,3,0)</f>
        <v>#N/A</v>
      </c>
      <c r="P699" s="30" t="str">
        <f>VLOOKUP(M699,[1]TIPOLOGIAS!$A:$F,4,0)</f>
        <v>BOGOTA</v>
      </c>
      <c r="Q699" s="30" t="str">
        <f>VLOOKUP(P699,'BASE TARIFA 2025'!C:D,2,0)</f>
        <v>WOMPI CENTRO</v>
      </c>
      <c r="R699" s="31">
        <f>VLOOKUP(P699,'BASE TARIFA 2025'!C:F,4,0)</f>
        <v>15709.5</v>
      </c>
    </row>
    <row r="700" spans="1:18" s="28" customFormat="1" ht="14.4" x14ac:dyDescent="0.3">
      <c r="A700" s="28">
        <v>14461</v>
      </c>
      <c r="B700" s="28" t="s">
        <v>4114</v>
      </c>
      <c r="C700" s="28">
        <v>91264647</v>
      </c>
      <c r="D700" s="28" t="s">
        <v>4115</v>
      </c>
      <c r="E700" s="28" t="s">
        <v>4116</v>
      </c>
      <c r="F700" s="28" t="s">
        <v>4116</v>
      </c>
      <c r="G700" s="28" t="s">
        <v>4117</v>
      </c>
      <c r="H700" s="28" t="s">
        <v>4118</v>
      </c>
      <c r="I700" s="28" t="s">
        <v>4119</v>
      </c>
      <c r="J700" s="28" t="s">
        <v>103</v>
      </c>
      <c r="K700" s="28" t="s">
        <v>161</v>
      </c>
      <c r="L700" s="28" t="s">
        <v>161</v>
      </c>
      <c r="M700" s="28">
        <v>73411</v>
      </c>
      <c r="N700" s="29" t="s">
        <v>582</v>
      </c>
      <c r="O700" s="24" t="e">
        <f>VLOOKUP(A700,Hoja1!A:C,3,0)</f>
        <v>#N/A</v>
      </c>
      <c r="P700" s="30" t="str">
        <f>VLOOKUP(M700,[1]TIPOLOGIAS!$A:$F,4,0)</f>
        <v>IBAGUE</v>
      </c>
      <c r="Q700" s="30" t="str">
        <f>VLOOKUP(P700,'BASE TARIFA 2025'!C:D,2,0)</f>
        <v>WOMPI ORIENTE</v>
      </c>
      <c r="R700" s="31">
        <f>VLOOKUP(P700,'BASE TARIFA 2025'!C:F,4,0)</f>
        <v>28277.100000000002</v>
      </c>
    </row>
    <row r="701" spans="1:18" s="28" customFormat="1" ht="14.4" x14ac:dyDescent="0.3">
      <c r="A701" s="28">
        <v>78525</v>
      </c>
      <c r="B701" s="28" t="s">
        <v>4120</v>
      </c>
      <c r="C701" s="28">
        <v>1095820348</v>
      </c>
      <c r="D701" s="28" t="s">
        <v>4121</v>
      </c>
      <c r="E701" s="28" t="s">
        <v>4122</v>
      </c>
      <c r="F701" s="28" t="s">
        <v>4122</v>
      </c>
      <c r="G701" s="28" t="s">
        <v>4123</v>
      </c>
      <c r="H701" s="28" t="s">
        <v>4124</v>
      </c>
      <c r="I701" s="28" t="s">
        <v>4125</v>
      </c>
      <c r="J701" s="28" t="s">
        <v>103</v>
      </c>
      <c r="K701" s="28" t="s">
        <v>161</v>
      </c>
      <c r="L701" s="28" t="s">
        <v>161</v>
      </c>
      <c r="M701" s="28">
        <v>73411</v>
      </c>
      <c r="N701" s="29" t="s">
        <v>582</v>
      </c>
      <c r="O701" s="24" t="e">
        <f>VLOOKUP(A701,Hoja1!A:C,3,0)</f>
        <v>#N/A</v>
      </c>
      <c r="P701" s="30" t="str">
        <f>VLOOKUP(M701,[1]TIPOLOGIAS!$A:$F,4,0)</f>
        <v>IBAGUE</v>
      </c>
      <c r="Q701" s="30" t="str">
        <f>VLOOKUP(P701,'BASE TARIFA 2025'!C:D,2,0)</f>
        <v>WOMPI ORIENTE</v>
      </c>
      <c r="R701" s="31">
        <f>VLOOKUP(P701,'BASE TARIFA 2025'!C:F,4,0)</f>
        <v>28277.100000000002</v>
      </c>
    </row>
    <row r="702" spans="1:18" s="28" customFormat="1" ht="14.4" x14ac:dyDescent="0.3">
      <c r="A702" s="28">
        <v>74166</v>
      </c>
      <c r="B702" s="28" t="s">
        <v>4126</v>
      </c>
      <c r="C702" s="28">
        <v>1095828132</v>
      </c>
      <c r="D702" s="28" t="s">
        <v>4127</v>
      </c>
      <c r="E702" s="28" t="s">
        <v>4128</v>
      </c>
      <c r="F702" s="28" t="s">
        <v>4128</v>
      </c>
      <c r="G702" s="28" t="s">
        <v>4129</v>
      </c>
      <c r="H702" s="28" t="s">
        <v>4130</v>
      </c>
      <c r="I702" s="28" t="s">
        <v>4131</v>
      </c>
      <c r="J702" s="28" t="s">
        <v>103</v>
      </c>
      <c r="K702" s="28" t="s">
        <v>161</v>
      </c>
      <c r="L702" s="28" t="s">
        <v>161</v>
      </c>
      <c r="M702" s="28">
        <v>73411</v>
      </c>
      <c r="N702" s="29" t="s">
        <v>582</v>
      </c>
      <c r="O702" s="24" t="e">
        <f>VLOOKUP(A702,Hoja1!A:C,3,0)</f>
        <v>#N/A</v>
      </c>
      <c r="P702" s="30" t="str">
        <f>VLOOKUP(M702,[1]TIPOLOGIAS!$A:$F,4,0)</f>
        <v>IBAGUE</v>
      </c>
      <c r="Q702" s="30" t="str">
        <f>VLOOKUP(P702,'BASE TARIFA 2025'!C:D,2,0)</f>
        <v>WOMPI ORIENTE</v>
      </c>
      <c r="R702" s="31">
        <f>VLOOKUP(P702,'BASE TARIFA 2025'!C:F,4,0)</f>
        <v>28277.100000000002</v>
      </c>
    </row>
    <row r="703" spans="1:18" s="28" customFormat="1" ht="14.4" x14ac:dyDescent="0.3">
      <c r="A703" s="28">
        <v>74054</v>
      </c>
      <c r="B703" s="28" t="s">
        <v>4132</v>
      </c>
      <c r="C703" s="28">
        <v>93400268</v>
      </c>
      <c r="D703" s="28" t="s">
        <v>69</v>
      </c>
      <c r="E703" s="28" t="s">
        <v>4133</v>
      </c>
      <c r="F703" s="28" t="s">
        <v>4133</v>
      </c>
      <c r="G703" s="28" t="s">
        <v>4134</v>
      </c>
      <c r="H703" s="28" t="s">
        <v>4135</v>
      </c>
      <c r="I703" s="28" t="s">
        <v>4136</v>
      </c>
      <c r="J703" s="28" t="s">
        <v>103</v>
      </c>
      <c r="K703" s="28" t="s">
        <v>161</v>
      </c>
      <c r="L703" s="28" t="s">
        <v>161</v>
      </c>
      <c r="M703" s="28">
        <v>73411</v>
      </c>
      <c r="N703" s="29" t="s">
        <v>582</v>
      </c>
      <c r="O703" s="24" t="e">
        <f>VLOOKUP(A703,Hoja1!A:C,3,0)</f>
        <v>#N/A</v>
      </c>
      <c r="P703" s="30" t="str">
        <f>VLOOKUP(M703,[1]TIPOLOGIAS!$A:$F,4,0)</f>
        <v>IBAGUE</v>
      </c>
      <c r="Q703" s="30" t="str">
        <f>VLOOKUP(P703,'BASE TARIFA 2025'!C:D,2,0)</f>
        <v>WOMPI ORIENTE</v>
      </c>
      <c r="R703" s="31">
        <f>VLOOKUP(P703,'BASE TARIFA 2025'!C:F,4,0)</f>
        <v>28277.100000000002</v>
      </c>
    </row>
    <row r="704" spans="1:18" s="28" customFormat="1" ht="14.4" x14ac:dyDescent="0.3">
      <c r="A704" s="28">
        <v>67350</v>
      </c>
      <c r="B704" s="28" t="s">
        <v>4137</v>
      </c>
      <c r="C704" s="28">
        <v>1093779674</v>
      </c>
      <c r="D704" s="28" t="s">
        <v>69</v>
      </c>
      <c r="E704" s="28" t="s">
        <v>4138</v>
      </c>
      <c r="F704" s="28" t="s">
        <v>4138</v>
      </c>
      <c r="G704" s="28" t="s">
        <v>4139</v>
      </c>
      <c r="H704" s="28" t="s">
        <v>4140</v>
      </c>
      <c r="I704" s="28" t="s">
        <v>4141</v>
      </c>
      <c r="J704" s="28" t="s">
        <v>103</v>
      </c>
      <c r="K704" s="28" t="s">
        <v>161</v>
      </c>
      <c r="L704" s="28" t="s">
        <v>161</v>
      </c>
      <c r="M704" s="28">
        <v>73411</v>
      </c>
      <c r="N704" s="29" t="s">
        <v>716</v>
      </c>
      <c r="O704" s="24" t="e">
        <f>VLOOKUP(A704,Hoja1!A:C,3,0)</f>
        <v>#N/A</v>
      </c>
      <c r="P704" s="30" t="str">
        <f>VLOOKUP(M704,[1]TIPOLOGIAS!$A:$F,4,0)</f>
        <v>IBAGUE</v>
      </c>
      <c r="Q704" s="30" t="str">
        <f>VLOOKUP(P704,'BASE TARIFA 2025'!C:D,2,0)</f>
        <v>WOMPI ORIENTE</v>
      </c>
      <c r="R704" s="31">
        <f>VLOOKUP(P704,'BASE TARIFA 2025'!C:F,4,0)</f>
        <v>28277.100000000002</v>
      </c>
    </row>
    <row r="705" spans="1:18" s="28" customFormat="1" ht="14.4" x14ac:dyDescent="0.3">
      <c r="A705" s="28">
        <v>45683</v>
      </c>
      <c r="B705" s="28" t="s">
        <v>4142</v>
      </c>
      <c r="C705" s="28">
        <v>63451250</v>
      </c>
      <c r="D705" s="28" t="s">
        <v>4143</v>
      </c>
      <c r="E705" s="28" t="s">
        <v>4144</v>
      </c>
      <c r="F705" s="28" t="s">
        <v>4144</v>
      </c>
      <c r="G705" s="28" t="s">
        <v>4145</v>
      </c>
      <c r="H705" s="28" t="s">
        <v>4146</v>
      </c>
      <c r="I705" s="28" t="s">
        <v>4147</v>
      </c>
      <c r="J705" s="28" t="s">
        <v>103</v>
      </c>
      <c r="K705" s="28" t="s">
        <v>161</v>
      </c>
      <c r="L705" s="28" t="s">
        <v>161</v>
      </c>
      <c r="M705" s="28">
        <v>73411</v>
      </c>
      <c r="N705" s="29" t="s">
        <v>582</v>
      </c>
      <c r="O705" s="24" t="e">
        <f>VLOOKUP(A705,Hoja1!A:C,3,0)</f>
        <v>#N/A</v>
      </c>
      <c r="P705" s="30" t="str">
        <f>VLOOKUP(M705,[1]TIPOLOGIAS!$A:$F,4,0)</f>
        <v>IBAGUE</v>
      </c>
      <c r="Q705" s="30" t="str">
        <f>VLOOKUP(P705,'BASE TARIFA 2025'!C:D,2,0)</f>
        <v>WOMPI ORIENTE</v>
      </c>
      <c r="R705" s="31">
        <f>VLOOKUP(P705,'BASE TARIFA 2025'!C:F,4,0)</f>
        <v>28277.100000000002</v>
      </c>
    </row>
    <row r="706" spans="1:18" s="28" customFormat="1" ht="14.4" x14ac:dyDescent="0.3">
      <c r="A706" s="28">
        <v>36258</v>
      </c>
      <c r="B706" s="28" t="s">
        <v>4148</v>
      </c>
      <c r="C706" s="28">
        <v>1093779674</v>
      </c>
      <c r="D706" s="28" t="s">
        <v>4149</v>
      </c>
      <c r="E706" s="28" t="s">
        <v>4149</v>
      </c>
      <c r="F706" s="28" t="s">
        <v>4149</v>
      </c>
      <c r="G706" s="28" t="s">
        <v>4150</v>
      </c>
      <c r="H706" s="28" t="s">
        <v>4151</v>
      </c>
      <c r="I706" s="28" t="s">
        <v>4152</v>
      </c>
      <c r="J706" s="28" t="s">
        <v>103</v>
      </c>
      <c r="K706" s="28" t="s">
        <v>4153</v>
      </c>
      <c r="L706" s="28" t="s">
        <v>4153</v>
      </c>
      <c r="M706" s="28">
        <v>73449</v>
      </c>
      <c r="N706" s="29" t="s">
        <v>1159</v>
      </c>
      <c r="O706" s="24" t="e">
        <f>VLOOKUP(A706,Hoja1!A:C,3,0)</f>
        <v>#N/A</v>
      </c>
      <c r="P706" s="30" t="str">
        <f>VLOOKUP(M706,[1]TIPOLOGIAS!$A:$F,4,0)</f>
        <v>BOGOTA</v>
      </c>
      <c r="Q706" s="30" t="str">
        <f>VLOOKUP(P706,'BASE TARIFA 2025'!C:D,2,0)</f>
        <v>WOMPI CENTRO</v>
      </c>
      <c r="R706" s="31">
        <f>VLOOKUP(P706,'BASE TARIFA 2025'!C:F,4,0)</f>
        <v>15709.5</v>
      </c>
    </row>
    <row r="707" spans="1:18" s="28" customFormat="1" ht="14.4" x14ac:dyDescent="0.3">
      <c r="A707" s="28">
        <v>39812</v>
      </c>
      <c r="B707" s="28" t="s">
        <v>4154</v>
      </c>
      <c r="C707" s="28">
        <v>79119751</v>
      </c>
      <c r="D707" s="28" t="s">
        <v>4155</v>
      </c>
      <c r="E707" s="28" t="s">
        <v>69</v>
      </c>
      <c r="F707" s="28" t="s">
        <v>4155</v>
      </c>
      <c r="G707" s="28" t="s">
        <v>4156</v>
      </c>
      <c r="H707" s="28" t="s">
        <v>4157</v>
      </c>
      <c r="I707" s="28" t="s">
        <v>4158</v>
      </c>
      <c r="J707" s="28" t="s">
        <v>103</v>
      </c>
      <c r="K707" s="28" t="s">
        <v>4153</v>
      </c>
      <c r="L707" s="28" t="s">
        <v>4153</v>
      </c>
      <c r="M707" s="28">
        <v>73449</v>
      </c>
      <c r="N707" s="29" t="s">
        <v>1159</v>
      </c>
      <c r="O707" s="24" t="e">
        <f>VLOOKUP(A707,Hoja1!A:C,3,0)</f>
        <v>#N/A</v>
      </c>
      <c r="P707" s="30" t="str">
        <f>VLOOKUP(M707,[1]TIPOLOGIAS!$A:$F,4,0)</f>
        <v>BOGOTA</v>
      </c>
      <c r="Q707" s="30" t="str">
        <f>VLOOKUP(P707,'BASE TARIFA 2025'!C:D,2,0)</f>
        <v>WOMPI CENTRO</v>
      </c>
      <c r="R707" s="31">
        <f>VLOOKUP(P707,'BASE TARIFA 2025'!C:F,4,0)</f>
        <v>15709.5</v>
      </c>
    </row>
    <row r="708" spans="1:18" s="28" customFormat="1" ht="14.4" x14ac:dyDescent="0.3">
      <c r="A708" s="28">
        <v>60871</v>
      </c>
      <c r="B708" s="28" t="s">
        <v>4159</v>
      </c>
      <c r="C708" s="28">
        <v>52759529</v>
      </c>
      <c r="D708" s="28" t="s">
        <v>4160</v>
      </c>
      <c r="E708" s="28" t="s">
        <v>4160</v>
      </c>
      <c r="F708" s="28" t="s">
        <v>4160</v>
      </c>
      <c r="G708" s="28" t="s">
        <v>4161</v>
      </c>
      <c r="H708" s="28" t="s">
        <v>4162</v>
      </c>
      <c r="I708" s="28" t="s">
        <v>4163</v>
      </c>
      <c r="J708" s="28" t="s">
        <v>103</v>
      </c>
      <c r="K708" s="28" t="s">
        <v>4153</v>
      </c>
      <c r="L708" s="28" t="s">
        <v>4153</v>
      </c>
      <c r="M708" s="28">
        <v>73449</v>
      </c>
      <c r="N708" s="29" t="s">
        <v>1159</v>
      </c>
      <c r="O708" s="24">
        <f>VLOOKUP(A708,Hoja1!A:C,3,0)</f>
        <v>8</v>
      </c>
      <c r="P708" s="30" t="str">
        <f>VLOOKUP(M708,[1]TIPOLOGIAS!$A:$F,4,0)</f>
        <v>BOGOTA</v>
      </c>
      <c r="Q708" s="30" t="str">
        <f>VLOOKUP(P708,'BASE TARIFA 2025'!C:D,2,0)</f>
        <v>WOMPI CENTRO</v>
      </c>
      <c r="R708" s="31">
        <f>VLOOKUP(P708,'BASE TARIFA 2025'!C:F,4,0)</f>
        <v>15709.5</v>
      </c>
    </row>
    <row r="709" spans="1:18" s="28" customFormat="1" ht="14.4" x14ac:dyDescent="0.3">
      <c r="A709" s="28">
        <v>60881</v>
      </c>
      <c r="B709" s="28" t="s">
        <v>4164</v>
      </c>
      <c r="C709" s="28">
        <v>1092385991</v>
      </c>
      <c r="D709" s="28" t="s">
        <v>4165</v>
      </c>
      <c r="E709" s="28" t="s">
        <v>69</v>
      </c>
      <c r="F709" s="28" t="s">
        <v>4165</v>
      </c>
      <c r="G709" s="28" t="s">
        <v>4166</v>
      </c>
      <c r="H709" s="28" t="s">
        <v>4167</v>
      </c>
      <c r="I709" s="28" t="s">
        <v>4168</v>
      </c>
      <c r="J709" s="28" t="s">
        <v>103</v>
      </c>
      <c r="K709" s="28" t="s">
        <v>4153</v>
      </c>
      <c r="L709" s="28" t="s">
        <v>4153</v>
      </c>
      <c r="M709" s="28">
        <v>73449</v>
      </c>
      <c r="N709" s="29" t="s">
        <v>1159</v>
      </c>
      <c r="O709" s="24">
        <f>VLOOKUP(A709,Hoja1!A:C,3,0)</f>
        <v>8</v>
      </c>
      <c r="P709" s="30" t="str">
        <f>VLOOKUP(M709,[1]TIPOLOGIAS!$A:$F,4,0)</f>
        <v>BOGOTA</v>
      </c>
      <c r="Q709" s="30" t="str">
        <f>VLOOKUP(P709,'BASE TARIFA 2025'!C:D,2,0)</f>
        <v>WOMPI CENTRO</v>
      </c>
      <c r="R709" s="31">
        <f>VLOOKUP(P709,'BASE TARIFA 2025'!C:F,4,0)</f>
        <v>15709.5</v>
      </c>
    </row>
    <row r="710" spans="1:18" s="28" customFormat="1" ht="14.4" x14ac:dyDescent="0.3">
      <c r="A710" s="28">
        <v>60126</v>
      </c>
      <c r="B710" s="28" t="s">
        <v>4169</v>
      </c>
      <c r="C710" s="28">
        <v>38943721</v>
      </c>
      <c r="D710" s="28" t="s">
        <v>4170</v>
      </c>
      <c r="E710" s="28" t="s">
        <v>4170</v>
      </c>
      <c r="F710" s="28" t="s">
        <v>4170</v>
      </c>
      <c r="G710" s="28" t="s">
        <v>4171</v>
      </c>
      <c r="H710" s="28" t="s">
        <v>4172</v>
      </c>
      <c r="I710" s="28" t="s">
        <v>4173</v>
      </c>
      <c r="J710" s="28" t="s">
        <v>103</v>
      </c>
      <c r="K710" s="28" t="s">
        <v>4153</v>
      </c>
      <c r="L710" s="28" t="s">
        <v>4153</v>
      </c>
      <c r="M710" s="28">
        <v>73449</v>
      </c>
      <c r="N710" s="29" t="s">
        <v>1159</v>
      </c>
      <c r="O710" s="24">
        <f>VLOOKUP(A710,Hoja1!A:C,3,0)</f>
        <v>8</v>
      </c>
      <c r="P710" s="30" t="str">
        <f>VLOOKUP(M710,[1]TIPOLOGIAS!$A:$F,4,0)</f>
        <v>BOGOTA</v>
      </c>
      <c r="Q710" s="30" t="str">
        <f>VLOOKUP(P710,'BASE TARIFA 2025'!C:D,2,0)</f>
        <v>WOMPI CENTRO</v>
      </c>
      <c r="R710" s="31">
        <f>VLOOKUP(P710,'BASE TARIFA 2025'!C:F,4,0)</f>
        <v>15709.5</v>
      </c>
    </row>
    <row r="711" spans="1:18" s="28" customFormat="1" ht="14.4" x14ac:dyDescent="0.3">
      <c r="A711" s="28">
        <v>60148</v>
      </c>
      <c r="B711" s="28" t="s">
        <v>4174</v>
      </c>
      <c r="C711" s="28">
        <v>80894393</v>
      </c>
      <c r="D711" s="28" t="s">
        <v>72</v>
      </c>
      <c r="E711" s="28" t="s">
        <v>4175</v>
      </c>
      <c r="F711" s="28" t="s">
        <v>4175</v>
      </c>
      <c r="G711" s="28" t="s">
        <v>4176</v>
      </c>
      <c r="H711" s="28" t="s">
        <v>4177</v>
      </c>
      <c r="I711" s="28" t="s">
        <v>4178</v>
      </c>
      <c r="J711" s="28" t="s">
        <v>103</v>
      </c>
      <c r="K711" s="28" t="s">
        <v>4179</v>
      </c>
      <c r="L711" s="28" t="s">
        <v>4179</v>
      </c>
      <c r="M711" s="28">
        <v>73547</v>
      </c>
      <c r="N711" s="29" t="s">
        <v>553</v>
      </c>
      <c r="O711" s="24">
        <f>VLOOKUP(A711,Hoja1!A:C,3,0)</f>
        <v>16</v>
      </c>
      <c r="P711" s="30" t="str">
        <f>VLOOKUP(M711,[1]TIPOLOGIAS!$A:$F,4,0)</f>
        <v>IBAGUE</v>
      </c>
      <c r="Q711" s="30" t="str">
        <f>VLOOKUP(P711,'BASE TARIFA 2025'!C:D,2,0)</f>
        <v>WOMPI ORIENTE</v>
      </c>
      <c r="R711" s="31">
        <f>VLOOKUP(P711,'BASE TARIFA 2025'!C:F,4,0)</f>
        <v>28277.100000000002</v>
      </c>
    </row>
    <row r="712" spans="1:18" s="28" customFormat="1" ht="14.4" x14ac:dyDescent="0.3">
      <c r="A712" s="28">
        <v>60507</v>
      </c>
      <c r="B712" s="28" t="s">
        <v>4180</v>
      </c>
      <c r="C712" s="28">
        <v>1026259444</v>
      </c>
      <c r="D712" s="28" t="s">
        <v>4181</v>
      </c>
      <c r="E712" s="28" t="s">
        <v>4182</v>
      </c>
      <c r="F712" s="28" t="s">
        <v>4182</v>
      </c>
      <c r="G712" s="28" t="s">
        <v>4183</v>
      </c>
      <c r="H712" s="28" t="s">
        <v>4184</v>
      </c>
      <c r="I712" s="28" t="s">
        <v>4185</v>
      </c>
      <c r="J712" s="28" t="s">
        <v>110</v>
      </c>
      <c r="K712" s="28" t="s">
        <v>215</v>
      </c>
      <c r="L712" s="28" t="s">
        <v>215</v>
      </c>
      <c r="M712" s="28">
        <v>76306</v>
      </c>
      <c r="N712" s="29" t="s">
        <v>589</v>
      </c>
      <c r="O712" s="24">
        <f>VLOOKUP(A712,Hoja1!A:C,3,0)</f>
        <v>8</v>
      </c>
      <c r="P712" s="30" t="str">
        <f>VLOOKUP(M712,[1]TIPOLOGIAS!$A:$F,4,0)</f>
        <v>CALI</v>
      </c>
      <c r="Q712" s="30" t="str">
        <f>VLOOKUP(P712,'BASE TARIFA 2025'!C:D,2,0)</f>
        <v>WOMPI SUROCCIDENTE</v>
      </c>
      <c r="R712" s="31">
        <f>VLOOKUP(P712,'BASE TARIFA 2025'!C:F,4,0)</f>
        <v>15709.5</v>
      </c>
    </row>
    <row r="713" spans="1:18" s="28" customFormat="1" ht="14.4" x14ac:dyDescent="0.3">
      <c r="A713" s="28">
        <v>60681</v>
      </c>
      <c r="B713" s="28" t="s">
        <v>4186</v>
      </c>
      <c r="C713" s="28">
        <v>900242173</v>
      </c>
      <c r="D713" s="28" t="s">
        <v>4187</v>
      </c>
      <c r="E713" s="28" t="s">
        <v>4187</v>
      </c>
      <c r="F713" s="28" t="s">
        <v>4188</v>
      </c>
      <c r="G713" s="28" t="s">
        <v>4189</v>
      </c>
      <c r="H713" s="28" t="s">
        <v>4190</v>
      </c>
      <c r="I713" s="28" t="s">
        <v>4191</v>
      </c>
      <c r="J713" s="28" t="s">
        <v>110</v>
      </c>
      <c r="K713" s="28" t="s">
        <v>215</v>
      </c>
      <c r="L713" s="28" t="s">
        <v>215</v>
      </c>
      <c r="M713" s="28">
        <v>76306</v>
      </c>
      <c r="N713" s="29" t="s">
        <v>589</v>
      </c>
      <c r="O713" s="24">
        <f>VLOOKUP(A713,Hoja1!A:C,3,0)</f>
        <v>8</v>
      </c>
      <c r="P713" s="30" t="str">
        <f>VLOOKUP(M713,[1]TIPOLOGIAS!$A:$F,4,0)</f>
        <v>CALI</v>
      </c>
      <c r="Q713" s="30" t="str">
        <f>VLOOKUP(P713,'BASE TARIFA 2025'!C:D,2,0)</f>
        <v>WOMPI SUROCCIDENTE</v>
      </c>
      <c r="R713" s="31">
        <f>VLOOKUP(P713,'BASE TARIFA 2025'!C:F,4,0)</f>
        <v>15709.5</v>
      </c>
    </row>
    <row r="714" spans="1:18" s="28" customFormat="1" ht="14.4" x14ac:dyDescent="0.3">
      <c r="A714" s="28">
        <v>58951</v>
      </c>
      <c r="B714" s="28" t="s">
        <v>4192</v>
      </c>
      <c r="C714" s="28">
        <v>1143871872</v>
      </c>
      <c r="D714" s="28" t="s">
        <v>4193</v>
      </c>
      <c r="E714" s="28" t="s">
        <v>4193</v>
      </c>
      <c r="F714" s="28" t="s">
        <v>4193</v>
      </c>
      <c r="G714" s="28" t="s">
        <v>4194</v>
      </c>
      <c r="H714" s="28" t="s">
        <v>4195</v>
      </c>
      <c r="I714" s="28" t="s">
        <v>4196</v>
      </c>
      <c r="J714" s="28" t="s">
        <v>67</v>
      </c>
      <c r="K714" s="28" t="s">
        <v>185</v>
      </c>
      <c r="L714" s="28" t="s">
        <v>185</v>
      </c>
      <c r="M714" s="28">
        <v>5088</v>
      </c>
      <c r="N714" s="29" t="s">
        <v>716</v>
      </c>
      <c r="O714" s="24">
        <f>VLOOKUP(A714,Hoja1!A:C,3,0)</f>
        <v>8</v>
      </c>
      <c r="P714" s="30" t="str">
        <f>VLOOKUP(M714,[1]TIPOLOGIAS!$A:$F,4,0)</f>
        <v>MEDELLIN</v>
      </c>
      <c r="Q714" s="30" t="str">
        <f>VLOOKUP(P714,'BASE TARIFA 2025'!C:D,2,0)</f>
        <v>WOMPI NOROCCIDENTE</v>
      </c>
      <c r="R714" s="31">
        <f>VLOOKUP(P714,'BASE TARIFA 2025'!C:F,4,0)</f>
        <v>15709.5</v>
      </c>
    </row>
    <row r="715" spans="1:18" s="28" customFormat="1" ht="14.4" x14ac:dyDescent="0.3">
      <c r="A715" s="28">
        <v>59062</v>
      </c>
      <c r="B715" s="28" t="s">
        <v>4197</v>
      </c>
      <c r="C715" s="28">
        <v>9867832</v>
      </c>
      <c r="D715" s="28" t="s">
        <v>4198</v>
      </c>
      <c r="E715" s="28" t="s">
        <v>4199</v>
      </c>
      <c r="F715" s="28" t="s">
        <v>4199</v>
      </c>
      <c r="G715" s="28" t="s">
        <v>4200</v>
      </c>
      <c r="H715" s="28" t="s">
        <v>4201</v>
      </c>
      <c r="I715" s="28" t="s">
        <v>4202</v>
      </c>
      <c r="J715" s="28" t="s">
        <v>92</v>
      </c>
      <c r="K715" s="28" t="s">
        <v>157</v>
      </c>
      <c r="L715" s="28" t="s">
        <v>157</v>
      </c>
      <c r="M715" s="28">
        <v>54001</v>
      </c>
      <c r="N715" s="29" t="s">
        <v>1173</v>
      </c>
      <c r="O715" s="24">
        <f>VLOOKUP(A715,Hoja1!A:C,3,0)</f>
        <v>8</v>
      </c>
      <c r="P715" s="30" t="str">
        <f>VLOOKUP(M715,[1]TIPOLOGIAS!$A:$F,4,0)</f>
        <v>CUCUTA</v>
      </c>
      <c r="Q715" s="30" t="str">
        <f>VLOOKUP(P715,'BASE TARIFA 2025'!C:D,2,0)</f>
        <v>WOMPI SANTANDERES</v>
      </c>
      <c r="R715" s="31">
        <f>VLOOKUP(P715,'BASE TARIFA 2025'!C:F,4,0)</f>
        <v>28277.100000000002</v>
      </c>
    </row>
    <row r="716" spans="1:18" s="28" customFormat="1" ht="14.4" x14ac:dyDescent="0.3">
      <c r="A716" s="28">
        <v>61293</v>
      </c>
      <c r="B716" s="28" t="s">
        <v>4203</v>
      </c>
      <c r="C716" s="28">
        <v>1033739678</v>
      </c>
      <c r="D716" s="28" t="s">
        <v>4204</v>
      </c>
      <c r="E716" s="28" t="s">
        <v>4205</v>
      </c>
      <c r="F716" s="28" t="s">
        <v>4205</v>
      </c>
      <c r="G716" s="28" t="s">
        <v>4206</v>
      </c>
      <c r="H716" s="28" t="s">
        <v>4207</v>
      </c>
      <c r="I716" s="28" t="s">
        <v>4208</v>
      </c>
      <c r="J716" s="28" t="s">
        <v>92</v>
      </c>
      <c r="K716" s="28" t="s">
        <v>157</v>
      </c>
      <c r="L716" s="28" t="s">
        <v>157</v>
      </c>
      <c r="M716" s="28">
        <v>54001</v>
      </c>
      <c r="N716" s="29" t="s">
        <v>1173</v>
      </c>
      <c r="O716" s="24">
        <f>VLOOKUP(A716,Hoja1!A:C,3,0)</f>
        <v>8</v>
      </c>
      <c r="P716" s="30" t="str">
        <f>VLOOKUP(M716,[1]TIPOLOGIAS!$A:$F,4,0)</f>
        <v>CUCUTA</v>
      </c>
      <c r="Q716" s="30" t="str">
        <f>VLOOKUP(P716,'BASE TARIFA 2025'!C:D,2,0)</f>
        <v>WOMPI SANTANDERES</v>
      </c>
      <c r="R716" s="31">
        <f>VLOOKUP(P716,'BASE TARIFA 2025'!C:F,4,0)</f>
        <v>28277.100000000002</v>
      </c>
    </row>
    <row r="717" spans="1:18" s="28" customFormat="1" ht="14.4" x14ac:dyDescent="0.3">
      <c r="A717" s="28">
        <v>62211</v>
      </c>
      <c r="B717" s="28" t="s">
        <v>4209</v>
      </c>
      <c r="C717" s="28">
        <v>53115973</v>
      </c>
      <c r="D717" s="28" t="s">
        <v>4210</v>
      </c>
      <c r="E717" s="28" t="s">
        <v>4211</v>
      </c>
      <c r="F717" s="28" t="s">
        <v>4212</v>
      </c>
      <c r="G717" s="28" t="s">
        <v>4213</v>
      </c>
      <c r="H717" s="28" t="s">
        <v>4214</v>
      </c>
      <c r="I717" s="28" t="s">
        <v>4215</v>
      </c>
      <c r="J717" s="28" t="s">
        <v>92</v>
      </c>
      <c r="K717" s="28" t="s">
        <v>157</v>
      </c>
      <c r="L717" s="28" t="s">
        <v>157</v>
      </c>
      <c r="M717" s="28">
        <v>54001</v>
      </c>
      <c r="N717" s="29" t="s">
        <v>1173</v>
      </c>
      <c r="O717" s="24">
        <f>VLOOKUP(A717,Hoja1!A:C,3,0)</f>
        <v>8</v>
      </c>
      <c r="P717" s="30" t="str">
        <f>VLOOKUP(M717,[1]TIPOLOGIAS!$A:$F,4,0)</f>
        <v>CUCUTA</v>
      </c>
      <c r="Q717" s="30" t="str">
        <f>VLOOKUP(P717,'BASE TARIFA 2025'!C:D,2,0)</f>
        <v>WOMPI SANTANDERES</v>
      </c>
      <c r="R717" s="31">
        <f>VLOOKUP(P717,'BASE TARIFA 2025'!C:F,4,0)</f>
        <v>28277.100000000002</v>
      </c>
    </row>
    <row r="718" spans="1:18" s="28" customFormat="1" ht="14.4" x14ac:dyDescent="0.3">
      <c r="A718" s="28">
        <v>62351</v>
      </c>
      <c r="B718" s="28" t="s">
        <v>4216</v>
      </c>
      <c r="C718" s="28">
        <v>51725221</v>
      </c>
      <c r="D718" s="28" t="s">
        <v>72</v>
      </c>
      <c r="E718" s="28" t="s">
        <v>4217</v>
      </c>
      <c r="F718" s="28" t="s">
        <v>4218</v>
      </c>
      <c r="G718" s="28" t="s">
        <v>4219</v>
      </c>
      <c r="H718" s="28" t="s">
        <v>4220</v>
      </c>
      <c r="I718" s="28" t="s">
        <v>4221</v>
      </c>
      <c r="J718" s="28" t="s">
        <v>92</v>
      </c>
      <c r="K718" s="28" t="s">
        <v>157</v>
      </c>
      <c r="L718" s="28" t="s">
        <v>157</v>
      </c>
      <c r="M718" s="28">
        <v>54001</v>
      </c>
      <c r="N718" s="29" t="s">
        <v>1173</v>
      </c>
      <c r="O718" s="24">
        <f>VLOOKUP(A718,Hoja1!A:C,3,0)</f>
        <v>8</v>
      </c>
      <c r="P718" s="30" t="str">
        <f>VLOOKUP(M718,[1]TIPOLOGIAS!$A:$F,4,0)</f>
        <v>CUCUTA</v>
      </c>
      <c r="Q718" s="30" t="str">
        <f>VLOOKUP(P718,'BASE TARIFA 2025'!C:D,2,0)</f>
        <v>WOMPI SANTANDERES</v>
      </c>
      <c r="R718" s="31">
        <f>VLOOKUP(P718,'BASE TARIFA 2025'!C:F,4,0)</f>
        <v>28277.100000000002</v>
      </c>
    </row>
    <row r="719" spans="1:18" s="28" customFormat="1" ht="14.4" x14ac:dyDescent="0.3">
      <c r="A719" s="28">
        <v>62354</v>
      </c>
      <c r="B719" s="28" t="s">
        <v>4222</v>
      </c>
      <c r="C719" s="28">
        <v>52474592</v>
      </c>
      <c r="D719" s="28" t="s">
        <v>4223</v>
      </c>
      <c r="E719" s="28" t="s">
        <v>4224</v>
      </c>
      <c r="F719" s="28" t="s">
        <v>4225</v>
      </c>
      <c r="G719" s="28" t="s">
        <v>4226</v>
      </c>
      <c r="H719" s="28" t="s">
        <v>4227</v>
      </c>
      <c r="I719" s="28" t="s">
        <v>4228</v>
      </c>
      <c r="J719" s="28" t="s">
        <v>92</v>
      </c>
      <c r="K719" s="28" t="s">
        <v>157</v>
      </c>
      <c r="L719" s="28" t="s">
        <v>157</v>
      </c>
      <c r="M719" s="28">
        <v>54001</v>
      </c>
      <c r="N719" s="29" t="s">
        <v>1159</v>
      </c>
      <c r="O719" s="24">
        <f>VLOOKUP(A719,Hoja1!A:C,3,0)</f>
        <v>16</v>
      </c>
      <c r="P719" s="30" t="str">
        <f>VLOOKUP(M719,[1]TIPOLOGIAS!$A:$F,4,0)</f>
        <v>CUCUTA</v>
      </c>
      <c r="Q719" s="30" t="str">
        <f>VLOOKUP(P719,'BASE TARIFA 2025'!C:D,2,0)</f>
        <v>WOMPI SANTANDERES</v>
      </c>
      <c r="R719" s="31">
        <f>VLOOKUP(P719,'BASE TARIFA 2025'!C:F,4,0)</f>
        <v>28277.100000000002</v>
      </c>
    </row>
    <row r="720" spans="1:18" s="28" customFormat="1" ht="14.4" x14ac:dyDescent="0.3">
      <c r="A720" s="28">
        <v>62364</v>
      </c>
      <c r="B720" s="28" t="s">
        <v>4229</v>
      </c>
      <c r="C720" s="28">
        <v>1127341880</v>
      </c>
      <c r="D720" s="28" t="s">
        <v>128</v>
      </c>
      <c r="E720" s="28" t="s">
        <v>3530</v>
      </c>
      <c r="F720" s="28" t="s">
        <v>3530</v>
      </c>
      <c r="G720" s="28" t="s">
        <v>4230</v>
      </c>
      <c r="H720" s="28" t="s">
        <v>4231</v>
      </c>
      <c r="I720" s="28" t="s">
        <v>4232</v>
      </c>
      <c r="J720" s="28" t="s">
        <v>92</v>
      </c>
      <c r="K720" s="28" t="s">
        <v>157</v>
      </c>
      <c r="L720" s="28" t="s">
        <v>157</v>
      </c>
      <c r="M720" s="28">
        <v>54001</v>
      </c>
      <c r="N720" s="29" t="s">
        <v>744</v>
      </c>
      <c r="O720" s="24">
        <f>VLOOKUP(A720,Hoja1!A:C,3,0)</f>
        <v>8</v>
      </c>
      <c r="P720" s="30" t="str">
        <f>VLOOKUP(M720,[1]TIPOLOGIAS!$A:$F,4,0)</f>
        <v>CUCUTA</v>
      </c>
      <c r="Q720" s="30" t="str">
        <f>VLOOKUP(P720,'BASE TARIFA 2025'!C:D,2,0)</f>
        <v>WOMPI SANTANDERES</v>
      </c>
      <c r="R720" s="31">
        <f>VLOOKUP(P720,'BASE TARIFA 2025'!C:F,4,0)</f>
        <v>28277.100000000002</v>
      </c>
    </row>
    <row r="721" spans="1:18" s="28" customFormat="1" ht="14.4" x14ac:dyDescent="0.3">
      <c r="A721" s="28">
        <v>63161</v>
      </c>
      <c r="B721" s="28" t="s">
        <v>4233</v>
      </c>
      <c r="C721" s="28">
        <v>66977059</v>
      </c>
      <c r="D721" s="28" t="s">
        <v>4234</v>
      </c>
      <c r="E721" s="28" t="s">
        <v>4235</v>
      </c>
      <c r="F721" s="28" t="s">
        <v>4235</v>
      </c>
      <c r="G721" s="28" t="s">
        <v>4236</v>
      </c>
      <c r="H721" s="28" t="s">
        <v>4237</v>
      </c>
      <c r="I721" s="28" t="s">
        <v>4238</v>
      </c>
      <c r="J721" s="28" t="s">
        <v>92</v>
      </c>
      <c r="K721" s="28" t="s">
        <v>157</v>
      </c>
      <c r="L721" s="28" t="s">
        <v>157</v>
      </c>
      <c r="M721" s="28">
        <v>54001</v>
      </c>
      <c r="N721" s="29" t="s">
        <v>1159</v>
      </c>
      <c r="O721" s="24">
        <f>VLOOKUP(A721,Hoja1!A:C,3,0)</f>
        <v>8</v>
      </c>
      <c r="P721" s="30" t="str">
        <f>VLOOKUP(M721,[1]TIPOLOGIAS!$A:$F,4,0)</f>
        <v>CUCUTA</v>
      </c>
      <c r="Q721" s="30" t="str">
        <f>VLOOKUP(P721,'BASE TARIFA 2025'!C:D,2,0)</f>
        <v>WOMPI SANTANDERES</v>
      </c>
      <c r="R721" s="31">
        <f>VLOOKUP(P721,'BASE TARIFA 2025'!C:F,4,0)</f>
        <v>28277.100000000002</v>
      </c>
    </row>
    <row r="722" spans="1:18" s="28" customFormat="1" ht="14.4" x14ac:dyDescent="0.3">
      <c r="A722" s="28">
        <v>63474</v>
      </c>
      <c r="B722" s="28" t="s">
        <v>4239</v>
      </c>
      <c r="C722" s="28">
        <v>26586322</v>
      </c>
      <c r="E722" s="28" t="s">
        <v>4240</v>
      </c>
      <c r="F722" s="28" t="s">
        <v>4240</v>
      </c>
      <c r="G722" s="28" t="s">
        <v>4241</v>
      </c>
      <c r="H722" s="28" t="s">
        <v>4242</v>
      </c>
      <c r="I722" s="28" t="s">
        <v>4243</v>
      </c>
      <c r="J722" s="28" t="s">
        <v>92</v>
      </c>
      <c r="K722" s="28" t="s">
        <v>157</v>
      </c>
      <c r="L722" s="28" t="s">
        <v>157</v>
      </c>
      <c r="M722" s="28">
        <v>54001</v>
      </c>
      <c r="N722" s="29" t="s">
        <v>756</v>
      </c>
      <c r="O722" s="24">
        <f>VLOOKUP(A722,Hoja1!A:C,3,0)</f>
        <v>8</v>
      </c>
      <c r="P722" s="30" t="str">
        <f>VLOOKUP(M722,[1]TIPOLOGIAS!$A:$F,4,0)</f>
        <v>CUCUTA</v>
      </c>
      <c r="Q722" s="30" t="str">
        <f>VLOOKUP(P722,'BASE TARIFA 2025'!C:D,2,0)</f>
        <v>WOMPI SANTANDERES</v>
      </c>
      <c r="R722" s="31">
        <f>VLOOKUP(P722,'BASE TARIFA 2025'!C:F,4,0)</f>
        <v>28277.100000000002</v>
      </c>
    </row>
    <row r="723" spans="1:18" s="28" customFormat="1" ht="14.4" x14ac:dyDescent="0.3">
      <c r="A723" s="28">
        <v>63569</v>
      </c>
      <c r="B723" s="28" t="s">
        <v>4244</v>
      </c>
      <c r="C723" s="28">
        <v>1143934897</v>
      </c>
      <c r="D723" s="28" t="s">
        <v>4245</v>
      </c>
      <c r="E723" s="28" t="s">
        <v>4246</v>
      </c>
      <c r="F723" s="28" t="s">
        <v>4246</v>
      </c>
      <c r="G723" s="28" t="s">
        <v>4247</v>
      </c>
      <c r="H723" s="28" t="s">
        <v>4248</v>
      </c>
      <c r="I723" s="28" t="s">
        <v>4249</v>
      </c>
      <c r="J723" s="28" t="s">
        <v>92</v>
      </c>
      <c r="K723" s="28" t="s">
        <v>157</v>
      </c>
      <c r="L723" s="28" t="s">
        <v>157</v>
      </c>
      <c r="M723" s="28">
        <v>54001</v>
      </c>
      <c r="N723" s="29" t="s">
        <v>756</v>
      </c>
      <c r="O723" s="24">
        <f>VLOOKUP(A723,Hoja1!A:C,3,0)</f>
        <v>8</v>
      </c>
      <c r="P723" s="30" t="str">
        <f>VLOOKUP(M723,[1]TIPOLOGIAS!$A:$F,4,0)</f>
        <v>CUCUTA</v>
      </c>
      <c r="Q723" s="30" t="str">
        <f>VLOOKUP(P723,'BASE TARIFA 2025'!C:D,2,0)</f>
        <v>WOMPI SANTANDERES</v>
      </c>
      <c r="R723" s="31">
        <f>VLOOKUP(P723,'BASE TARIFA 2025'!C:F,4,0)</f>
        <v>28277.100000000002</v>
      </c>
    </row>
    <row r="724" spans="1:18" s="28" customFormat="1" ht="14.4" x14ac:dyDescent="0.3">
      <c r="A724" s="28">
        <v>64801</v>
      </c>
      <c r="B724" s="28" t="s">
        <v>4250</v>
      </c>
      <c r="C724" s="28">
        <v>14473678</v>
      </c>
      <c r="D724" s="28" t="s">
        <v>4251</v>
      </c>
      <c r="E724" s="28" t="s">
        <v>4252</v>
      </c>
      <c r="F724" s="28" t="s">
        <v>4252</v>
      </c>
      <c r="G724" s="28" t="s">
        <v>4253</v>
      </c>
      <c r="H724" s="28" t="s">
        <v>4254</v>
      </c>
      <c r="I724" s="28" t="s">
        <v>4255</v>
      </c>
      <c r="J724" s="28" t="s">
        <v>92</v>
      </c>
      <c r="K724" s="28" t="s">
        <v>157</v>
      </c>
      <c r="L724" s="28" t="s">
        <v>157</v>
      </c>
      <c r="M724" s="28">
        <v>54001</v>
      </c>
      <c r="N724" s="29" t="s">
        <v>1173</v>
      </c>
      <c r="O724" s="24">
        <f>VLOOKUP(A724,Hoja1!A:C,3,0)</f>
        <v>8</v>
      </c>
      <c r="P724" s="30" t="str">
        <f>VLOOKUP(M724,[1]TIPOLOGIAS!$A:$F,4,0)</f>
        <v>CUCUTA</v>
      </c>
      <c r="Q724" s="30" t="str">
        <f>VLOOKUP(P724,'BASE TARIFA 2025'!C:D,2,0)</f>
        <v>WOMPI SANTANDERES</v>
      </c>
      <c r="R724" s="31">
        <f>VLOOKUP(P724,'BASE TARIFA 2025'!C:F,4,0)</f>
        <v>28277.100000000002</v>
      </c>
    </row>
    <row r="725" spans="1:18" s="28" customFormat="1" ht="14.4" x14ac:dyDescent="0.3">
      <c r="A725" s="28">
        <v>64806</v>
      </c>
      <c r="B725" s="28" t="s">
        <v>4256</v>
      </c>
      <c r="C725" s="28">
        <v>1010091940</v>
      </c>
      <c r="D725" s="28" t="s">
        <v>4257</v>
      </c>
      <c r="E725" s="28" t="s">
        <v>4258</v>
      </c>
      <c r="F725" s="28" t="s">
        <v>4258</v>
      </c>
      <c r="G725" s="28" t="s">
        <v>4259</v>
      </c>
      <c r="H725" s="28" t="s">
        <v>4260</v>
      </c>
      <c r="I725" s="28" t="s">
        <v>4261</v>
      </c>
      <c r="J725" s="28" t="s">
        <v>92</v>
      </c>
      <c r="K725" s="28" t="s">
        <v>157</v>
      </c>
      <c r="L725" s="28" t="s">
        <v>157</v>
      </c>
      <c r="M725" s="28">
        <v>54001</v>
      </c>
      <c r="N725" s="29" t="s">
        <v>638</v>
      </c>
      <c r="O725" s="24">
        <f>VLOOKUP(A725,Hoja1!A:C,3,0)</f>
        <v>8</v>
      </c>
      <c r="P725" s="30" t="str">
        <f>VLOOKUP(M725,[1]TIPOLOGIAS!$A:$F,4,0)</f>
        <v>CUCUTA</v>
      </c>
      <c r="Q725" s="30" t="str">
        <f>VLOOKUP(P725,'BASE TARIFA 2025'!C:D,2,0)</f>
        <v>WOMPI SANTANDERES</v>
      </c>
      <c r="R725" s="31">
        <f>VLOOKUP(P725,'BASE TARIFA 2025'!C:F,4,0)</f>
        <v>28277.100000000002</v>
      </c>
    </row>
    <row r="726" spans="1:18" s="28" customFormat="1" ht="14.4" x14ac:dyDescent="0.3">
      <c r="A726" s="28">
        <v>62963</v>
      </c>
      <c r="B726" s="28" t="s">
        <v>4262</v>
      </c>
      <c r="C726" s="28">
        <v>52448844</v>
      </c>
      <c r="D726" s="28" t="s">
        <v>4263</v>
      </c>
      <c r="E726" s="28" t="s">
        <v>4264</v>
      </c>
      <c r="F726" s="28" t="s">
        <v>4265</v>
      </c>
      <c r="G726" s="28" t="s">
        <v>4266</v>
      </c>
      <c r="H726" s="28" t="s">
        <v>4267</v>
      </c>
      <c r="I726" s="28" t="s">
        <v>4268</v>
      </c>
      <c r="J726" s="28" t="s">
        <v>92</v>
      </c>
      <c r="K726" s="28" t="s">
        <v>157</v>
      </c>
      <c r="L726" s="28" t="s">
        <v>157</v>
      </c>
      <c r="M726" s="28">
        <v>54001</v>
      </c>
      <c r="N726" s="29" t="s">
        <v>1173</v>
      </c>
      <c r="O726" s="24">
        <f>VLOOKUP(A726,Hoja1!A:C,3,0)</f>
        <v>8</v>
      </c>
      <c r="P726" s="30" t="str">
        <f>VLOOKUP(M726,[1]TIPOLOGIAS!$A:$F,4,0)</f>
        <v>CUCUTA</v>
      </c>
      <c r="Q726" s="30" t="str">
        <f>VLOOKUP(P726,'BASE TARIFA 2025'!C:D,2,0)</f>
        <v>WOMPI SANTANDERES</v>
      </c>
      <c r="R726" s="31">
        <f>VLOOKUP(P726,'BASE TARIFA 2025'!C:F,4,0)</f>
        <v>28277.100000000002</v>
      </c>
    </row>
    <row r="727" spans="1:18" s="28" customFormat="1" ht="14.4" x14ac:dyDescent="0.3">
      <c r="A727" s="28">
        <v>68406</v>
      </c>
      <c r="B727" s="28" t="s">
        <v>4269</v>
      </c>
      <c r="C727" s="28">
        <v>1143924441</v>
      </c>
      <c r="D727" s="28" t="s">
        <v>69</v>
      </c>
      <c r="E727" s="28" t="s">
        <v>4270</v>
      </c>
      <c r="F727" s="28" t="s">
        <v>4271</v>
      </c>
      <c r="G727" s="28" t="s">
        <v>4272</v>
      </c>
      <c r="H727" s="28" t="s">
        <v>4273</v>
      </c>
      <c r="I727" s="28" t="s">
        <v>4274</v>
      </c>
      <c r="J727" s="28" t="s">
        <v>103</v>
      </c>
      <c r="K727" s="28" t="s">
        <v>4179</v>
      </c>
      <c r="L727" s="28" t="s">
        <v>4179</v>
      </c>
      <c r="M727" s="28">
        <v>73547</v>
      </c>
      <c r="N727" s="29" t="s">
        <v>553</v>
      </c>
      <c r="O727" s="24">
        <f>VLOOKUP(A727,Hoja1!A:C,3,0)</f>
        <v>8</v>
      </c>
      <c r="P727" s="30" t="str">
        <f>VLOOKUP(M727,[1]TIPOLOGIAS!$A:$F,4,0)</f>
        <v>IBAGUE</v>
      </c>
      <c r="Q727" s="30" t="str">
        <f>VLOOKUP(P727,'BASE TARIFA 2025'!C:D,2,0)</f>
        <v>WOMPI ORIENTE</v>
      </c>
      <c r="R727" s="31">
        <f>VLOOKUP(P727,'BASE TARIFA 2025'!C:F,4,0)</f>
        <v>28277.100000000002</v>
      </c>
    </row>
    <row r="728" spans="1:18" s="28" customFormat="1" ht="14.4" x14ac:dyDescent="0.3">
      <c r="A728" s="28">
        <v>68304</v>
      </c>
      <c r="B728" s="28" t="s">
        <v>4275</v>
      </c>
      <c r="C728" s="28">
        <v>66950308</v>
      </c>
      <c r="D728" s="28" t="s">
        <v>69</v>
      </c>
      <c r="E728" s="28" t="s">
        <v>4276</v>
      </c>
      <c r="F728" s="28" t="s">
        <v>4276</v>
      </c>
      <c r="G728" s="28" t="s">
        <v>4277</v>
      </c>
      <c r="H728" s="28" t="s">
        <v>4278</v>
      </c>
      <c r="I728" s="28" t="s">
        <v>4279</v>
      </c>
      <c r="J728" s="28" t="s">
        <v>103</v>
      </c>
      <c r="K728" s="28" t="s">
        <v>4179</v>
      </c>
      <c r="L728" s="28" t="s">
        <v>4179</v>
      </c>
      <c r="M728" s="28">
        <v>73547</v>
      </c>
      <c r="N728" s="29" t="s">
        <v>553</v>
      </c>
      <c r="O728" s="24">
        <f>VLOOKUP(A728,Hoja1!A:C,3,0)</f>
        <v>16</v>
      </c>
      <c r="P728" s="30" t="str">
        <f>VLOOKUP(M728,[1]TIPOLOGIAS!$A:$F,4,0)</f>
        <v>IBAGUE</v>
      </c>
      <c r="Q728" s="30" t="str">
        <f>VLOOKUP(P728,'BASE TARIFA 2025'!C:D,2,0)</f>
        <v>WOMPI ORIENTE</v>
      </c>
      <c r="R728" s="31">
        <f>VLOOKUP(P728,'BASE TARIFA 2025'!C:F,4,0)</f>
        <v>28277.100000000002</v>
      </c>
    </row>
    <row r="729" spans="1:18" s="28" customFormat="1" ht="14.4" x14ac:dyDescent="0.3">
      <c r="A729" s="28">
        <v>66110</v>
      </c>
      <c r="B729" s="28" t="s">
        <v>4280</v>
      </c>
      <c r="C729" s="28">
        <v>1127576490</v>
      </c>
      <c r="D729" s="28" t="s">
        <v>69</v>
      </c>
      <c r="E729" s="28" t="s">
        <v>4281</v>
      </c>
      <c r="F729" s="28" t="s">
        <v>4281</v>
      </c>
      <c r="G729" s="28" t="s">
        <v>4282</v>
      </c>
      <c r="H729" s="28" t="s">
        <v>4283</v>
      </c>
      <c r="I729" s="28" t="s">
        <v>4284</v>
      </c>
      <c r="J729" s="28" t="s">
        <v>103</v>
      </c>
      <c r="K729" s="28" t="s">
        <v>4179</v>
      </c>
      <c r="L729" s="28" t="s">
        <v>4179</v>
      </c>
      <c r="M729" s="28">
        <v>73547</v>
      </c>
      <c r="N729" s="29" t="s">
        <v>553</v>
      </c>
      <c r="O729" s="24">
        <f>VLOOKUP(A729,Hoja1!A:C,3,0)</f>
        <v>8</v>
      </c>
      <c r="P729" s="30" t="str">
        <f>VLOOKUP(M729,[1]TIPOLOGIAS!$A:$F,4,0)</f>
        <v>IBAGUE</v>
      </c>
      <c r="Q729" s="30" t="str">
        <f>VLOOKUP(P729,'BASE TARIFA 2025'!C:D,2,0)</f>
        <v>WOMPI ORIENTE</v>
      </c>
      <c r="R729" s="31">
        <f>VLOOKUP(P729,'BASE TARIFA 2025'!C:F,4,0)</f>
        <v>28277.100000000002</v>
      </c>
    </row>
    <row r="730" spans="1:18" s="28" customFormat="1" ht="14.4" x14ac:dyDescent="0.3">
      <c r="A730" s="28">
        <v>66111</v>
      </c>
      <c r="B730" s="28" t="s">
        <v>4285</v>
      </c>
      <c r="C730" s="28">
        <v>1018479482</v>
      </c>
      <c r="D730" s="28" t="s">
        <v>4286</v>
      </c>
      <c r="E730" s="28" t="s">
        <v>4287</v>
      </c>
      <c r="F730" s="28" t="s">
        <v>4287</v>
      </c>
      <c r="G730" s="28" t="s">
        <v>4288</v>
      </c>
      <c r="H730" s="28" t="s">
        <v>4289</v>
      </c>
      <c r="I730" s="28" t="s">
        <v>4290</v>
      </c>
      <c r="J730" s="28" t="s">
        <v>110</v>
      </c>
      <c r="K730" s="28" t="s">
        <v>162</v>
      </c>
      <c r="L730" s="28" t="s">
        <v>162</v>
      </c>
      <c r="M730" s="28">
        <v>76248</v>
      </c>
      <c r="N730" s="29" t="s">
        <v>542</v>
      </c>
      <c r="O730" s="24">
        <f>VLOOKUP(A730,Hoja1!A:C,3,0)</f>
        <v>8</v>
      </c>
      <c r="P730" s="30" t="str">
        <f>VLOOKUP(M730,[1]TIPOLOGIAS!$A:$F,4,0)</f>
        <v>CALI</v>
      </c>
      <c r="Q730" s="30" t="str">
        <f>VLOOKUP(P730,'BASE TARIFA 2025'!C:D,2,0)</f>
        <v>WOMPI SUROCCIDENTE</v>
      </c>
      <c r="R730" s="31">
        <f>VLOOKUP(P730,'BASE TARIFA 2025'!C:F,4,0)</f>
        <v>15709.5</v>
      </c>
    </row>
    <row r="731" spans="1:18" s="28" customFormat="1" ht="14.4" x14ac:dyDescent="0.3">
      <c r="A731" s="28">
        <v>66163</v>
      </c>
      <c r="B731" s="28" t="s">
        <v>4291</v>
      </c>
      <c r="C731" s="28">
        <v>901458726</v>
      </c>
      <c r="D731" s="28" t="s">
        <v>4292</v>
      </c>
      <c r="E731" s="28" t="s">
        <v>4292</v>
      </c>
      <c r="F731" s="28" t="s">
        <v>4292</v>
      </c>
      <c r="G731" s="28" t="s">
        <v>4293</v>
      </c>
      <c r="H731" s="28" t="s">
        <v>4294</v>
      </c>
      <c r="I731" s="28" t="s">
        <v>4295</v>
      </c>
      <c r="J731" s="28" t="s">
        <v>110</v>
      </c>
      <c r="K731" s="28" t="s">
        <v>162</v>
      </c>
      <c r="L731" s="28" t="s">
        <v>162</v>
      </c>
      <c r="M731" s="28">
        <v>76248</v>
      </c>
      <c r="N731" s="29" t="s">
        <v>542</v>
      </c>
      <c r="O731" s="24">
        <f>VLOOKUP(A731,Hoja1!A:C,3,0)</f>
        <v>16</v>
      </c>
      <c r="P731" s="30" t="str">
        <f>VLOOKUP(M731,[1]TIPOLOGIAS!$A:$F,4,0)</f>
        <v>CALI</v>
      </c>
      <c r="Q731" s="30" t="str">
        <f>VLOOKUP(P731,'BASE TARIFA 2025'!C:D,2,0)</f>
        <v>WOMPI SUROCCIDENTE</v>
      </c>
      <c r="R731" s="31">
        <f>VLOOKUP(P731,'BASE TARIFA 2025'!C:F,4,0)</f>
        <v>15709.5</v>
      </c>
    </row>
    <row r="732" spans="1:18" s="28" customFormat="1" ht="14.4" x14ac:dyDescent="0.3">
      <c r="A732" s="28">
        <v>67387</v>
      </c>
      <c r="B732" s="28" t="s">
        <v>4296</v>
      </c>
      <c r="C732" s="28">
        <v>1019055530</v>
      </c>
      <c r="D732" s="28" t="s">
        <v>4297</v>
      </c>
      <c r="E732" s="28" t="s">
        <v>4297</v>
      </c>
      <c r="G732" s="28" t="s">
        <v>4298</v>
      </c>
      <c r="H732" s="28" t="s">
        <v>4299</v>
      </c>
      <c r="I732" s="28" t="s">
        <v>4300</v>
      </c>
      <c r="J732" s="28" t="s">
        <v>110</v>
      </c>
      <c r="K732" s="28" t="s">
        <v>162</v>
      </c>
      <c r="L732" s="28" t="s">
        <v>162</v>
      </c>
      <c r="M732" s="28">
        <v>76248</v>
      </c>
      <c r="N732" s="29" t="s">
        <v>589</v>
      </c>
      <c r="O732" s="24">
        <f>VLOOKUP(A732,Hoja1!A:C,3,0)</f>
        <v>8</v>
      </c>
      <c r="P732" s="30" t="str">
        <f>VLOOKUP(M732,[1]TIPOLOGIAS!$A:$F,4,0)</f>
        <v>CALI</v>
      </c>
      <c r="Q732" s="30" t="str">
        <f>VLOOKUP(P732,'BASE TARIFA 2025'!C:D,2,0)</f>
        <v>WOMPI SUROCCIDENTE</v>
      </c>
      <c r="R732" s="31">
        <f>VLOOKUP(P732,'BASE TARIFA 2025'!C:F,4,0)</f>
        <v>15709.5</v>
      </c>
    </row>
    <row r="733" spans="1:18" s="28" customFormat="1" ht="14.4" x14ac:dyDescent="0.3">
      <c r="A733" s="28">
        <v>67688</v>
      </c>
      <c r="B733" s="28" t="s">
        <v>4301</v>
      </c>
      <c r="C733" s="28">
        <v>901461662</v>
      </c>
      <c r="D733" s="28" t="s">
        <v>4302</v>
      </c>
      <c r="E733" s="28" t="s">
        <v>4302</v>
      </c>
      <c r="F733" s="28" t="s">
        <v>4302</v>
      </c>
      <c r="G733" s="28" t="s">
        <v>4303</v>
      </c>
      <c r="H733" s="28" t="s">
        <v>4304</v>
      </c>
      <c r="I733" s="28" t="s">
        <v>4305</v>
      </c>
      <c r="J733" s="28" t="s">
        <v>112</v>
      </c>
      <c r="K733" s="28" t="s">
        <v>4306</v>
      </c>
      <c r="L733" s="28" t="s">
        <v>4306</v>
      </c>
      <c r="M733" s="28">
        <v>85230</v>
      </c>
      <c r="N733" s="29" t="s">
        <v>744</v>
      </c>
      <c r="O733" s="24">
        <f>VLOOKUP(A733,Hoja1!A:C,3,0)</f>
        <v>8</v>
      </c>
      <c r="P733" s="30" t="str">
        <f>VLOOKUP(M733,[1]TIPOLOGIAS!$A:$F,4,0)</f>
        <v>YOPAL</v>
      </c>
      <c r="Q733" s="30" t="str">
        <f>VLOOKUP(P733,'BASE TARIFA 2025'!C:D,2,0)</f>
        <v>WOMPI ORIENTE</v>
      </c>
      <c r="R733" s="31">
        <f>VLOOKUP(P733,'BASE TARIFA 2025'!C:F,4,0)</f>
        <v>28277.100000000002</v>
      </c>
    </row>
    <row r="734" spans="1:18" s="28" customFormat="1" ht="14.4" x14ac:dyDescent="0.3">
      <c r="A734" s="28">
        <v>66607</v>
      </c>
      <c r="B734" s="28" t="s">
        <v>4307</v>
      </c>
      <c r="C734" s="28">
        <v>1006596623</v>
      </c>
      <c r="D734" s="28" t="s">
        <v>69</v>
      </c>
      <c r="E734" s="28" t="s">
        <v>4308</v>
      </c>
      <c r="F734" s="28" t="s">
        <v>4308</v>
      </c>
      <c r="G734" s="28" t="s">
        <v>4309</v>
      </c>
      <c r="H734" s="28" t="s">
        <v>4310</v>
      </c>
      <c r="I734" s="28" t="s">
        <v>4311</v>
      </c>
      <c r="J734" s="28" t="s">
        <v>112</v>
      </c>
      <c r="K734" s="28" t="s">
        <v>4306</v>
      </c>
      <c r="L734" s="28" t="s">
        <v>4306</v>
      </c>
      <c r="M734" s="28">
        <v>85230</v>
      </c>
      <c r="N734" s="29" t="s">
        <v>744</v>
      </c>
      <c r="O734" s="24">
        <f>VLOOKUP(A734,Hoja1!A:C,3,0)</f>
        <v>8</v>
      </c>
      <c r="P734" s="30" t="str">
        <f>VLOOKUP(M734,[1]TIPOLOGIAS!$A:$F,4,0)</f>
        <v>YOPAL</v>
      </c>
      <c r="Q734" s="30" t="str">
        <f>VLOOKUP(P734,'BASE TARIFA 2025'!C:D,2,0)</f>
        <v>WOMPI ORIENTE</v>
      </c>
      <c r="R734" s="31">
        <f>VLOOKUP(P734,'BASE TARIFA 2025'!C:F,4,0)</f>
        <v>28277.100000000002</v>
      </c>
    </row>
    <row r="735" spans="1:18" s="28" customFormat="1" ht="14.4" x14ac:dyDescent="0.3">
      <c r="A735" s="28">
        <v>68570</v>
      </c>
      <c r="B735" s="28" t="s">
        <v>4312</v>
      </c>
      <c r="C735" s="28">
        <v>1143844042</v>
      </c>
      <c r="D735" s="28" t="s">
        <v>69</v>
      </c>
      <c r="E735" s="28" t="s">
        <v>4313</v>
      </c>
      <c r="F735" s="28" t="s">
        <v>4313</v>
      </c>
      <c r="G735" s="28" t="s">
        <v>4314</v>
      </c>
      <c r="H735" s="28" t="s">
        <v>4315</v>
      </c>
      <c r="I735" s="28" t="s">
        <v>4316</v>
      </c>
      <c r="J735" s="28" t="s">
        <v>112</v>
      </c>
      <c r="K735" s="28" t="s">
        <v>4306</v>
      </c>
      <c r="L735" s="28" t="s">
        <v>4306</v>
      </c>
      <c r="M735" s="28">
        <v>85230</v>
      </c>
      <c r="N735" s="29" t="s">
        <v>744</v>
      </c>
      <c r="O735" s="24">
        <f>VLOOKUP(A735,Hoja1!A:C,3,0)</f>
        <v>16</v>
      </c>
      <c r="P735" s="30" t="str">
        <f>VLOOKUP(M735,[1]TIPOLOGIAS!$A:$F,4,0)</f>
        <v>YOPAL</v>
      </c>
      <c r="Q735" s="30" t="str">
        <f>VLOOKUP(P735,'BASE TARIFA 2025'!C:D,2,0)</f>
        <v>WOMPI ORIENTE</v>
      </c>
      <c r="R735" s="31">
        <f>VLOOKUP(P735,'BASE TARIFA 2025'!C:F,4,0)</f>
        <v>28277.100000000002</v>
      </c>
    </row>
    <row r="736" spans="1:18" s="28" customFormat="1" ht="14.4" x14ac:dyDescent="0.3">
      <c r="A736" s="28">
        <v>68417</v>
      </c>
      <c r="B736" s="28" t="s">
        <v>4317</v>
      </c>
      <c r="C736" s="28">
        <v>1012431163</v>
      </c>
      <c r="D736" s="28" t="s">
        <v>69</v>
      </c>
      <c r="E736" s="28" t="s">
        <v>4318</v>
      </c>
      <c r="F736" s="28" t="s">
        <v>4318</v>
      </c>
      <c r="G736" s="28" t="s">
        <v>4319</v>
      </c>
      <c r="H736" s="28" t="s">
        <v>4320</v>
      </c>
      <c r="I736" s="28" t="s">
        <v>4321</v>
      </c>
      <c r="J736" s="28" t="s">
        <v>112</v>
      </c>
      <c r="K736" s="28" t="s">
        <v>4306</v>
      </c>
      <c r="L736" s="28" t="s">
        <v>4306</v>
      </c>
      <c r="M736" s="28">
        <v>85230</v>
      </c>
      <c r="N736" s="29" t="s">
        <v>756</v>
      </c>
      <c r="O736" s="24">
        <f>VLOOKUP(A736,Hoja1!A:C,3,0)</f>
        <v>8</v>
      </c>
      <c r="P736" s="30" t="str">
        <f>VLOOKUP(M736,[1]TIPOLOGIAS!$A:$F,4,0)</f>
        <v>YOPAL</v>
      </c>
      <c r="Q736" s="30" t="str">
        <f>VLOOKUP(P736,'BASE TARIFA 2025'!C:D,2,0)</f>
        <v>WOMPI ORIENTE</v>
      </c>
      <c r="R736" s="31">
        <f>VLOOKUP(P736,'BASE TARIFA 2025'!C:F,4,0)</f>
        <v>28277.100000000002</v>
      </c>
    </row>
    <row r="737" spans="1:18" s="28" customFormat="1" ht="14.4" x14ac:dyDescent="0.3">
      <c r="A737" s="28">
        <v>69277</v>
      </c>
      <c r="B737" s="28" t="s">
        <v>4322</v>
      </c>
      <c r="C737" s="28">
        <v>52118036</v>
      </c>
      <c r="D737" s="28" t="s">
        <v>69</v>
      </c>
      <c r="E737" s="28" t="s">
        <v>4323</v>
      </c>
      <c r="F737" s="28" t="s">
        <v>4323</v>
      </c>
      <c r="G737" s="28" t="s">
        <v>4324</v>
      </c>
      <c r="H737" s="28" t="s">
        <v>4325</v>
      </c>
      <c r="I737" s="28" t="s">
        <v>4326</v>
      </c>
      <c r="J737" s="28" t="s">
        <v>112</v>
      </c>
      <c r="K737" s="28" t="s">
        <v>4306</v>
      </c>
      <c r="L737" s="28" t="s">
        <v>4306</v>
      </c>
      <c r="M737" s="28">
        <v>85230</v>
      </c>
      <c r="N737" s="29" t="s">
        <v>756</v>
      </c>
      <c r="O737" s="24">
        <f>VLOOKUP(A737,Hoja1!A:C,3,0)</f>
        <v>8</v>
      </c>
      <c r="P737" s="30" t="str">
        <f>VLOOKUP(M737,[1]TIPOLOGIAS!$A:$F,4,0)</f>
        <v>YOPAL</v>
      </c>
      <c r="Q737" s="30" t="str">
        <f>VLOOKUP(P737,'BASE TARIFA 2025'!C:D,2,0)</f>
        <v>WOMPI ORIENTE</v>
      </c>
      <c r="R737" s="31">
        <f>VLOOKUP(P737,'BASE TARIFA 2025'!C:F,4,0)</f>
        <v>28277.100000000002</v>
      </c>
    </row>
    <row r="738" spans="1:18" s="28" customFormat="1" ht="14.4" x14ac:dyDescent="0.3">
      <c r="A738" s="28">
        <v>69060</v>
      </c>
      <c r="B738" s="28" t="s">
        <v>4327</v>
      </c>
      <c r="C738" s="28">
        <v>6100516</v>
      </c>
      <c r="D738" s="28" t="s">
        <v>69</v>
      </c>
      <c r="E738" s="28" t="s">
        <v>69</v>
      </c>
      <c r="F738" s="28" t="s">
        <v>4328</v>
      </c>
      <c r="G738" s="28" t="s">
        <v>4329</v>
      </c>
      <c r="H738" s="28" t="s">
        <v>4330</v>
      </c>
      <c r="I738" s="28" t="s">
        <v>4331</v>
      </c>
      <c r="J738" s="28" t="s">
        <v>112</v>
      </c>
      <c r="K738" s="28" t="s">
        <v>4306</v>
      </c>
      <c r="L738" s="28" t="s">
        <v>4306</v>
      </c>
      <c r="M738" s="28">
        <v>85230</v>
      </c>
      <c r="N738" s="29" t="s">
        <v>756</v>
      </c>
      <c r="O738" s="24">
        <f>VLOOKUP(A738,Hoja1!A:C,3,0)</f>
        <v>8</v>
      </c>
      <c r="P738" s="30" t="str">
        <f>VLOOKUP(M738,[1]TIPOLOGIAS!$A:$F,4,0)</f>
        <v>YOPAL</v>
      </c>
      <c r="Q738" s="30" t="str">
        <f>VLOOKUP(P738,'BASE TARIFA 2025'!C:D,2,0)</f>
        <v>WOMPI ORIENTE</v>
      </c>
      <c r="R738" s="31">
        <f>VLOOKUP(P738,'BASE TARIFA 2025'!C:F,4,0)</f>
        <v>28277.100000000002</v>
      </c>
    </row>
    <row r="739" spans="1:18" s="28" customFormat="1" ht="14.4" x14ac:dyDescent="0.3">
      <c r="A739" s="28">
        <v>68833</v>
      </c>
      <c r="B739" s="28" t="s">
        <v>4332</v>
      </c>
      <c r="C739" s="28">
        <v>1144202340</v>
      </c>
      <c r="D739" s="28" t="s">
        <v>4333</v>
      </c>
      <c r="E739" s="28" t="s">
        <v>4333</v>
      </c>
      <c r="F739" s="28" t="s">
        <v>4333</v>
      </c>
      <c r="G739" s="28" t="s">
        <v>216</v>
      </c>
      <c r="H739" s="28" t="s">
        <v>217</v>
      </c>
      <c r="I739" s="28" t="s">
        <v>218</v>
      </c>
      <c r="J739" s="28" t="s">
        <v>67</v>
      </c>
      <c r="K739" s="28" t="s">
        <v>185</v>
      </c>
      <c r="L739" s="28" t="s">
        <v>185</v>
      </c>
      <c r="M739" s="28">
        <v>5088</v>
      </c>
      <c r="N739" s="29" t="s">
        <v>589</v>
      </c>
      <c r="O739" s="24">
        <f>VLOOKUP(A739,Hoja1!A:C,3,0)</f>
        <v>8</v>
      </c>
      <c r="P739" s="30" t="str">
        <f>VLOOKUP(M739,[1]TIPOLOGIAS!$A:$F,4,0)</f>
        <v>MEDELLIN</v>
      </c>
      <c r="Q739" s="30" t="str">
        <f>VLOOKUP(P739,'BASE TARIFA 2025'!C:D,2,0)</f>
        <v>WOMPI NOROCCIDENTE</v>
      </c>
      <c r="R739" s="31">
        <f>VLOOKUP(P739,'BASE TARIFA 2025'!C:F,4,0)</f>
        <v>15709.5</v>
      </c>
    </row>
    <row r="740" spans="1:18" s="28" customFormat="1" ht="14.4" x14ac:dyDescent="0.3">
      <c r="A740" s="28">
        <v>71233</v>
      </c>
      <c r="B740" s="28" t="s">
        <v>4334</v>
      </c>
      <c r="C740" s="28">
        <v>31840955</v>
      </c>
      <c r="D740" s="28" t="s">
        <v>4335</v>
      </c>
      <c r="E740" s="28" t="s">
        <v>4336</v>
      </c>
      <c r="F740" s="28" t="s">
        <v>4335</v>
      </c>
      <c r="G740" s="28" t="s">
        <v>4337</v>
      </c>
      <c r="H740" s="28" t="s">
        <v>4338</v>
      </c>
      <c r="I740" s="28" t="s">
        <v>4339</v>
      </c>
      <c r="J740" s="28" t="s">
        <v>67</v>
      </c>
      <c r="K740" s="28" t="s">
        <v>185</v>
      </c>
      <c r="L740" s="28" t="s">
        <v>185</v>
      </c>
      <c r="M740" s="28">
        <v>5088</v>
      </c>
      <c r="N740" s="29" t="s">
        <v>744</v>
      </c>
      <c r="O740" s="24">
        <f>VLOOKUP(A740,Hoja1!A:C,3,0)</f>
        <v>8</v>
      </c>
      <c r="P740" s="30" t="str">
        <f>VLOOKUP(M740,[1]TIPOLOGIAS!$A:$F,4,0)</f>
        <v>MEDELLIN</v>
      </c>
      <c r="Q740" s="30" t="str">
        <f>VLOOKUP(P740,'BASE TARIFA 2025'!C:D,2,0)</f>
        <v>WOMPI NOROCCIDENTE</v>
      </c>
      <c r="R740" s="31">
        <f>VLOOKUP(P740,'BASE TARIFA 2025'!C:F,4,0)</f>
        <v>15709.5</v>
      </c>
    </row>
    <row r="741" spans="1:18" s="28" customFormat="1" ht="14.4" x14ac:dyDescent="0.3">
      <c r="A741" s="28">
        <v>70870</v>
      </c>
      <c r="B741" s="28" t="s">
        <v>4340</v>
      </c>
      <c r="C741" s="28">
        <v>38141185</v>
      </c>
      <c r="D741" s="28" t="s">
        <v>4341</v>
      </c>
      <c r="E741" s="28" t="s">
        <v>4341</v>
      </c>
      <c r="G741" s="28" t="s">
        <v>222</v>
      </c>
      <c r="H741" s="28" t="s">
        <v>223</v>
      </c>
      <c r="I741" s="28" t="s">
        <v>224</v>
      </c>
      <c r="J741" s="28" t="s">
        <v>67</v>
      </c>
      <c r="K741" s="28" t="s">
        <v>185</v>
      </c>
      <c r="L741" s="28" t="s">
        <v>185</v>
      </c>
      <c r="M741" s="28">
        <v>5088</v>
      </c>
      <c r="N741" s="29" t="s">
        <v>589</v>
      </c>
      <c r="O741" s="24">
        <f>VLOOKUP(A741,Hoja1!A:C,3,0)</f>
        <v>8</v>
      </c>
      <c r="P741" s="30" t="str">
        <f>VLOOKUP(M741,[1]TIPOLOGIAS!$A:$F,4,0)</f>
        <v>MEDELLIN</v>
      </c>
      <c r="Q741" s="30" t="str">
        <f>VLOOKUP(P741,'BASE TARIFA 2025'!C:D,2,0)</f>
        <v>WOMPI NOROCCIDENTE</v>
      </c>
      <c r="R741" s="31">
        <f>VLOOKUP(P741,'BASE TARIFA 2025'!C:F,4,0)</f>
        <v>15709.5</v>
      </c>
    </row>
    <row r="742" spans="1:18" s="28" customFormat="1" ht="14.4" x14ac:dyDescent="0.3">
      <c r="A742" s="28">
        <v>71431</v>
      </c>
      <c r="B742" s="28" t="s">
        <v>4342</v>
      </c>
      <c r="C742" s="28">
        <v>1094885321</v>
      </c>
      <c r="D742" s="28" t="s">
        <v>4343</v>
      </c>
      <c r="E742" s="28" t="s">
        <v>4344</v>
      </c>
      <c r="F742" s="28" t="s">
        <v>4343</v>
      </c>
      <c r="G742" s="28" t="s">
        <v>4345</v>
      </c>
      <c r="H742" s="28" t="s">
        <v>4346</v>
      </c>
      <c r="I742" s="28" t="s">
        <v>4347</v>
      </c>
      <c r="J742" s="28" t="s">
        <v>67</v>
      </c>
      <c r="K742" s="28" t="s">
        <v>185</v>
      </c>
      <c r="L742" s="28" t="s">
        <v>185</v>
      </c>
      <c r="M742" s="28">
        <v>5088</v>
      </c>
      <c r="N742" s="29" t="s">
        <v>744</v>
      </c>
      <c r="O742" s="24">
        <f>VLOOKUP(A742,Hoja1!A:C,3,0)</f>
        <v>8</v>
      </c>
      <c r="P742" s="30" t="str">
        <f>VLOOKUP(M742,[1]TIPOLOGIAS!$A:$F,4,0)</f>
        <v>MEDELLIN</v>
      </c>
      <c r="Q742" s="30" t="str">
        <f>VLOOKUP(P742,'BASE TARIFA 2025'!C:D,2,0)</f>
        <v>WOMPI NOROCCIDENTE</v>
      </c>
      <c r="R742" s="31">
        <f>VLOOKUP(P742,'BASE TARIFA 2025'!C:F,4,0)</f>
        <v>15709.5</v>
      </c>
    </row>
    <row r="743" spans="1:18" s="28" customFormat="1" ht="14.4" x14ac:dyDescent="0.3">
      <c r="A743" s="28">
        <v>70872</v>
      </c>
      <c r="B743" s="28" t="s">
        <v>4348</v>
      </c>
      <c r="C743" s="28">
        <v>52541206</v>
      </c>
      <c r="D743" s="28" t="s">
        <v>4349</v>
      </c>
      <c r="E743" s="28" t="s">
        <v>4349</v>
      </c>
      <c r="F743" s="28" t="s">
        <v>4349</v>
      </c>
      <c r="G743" s="28" t="s">
        <v>219</v>
      </c>
      <c r="H743" s="28" t="s">
        <v>220</v>
      </c>
      <c r="I743" s="28" t="s">
        <v>221</v>
      </c>
      <c r="J743" s="28" t="s">
        <v>67</v>
      </c>
      <c r="K743" s="28" t="s">
        <v>185</v>
      </c>
      <c r="L743" s="28" t="s">
        <v>185</v>
      </c>
      <c r="M743" s="28">
        <v>5088</v>
      </c>
      <c r="N743" s="29" t="s">
        <v>589</v>
      </c>
      <c r="O743" s="24">
        <f>VLOOKUP(A743,Hoja1!A:C,3,0)</f>
        <v>8</v>
      </c>
      <c r="P743" s="30" t="str">
        <f>VLOOKUP(M743,[1]TIPOLOGIAS!$A:$F,4,0)</f>
        <v>MEDELLIN</v>
      </c>
      <c r="Q743" s="30" t="str">
        <f>VLOOKUP(P743,'BASE TARIFA 2025'!C:D,2,0)</f>
        <v>WOMPI NOROCCIDENTE</v>
      </c>
      <c r="R743" s="31">
        <f>VLOOKUP(P743,'BASE TARIFA 2025'!C:F,4,0)</f>
        <v>15709.5</v>
      </c>
    </row>
    <row r="744" spans="1:18" s="28" customFormat="1" ht="14.4" x14ac:dyDescent="0.3">
      <c r="A744" s="28">
        <v>70861</v>
      </c>
      <c r="B744" s="28" t="s">
        <v>4350</v>
      </c>
      <c r="C744" s="28">
        <v>9846799</v>
      </c>
      <c r="D744" s="28" t="s">
        <v>4351</v>
      </c>
      <c r="E744" s="28" t="s">
        <v>4351</v>
      </c>
      <c r="F744" s="28" t="s">
        <v>4351</v>
      </c>
      <c r="G744" s="28" t="s">
        <v>4352</v>
      </c>
      <c r="H744" s="28" t="s">
        <v>4353</v>
      </c>
      <c r="I744" s="28" t="s">
        <v>4354</v>
      </c>
      <c r="J744" s="28" t="s">
        <v>67</v>
      </c>
      <c r="K744" s="28" t="s">
        <v>185</v>
      </c>
      <c r="L744" s="28" t="s">
        <v>185</v>
      </c>
      <c r="M744" s="28">
        <v>5088</v>
      </c>
      <c r="N744" s="29" t="s">
        <v>638</v>
      </c>
      <c r="O744" s="24">
        <f>VLOOKUP(A744,Hoja1!A:C,3,0)</f>
        <v>8</v>
      </c>
      <c r="P744" s="30" t="str">
        <f>VLOOKUP(M744,[1]TIPOLOGIAS!$A:$F,4,0)</f>
        <v>MEDELLIN</v>
      </c>
      <c r="Q744" s="30" t="str">
        <f>VLOOKUP(P744,'BASE TARIFA 2025'!C:D,2,0)</f>
        <v>WOMPI NOROCCIDENTE</v>
      </c>
      <c r="R744" s="31">
        <f>VLOOKUP(P744,'BASE TARIFA 2025'!C:F,4,0)</f>
        <v>15709.5</v>
      </c>
    </row>
    <row r="745" spans="1:18" s="28" customFormat="1" ht="14.4" x14ac:dyDescent="0.3">
      <c r="A745" s="28">
        <v>71167</v>
      </c>
      <c r="B745" s="28" t="s">
        <v>4355</v>
      </c>
      <c r="C745" s="28">
        <v>80072824</v>
      </c>
      <c r="D745" s="28" t="s">
        <v>4356</v>
      </c>
      <c r="E745" s="28" t="s">
        <v>4357</v>
      </c>
      <c r="F745" s="28" t="s">
        <v>4357</v>
      </c>
      <c r="G745" s="28" t="s">
        <v>4358</v>
      </c>
      <c r="H745" s="28" t="s">
        <v>4359</v>
      </c>
      <c r="I745" s="28" t="s">
        <v>4360</v>
      </c>
      <c r="J745" s="28" t="s">
        <v>67</v>
      </c>
      <c r="K745" s="28" t="s">
        <v>185</v>
      </c>
      <c r="L745" s="28" t="s">
        <v>185</v>
      </c>
      <c r="M745" s="28">
        <v>5088</v>
      </c>
      <c r="N745" s="29" t="s">
        <v>716</v>
      </c>
      <c r="O745" s="24">
        <f>VLOOKUP(A745,Hoja1!A:C,3,0)</f>
        <v>8</v>
      </c>
      <c r="P745" s="30" t="str">
        <f>VLOOKUP(M745,[1]TIPOLOGIAS!$A:$F,4,0)</f>
        <v>MEDELLIN</v>
      </c>
      <c r="Q745" s="30" t="str">
        <f>VLOOKUP(P745,'BASE TARIFA 2025'!C:D,2,0)</f>
        <v>WOMPI NOROCCIDENTE</v>
      </c>
      <c r="R745" s="31">
        <f>VLOOKUP(P745,'BASE TARIFA 2025'!C:F,4,0)</f>
        <v>15709.5</v>
      </c>
    </row>
    <row r="746" spans="1:18" s="28" customFormat="1" ht="14.4" x14ac:dyDescent="0.3">
      <c r="A746" s="28">
        <v>71780</v>
      </c>
      <c r="B746" s="28" t="s">
        <v>4361</v>
      </c>
      <c r="C746" s="28">
        <v>51591048</v>
      </c>
      <c r="D746" s="28" t="s">
        <v>4362</v>
      </c>
      <c r="E746" s="28" t="s">
        <v>4362</v>
      </c>
      <c r="F746" s="28" t="s">
        <v>4363</v>
      </c>
      <c r="G746" s="28" t="s">
        <v>4364</v>
      </c>
      <c r="H746" s="28" t="s">
        <v>4365</v>
      </c>
      <c r="I746" s="28" t="s">
        <v>4366</v>
      </c>
      <c r="J746" s="28" t="s">
        <v>67</v>
      </c>
      <c r="K746" s="28" t="s">
        <v>185</v>
      </c>
      <c r="L746" s="28" t="s">
        <v>185</v>
      </c>
      <c r="M746" s="28">
        <v>5088</v>
      </c>
      <c r="N746" s="29" t="s">
        <v>716</v>
      </c>
      <c r="O746" s="24">
        <f>VLOOKUP(A746,Hoja1!A:C,3,0)</f>
        <v>8</v>
      </c>
      <c r="P746" s="30" t="str">
        <f>VLOOKUP(M746,[1]TIPOLOGIAS!$A:$F,4,0)</f>
        <v>MEDELLIN</v>
      </c>
      <c r="Q746" s="30" t="str">
        <f>VLOOKUP(P746,'BASE TARIFA 2025'!C:D,2,0)</f>
        <v>WOMPI NOROCCIDENTE</v>
      </c>
      <c r="R746" s="31">
        <f>VLOOKUP(P746,'BASE TARIFA 2025'!C:F,4,0)</f>
        <v>15709.5</v>
      </c>
    </row>
    <row r="747" spans="1:18" s="28" customFormat="1" ht="14.4" x14ac:dyDescent="0.3">
      <c r="A747" s="28">
        <v>71765</v>
      </c>
      <c r="B747" s="28" t="s">
        <v>4367</v>
      </c>
      <c r="C747" s="28">
        <v>1107064177</v>
      </c>
      <c r="D747" s="28" t="s">
        <v>4368</v>
      </c>
      <c r="E747" s="28" t="s">
        <v>4369</v>
      </c>
      <c r="F747" s="28" t="s">
        <v>4370</v>
      </c>
      <c r="G747" s="28" t="s">
        <v>4371</v>
      </c>
      <c r="H747" s="28" t="s">
        <v>4372</v>
      </c>
      <c r="I747" s="28" t="s">
        <v>4373</v>
      </c>
      <c r="J747" s="28" t="s">
        <v>67</v>
      </c>
      <c r="K747" s="28" t="s">
        <v>185</v>
      </c>
      <c r="L747" s="28" t="s">
        <v>185</v>
      </c>
      <c r="M747" s="28">
        <v>5088</v>
      </c>
      <c r="N747" s="29" t="s">
        <v>589</v>
      </c>
      <c r="O747" s="24">
        <f>VLOOKUP(A747,Hoja1!A:C,3,0)</f>
        <v>8</v>
      </c>
      <c r="P747" s="30" t="str">
        <f>VLOOKUP(M747,[1]TIPOLOGIAS!$A:$F,4,0)</f>
        <v>MEDELLIN</v>
      </c>
      <c r="Q747" s="30" t="str">
        <f>VLOOKUP(P747,'BASE TARIFA 2025'!C:D,2,0)</f>
        <v>WOMPI NOROCCIDENTE</v>
      </c>
      <c r="R747" s="31">
        <f>VLOOKUP(P747,'BASE TARIFA 2025'!C:F,4,0)</f>
        <v>15709.5</v>
      </c>
    </row>
    <row r="748" spans="1:18" s="28" customFormat="1" ht="14.4" x14ac:dyDescent="0.3">
      <c r="A748" s="28">
        <v>72539</v>
      </c>
      <c r="B748" s="28" t="s">
        <v>4374</v>
      </c>
      <c r="C748" s="28">
        <v>1094165025</v>
      </c>
      <c r="D748" s="28" t="s">
        <v>4375</v>
      </c>
      <c r="E748" s="28" t="s">
        <v>314</v>
      </c>
      <c r="F748" s="28" t="s">
        <v>314</v>
      </c>
      <c r="G748" s="28" t="s">
        <v>315</v>
      </c>
      <c r="H748" s="28" t="s">
        <v>316</v>
      </c>
      <c r="I748" s="28" t="s">
        <v>317</v>
      </c>
      <c r="J748" s="28" t="s">
        <v>92</v>
      </c>
      <c r="K748" s="28" t="s">
        <v>157</v>
      </c>
      <c r="L748" s="28" t="s">
        <v>157</v>
      </c>
      <c r="M748" s="28">
        <v>54001</v>
      </c>
      <c r="N748" s="29" t="s">
        <v>744</v>
      </c>
      <c r="O748" s="24">
        <f>VLOOKUP(A748,Hoja1!A:C,3,0)</f>
        <v>8</v>
      </c>
      <c r="P748" s="30" t="str">
        <f>VLOOKUP(M748,[1]TIPOLOGIAS!$A:$F,4,0)</f>
        <v>CUCUTA</v>
      </c>
      <c r="Q748" s="30" t="str">
        <f>VLOOKUP(P748,'BASE TARIFA 2025'!C:D,2,0)</f>
        <v>WOMPI SANTANDERES</v>
      </c>
      <c r="R748" s="31">
        <f>VLOOKUP(P748,'BASE TARIFA 2025'!C:F,4,0)</f>
        <v>28277.100000000002</v>
      </c>
    </row>
    <row r="749" spans="1:18" s="28" customFormat="1" ht="14.4" x14ac:dyDescent="0.3">
      <c r="A749" s="28">
        <v>72176</v>
      </c>
      <c r="B749" s="28" t="s">
        <v>4376</v>
      </c>
      <c r="C749" s="28">
        <v>1059604126</v>
      </c>
      <c r="D749" s="28" t="s">
        <v>4377</v>
      </c>
      <c r="E749" s="28" t="s">
        <v>4378</v>
      </c>
      <c r="F749" s="28" t="s">
        <v>4379</v>
      </c>
      <c r="G749" s="28" t="s">
        <v>4380</v>
      </c>
      <c r="H749" s="28" t="s">
        <v>4381</v>
      </c>
      <c r="I749" s="28" t="s">
        <v>4382</v>
      </c>
      <c r="J749" s="28" t="s">
        <v>92</v>
      </c>
      <c r="K749" s="28" t="s">
        <v>157</v>
      </c>
      <c r="L749" s="28" t="s">
        <v>157</v>
      </c>
      <c r="M749" s="28">
        <v>54001</v>
      </c>
      <c r="N749" s="29" t="s">
        <v>756</v>
      </c>
      <c r="O749" s="24">
        <f>VLOOKUP(A749,Hoja1!A:C,3,0)</f>
        <v>16</v>
      </c>
      <c r="P749" s="30" t="str">
        <f>VLOOKUP(M749,[1]TIPOLOGIAS!$A:$F,4,0)</f>
        <v>CUCUTA</v>
      </c>
      <c r="Q749" s="30" t="str">
        <f>VLOOKUP(P749,'BASE TARIFA 2025'!C:D,2,0)</f>
        <v>WOMPI SANTANDERES</v>
      </c>
      <c r="R749" s="31">
        <f>VLOOKUP(P749,'BASE TARIFA 2025'!C:F,4,0)</f>
        <v>28277.100000000002</v>
      </c>
    </row>
    <row r="750" spans="1:18" s="28" customFormat="1" ht="14.4" x14ac:dyDescent="0.3">
      <c r="A750" s="28">
        <v>72177</v>
      </c>
      <c r="B750" s="28" t="s">
        <v>4383</v>
      </c>
      <c r="C750" s="28">
        <v>31970507</v>
      </c>
      <c r="D750" s="28" t="s">
        <v>4384</v>
      </c>
      <c r="E750" s="28" t="s">
        <v>4385</v>
      </c>
      <c r="F750" s="28" t="s">
        <v>4385</v>
      </c>
      <c r="G750" s="28" t="s">
        <v>4386</v>
      </c>
      <c r="H750" s="28" t="s">
        <v>4387</v>
      </c>
      <c r="I750" s="28" t="s">
        <v>4388</v>
      </c>
      <c r="J750" s="28" t="s">
        <v>92</v>
      </c>
      <c r="K750" s="28" t="s">
        <v>157</v>
      </c>
      <c r="L750" s="28" t="s">
        <v>157</v>
      </c>
      <c r="M750" s="28">
        <v>54001</v>
      </c>
      <c r="N750" s="29" t="s">
        <v>744</v>
      </c>
      <c r="O750" s="24">
        <f>VLOOKUP(A750,Hoja1!A:C,3,0)</f>
        <v>16</v>
      </c>
      <c r="P750" s="30" t="str">
        <f>VLOOKUP(M750,[1]TIPOLOGIAS!$A:$F,4,0)</f>
        <v>CUCUTA</v>
      </c>
      <c r="Q750" s="30" t="str">
        <f>VLOOKUP(P750,'BASE TARIFA 2025'!C:D,2,0)</f>
        <v>WOMPI SANTANDERES</v>
      </c>
      <c r="R750" s="31">
        <f>VLOOKUP(P750,'BASE TARIFA 2025'!C:F,4,0)</f>
        <v>28277.100000000002</v>
      </c>
    </row>
    <row r="751" spans="1:18" s="28" customFormat="1" ht="14.4" x14ac:dyDescent="0.3">
      <c r="A751" s="28">
        <v>73490</v>
      </c>
      <c r="B751" s="28" t="s">
        <v>4389</v>
      </c>
      <c r="C751" s="28">
        <v>1014281611</v>
      </c>
      <c r="D751" s="28" t="s">
        <v>4390</v>
      </c>
      <c r="E751" s="28" t="s">
        <v>4391</v>
      </c>
      <c r="F751" s="28" t="s">
        <v>4391</v>
      </c>
      <c r="G751" s="28" t="s">
        <v>4392</v>
      </c>
      <c r="H751" s="28" t="s">
        <v>4393</v>
      </c>
      <c r="I751" s="28" t="s">
        <v>4394</v>
      </c>
      <c r="J751" s="28" t="s">
        <v>92</v>
      </c>
      <c r="K751" s="28" t="s">
        <v>157</v>
      </c>
      <c r="L751" s="28" t="s">
        <v>157</v>
      </c>
      <c r="M751" s="28">
        <v>54001</v>
      </c>
      <c r="N751" s="29" t="s">
        <v>756</v>
      </c>
      <c r="O751" s="24">
        <f>VLOOKUP(A751,Hoja1!A:C,3,0)</f>
        <v>8</v>
      </c>
      <c r="P751" s="30" t="str">
        <f>VLOOKUP(M751,[1]TIPOLOGIAS!$A:$F,4,0)</f>
        <v>CUCUTA</v>
      </c>
      <c r="Q751" s="30" t="str">
        <f>VLOOKUP(P751,'BASE TARIFA 2025'!C:D,2,0)</f>
        <v>WOMPI SANTANDERES</v>
      </c>
      <c r="R751" s="31">
        <f>VLOOKUP(P751,'BASE TARIFA 2025'!C:F,4,0)</f>
        <v>28277.100000000002</v>
      </c>
    </row>
    <row r="752" spans="1:18" s="28" customFormat="1" ht="14.4" x14ac:dyDescent="0.3">
      <c r="A752" s="28">
        <v>73695</v>
      </c>
      <c r="B752" s="28" t="s">
        <v>4395</v>
      </c>
      <c r="C752" s="28">
        <v>4245561</v>
      </c>
      <c r="D752" s="28" t="s">
        <v>4396</v>
      </c>
      <c r="E752" s="28" t="s">
        <v>4397</v>
      </c>
      <c r="F752" s="28" t="s">
        <v>4397</v>
      </c>
      <c r="G752" s="28" t="s">
        <v>4398</v>
      </c>
      <c r="H752" s="28" t="s">
        <v>4399</v>
      </c>
      <c r="I752" s="28" t="s">
        <v>4400</v>
      </c>
      <c r="J752" s="28" t="s">
        <v>92</v>
      </c>
      <c r="K752" s="28" t="s">
        <v>157</v>
      </c>
      <c r="L752" s="28" t="s">
        <v>157</v>
      </c>
      <c r="M752" s="28">
        <v>54001</v>
      </c>
      <c r="N752" s="29" t="s">
        <v>756</v>
      </c>
      <c r="O752" s="24">
        <f>VLOOKUP(A752,Hoja1!A:C,3,0)</f>
        <v>8</v>
      </c>
      <c r="P752" s="30" t="str">
        <f>VLOOKUP(M752,[1]TIPOLOGIAS!$A:$F,4,0)</f>
        <v>CUCUTA</v>
      </c>
      <c r="Q752" s="30" t="str">
        <f>VLOOKUP(P752,'BASE TARIFA 2025'!C:D,2,0)</f>
        <v>WOMPI SANTANDERES</v>
      </c>
      <c r="R752" s="31">
        <f>VLOOKUP(P752,'BASE TARIFA 2025'!C:F,4,0)</f>
        <v>28277.100000000002</v>
      </c>
    </row>
    <row r="753" spans="1:18" s="28" customFormat="1" ht="14.4" x14ac:dyDescent="0.3">
      <c r="A753" s="28">
        <v>73703</v>
      </c>
      <c r="B753" s="28" t="s">
        <v>4401</v>
      </c>
      <c r="C753" s="28">
        <v>1000505553</v>
      </c>
      <c r="D753" s="28" t="s">
        <v>4402</v>
      </c>
      <c r="E753" s="28" t="s">
        <v>4403</v>
      </c>
      <c r="F753" s="28" t="s">
        <v>4403</v>
      </c>
      <c r="G753" s="28" t="s">
        <v>4404</v>
      </c>
      <c r="H753" s="28" t="s">
        <v>4405</v>
      </c>
      <c r="I753" s="28" t="s">
        <v>4406</v>
      </c>
      <c r="J753" s="28" t="s">
        <v>92</v>
      </c>
      <c r="K753" s="28" t="s">
        <v>157</v>
      </c>
      <c r="L753" s="28" t="s">
        <v>157</v>
      </c>
      <c r="M753" s="28">
        <v>54001</v>
      </c>
      <c r="N753" s="29" t="s">
        <v>744</v>
      </c>
      <c r="O753" s="24">
        <f>VLOOKUP(A753,Hoja1!A:C,3,0)</f>
        <v>8</v>
      </c>
      <c r="P753" s="30" t="str">
        <f>VLOOKUP(M753,[1]TIPOLOGIAS!$A:$F,4,0)</f>
        <v>CUCUTA</v>
      </c>
      <c r="Q753" s="30" t="str">
        <f>VLOOKUP(P753,'BASE TARIFA 2025'!C:D,2,0)</f>
        <v>WOMPI SANTANDERES</v>
      </c>
      <c r="R753" s="31">
        <f>VLOOKUP(P753,'BASE TARIFA 2025'!C:F,4,0)</f>
        <v>28277.100000000002</v>
      </c>
    </row>
    <row r="754" spans="1:18" s="28" customFormat="1" ht="14.4" x14ac:dyDescent="0.3">
      <c r="A754" s="28">
        <v>73736</v>
      </c>
      <c r="B754" s="28" t="s">
        <v>4407</v>
      </c>
      <c r="C754" s="28">
        <v>1010091940</v>
      </c>
      <c r="D754" s="28" t="s">
        <v>4408</v>
      </c>
      <c r="E754" s="28" t="s">
        <v>1879</v>
      </c>
      <c r="F754" s="28" t="s">
        <v>1879</v>
      </c>
      <c r="G754" s="28" t="s">
        <v>4409</v>
      </c>
      <c r="H754" s="28" t="s">
        <v>4410</v>
      </c>
      <c r="I754" s="28" t="s">
        <v>4411</v>
      </c>
      <c r="J754" s="28" t="s">
        <v>92</v>
      </c>
      <c r="K754" s="28" t="s">
        <v>157</v>
      </c>
      <c r="L754" s="28" t="s">
        <v>157</v>
      </c>
      <c r="M754" s="28">
        <v>54001</v>
      </c>
      <c r="N754" s="29" t="s">
        <v>638</v>
      </c>
      <c r="O754" s="24">
        <f>VLOOKUP(A754,Hoja1!A:C,3,0)</f>
        <v>8</v>
      </c>
      <c r="P754" s="30" t="str">
        <f>VLOOKUP(M754,[1]TIPOLOGIAS!$A:$F,4,0)</f>
        <v>CUCUTA</v>
      </c>
      <c r="Q754" s="30" t="str">
        <f>VLOOKUP(P754,'BASE TARIFA 2025'!C:D,2,0)</f>
        <v>WOMPI SANTANDERES</v>
      </c>
      <c r="R754" s="31">
        <f>VLOOKUP(P754,'BASE TARIFA 2025'!C:F,4,0)</f>
        <v>28277.100000000002</v>
      </c>
    </row>
    <row r="755" spans="1:18" s="28" customFormat="1" ht="14.4" x14ac:dyDescent="0.3">
      <c r="A755" s="28">
        <v>74518</v>
      </c>
      <c r="B755" s="28" t="s">
        <v>4412</v>
      </c>
      <c r="C755" s="28">
        <v>1005053971</v>
      </c>
      <c r="D755" s="28" t="s">
        <v>4413</v>
      </c>
      <c r="E755" s="28" t="s">
        <v>1853</v>
      </c>
      <c r="F755" s="28" t="s">
        <v>1853</v>
      </c>
      <c r="G755" s="28" t="s">
        <v>4414</v>
      </c>
      <c r="H755" s="28" t="s">
        <v>4415</v>
      </c>
      <c r="I755" s="28" t="s">
        <v>4416</v>
      </c>
      <c r="J755" s="28" t="s">
        <v>92</v>
      </c>
      <c r="K755" s="28" t="s">
        <v>157</v>
      </c>
      <c r="L755" s="28" t="s">
        <v>157</v>
      </c>
      <c r="M755" s="28">
        <v>54001</v>
      </c>
      <c r="N755" s="29" t="s">
        <v>744</v>
      </c>
      <c r="O755" s="24">
        <f>VLOOKUP(A755,Hoja1!A:C,3,0)</f>
        <v>16</v>
      </c>
      <c r="P755" s="30" t="str">
        <f>VLOOKUP(M755,[1]TIPOLOGIAS!$A:$F,4,0)</f>
        <v>CUCUTA</v>
      </c>
      <c r="Q755" s="30" t="str">
        <f>VLOOKUP(P755,'BASE TARIFA 2025'!C:D,2,0)</f>
        <v>WOMPI SANTANDERES</v>
      </c>
      <c r="R755" s="31">
        <f>VLOOKUP(P755,'BASE TARIFA 2025'!C:F,4,0)</f>
        <v>28277.100000000002</v>
      </c>
    </row>
    <row r="756" spans="1:18" s="28" customFormat="1" ht="14.4" x14ac:dyDescent="0.3">
      <c r="A756" s="28">
        <v>72640</v>
      </c>
      <c r="B756" s="28" t="s">
        <v>4417</v>
      </c>
      <c r="C756" s="28">
        <v>1144133573</v>
      </c>
      <c r="D756" s="28" t="s">
        <v>4418</v>
      </c>
      <c r="E756" s="28" t="s">
        <v>4419</v>
      </c>
      <c r="F756" s="28" t="s">
        <v>4420</v>
      </c>
      <c r="G756" s="28" t="s">
        <v>4421</v>
      </c>
      <c r="H756" s="28" t="s">
        <v>4422</v>
      </c>
      <c r="I756" s="28" t="s">
        <v>4423</v>
      </c>
      <c r="J756" s="28" t="s">
        <v>88</v>
      </c>
      <c r="K756" s="28" t="s">
        <v>163</v>
      </c>
      <c r="L756" s="28" t="s">
        <v>163</v>
      </c>
      <c r="M756" s="28">
        <v>66170</v>
      </c>
      <c r="N756" s="29" t="s">
        <v>553</v>
      </c>
      <c r="O756" s="24">
        <f>VLOOKUP(A756,Hoja1!A:C,3,0)</f>
        <v>8</v>
      </c>
      <c r="P756" s="30" t="str">
        <f>VLOOKUP(M756,[1]TIPOLOGIAS!$A:$F,4,0)</f>
        <v>PEREIRA</v>
      </c>
      <c r="Q756" s="30" t="str">
        <f>VLOOKUP(P756,'BASE TARIFA 2025'!C:D,2,0)</f>
        <v>WOMPI EJE CAFETERO</v>
      </c>
      <c r="R756" s="31">
        <f>VLOOKUP(P756,'BASE TARIFA 2025'!C:F,4,0)</f>
        <v>15709.5</v>
      </c>
    </row>
    <row r="757" spans="1:18" s="28" customFormat="1" ht="14.4" x14ac:dyDescent="0.3">
      <c r="A757" s="28">
        <v>72740</v>
      </c>
      <c r="B757" s="28" t="s">
        <v>4424</v>
      </c>
      <c r="C757" s="28">
        <v>1235250894</v>
      </c>
      <c r="D757" s="28" t="s">
        <v>4425</v>
      </c>
      <c r="E757" s="28" t="s">
        <v>4426</v>
      </c>
      <c r="F757" s="28" t="s">
        <v>4426</v>
      </c>
      <c r="G757" s="28" t="s">
        <v>4427</v>
      </c>
      <c r="H757" s="28" t="s">
        <v>4428</v>
      </c>
      <c r="I757" s="28" t="s">
        <v>4429</v>
      </c>
      <c r="J757" s="28" t="s">
        <v>88</v>
      </c>
      <c r="K757" s="28" t="s">
        <v>163</v>
      </c>
      <c r="L757" s="28" t="s">
        <v>163</v>
      </c>
      <c r="M757" s="28">
        <v>66170</v>
      </c>
      <c r="N757" s="29" t="s">
        <v>589</v>
      </c>
      <c r="O757" s="24">
        <f>VLOOKUP(A757,Hoja1!A:C,3,0)</f>
        <v>8</v>
      </c>
      <c r="P757" s="30" t="str">
        <f>VLOOKUP(M757,[1]TIPOLOGIAS!$A:$F,4,0)</f>
        <v>PEREIRA</v>
      </c>
      <c r="Q757" s="30" t="str">
        <f>VLOOKUP(P757,'BASE TARIFA 2025'!C:D,2,0)</f>
        <v>WOMPI EJE CAFETERO</v>
      </c>
      <c r="R757" s="31">
        <f>VLOOKUP(P757,'BASE TARIFA 2025'!C:F,4,0)</f>
        <v>15709.5</v>
      </c>
    </row>
    <row r="758" spans="1:18" s="28" customFormat="1" ht="14.4" x14ac:dyDescent="0.3">
      <c r="A758" s="28">
        <v>74887</v>
      </c>
      <c r="B758" s="28" t="s">
        <v>4430</v>
      </c>
      <c r="C758" s="28">
        <v>80801899</v>
      </c>
      <c r="D758" s="28" t="s">
        <v>4431</v>
      </c>
      <c r="E758" s="28" t="s">
        <v>4432</v>
      </c>
      <c r="F758" s="28" t="s">
        <v>4433</v>
      </c>
      <c r="G758" s="28" t="s">
        <v>4434</v>
      </c>
      <c r="H758" s="28" t="s">
        <v>4435</v>
      </c>
      <c r="I758" s="28" t="s">
        <v>4436</v>
      </c>
      <c r="J758" s="28" t="s">
        <v>88</v>
      </c>
      <c r="K758" s="28" t="s">
        <v>163</v>
      </c>
      <c r="L758" s="28" t="s">
        <v>163</v>
      </c>
      <c r="M758" s="28">
        <v>66170</v>
      </c>
      <c r="N758" s="29" t="s">
        <v>553</v>
      </c>
      <c r="O758" s="24">
        <f>VLOOKUP(A758,Hoja1!A:C,3,0)</f>
        <v>16</v>
      </c>
      <c r="P758" s="30" t="str">
        <f>VLOOKUP(M758,[1]TIPOLOGIAS!$A:$F,4,0)</f>
        <v>PEREIRA</v>
      </c>
      <c r="Q758" s="30" t="str">
        <f>VLOOKUP(P758,'BASE TARIFA 2025'!C:D,2,0)</f>
        <v>WOMPI EJE CAFETERO</v>
      </c>
      <c r="R758" s="31">
        <f>VLOOKUP(P758,'BASE TARIFA 2025'!C:F,4,0)</f>
        <v>15709.5</v>
      </c>
    </row>
    <row r="759" spans="1:18" s="28" customFormat="1" ht="14.4" x14ac:dyDescent="0.3">
      <c r="A759" s="28">
        <v>74889</v>
      </c>
      <c r="B759" s="28" t="s">
        <v>4437</v>
      </c>
      <c r="C759" s="28">
        <v>830061125</v>
      </c>
      <c r="D759" s="28" t="s">
        <v>4438</v>
      </c>
      <c r="E759" s="28" t="s">
        <v>4439</v>
      </c>
      <c r="F759" s="28" t="s">
        <v>4438</v>
      </c>
      <c r="G759" s="28" t="s">
        <v>4440</v>
      </c>
      <c r="H759" s="28" t="s">
        <v>4441</v>
      </c>
      <c r="I759" s="28" t="s">
        <v>4442</v>
      </c>
      <c r="J759" s="28" t="s">
        <v>88</v>
      </c>
      <c r="K759" s="28" t="s">
        <v>163</v>
      </c>
      <c r="L759" s="28" t="s">
        <v>163</v>
      </c>
      <c r="M759" s="28">
        <v>66170</v>
      </c>
      <c r="N759" s="29" t="s">
        <v>589</v>
      </c>
      <c r="O759" s="24">
        <f>VLOOKUP(A759,Hoja1!A:C,3,0)</f>
        <v>8</v>
      </c>
      <c r="P759" s="30" t="str">
        <f>VLOOKUP(M759,[1]TIPOLOGIAS!$A:$F,4,0)</f>
        <v>PEREIRA</v>
      </c>
      <c r="Q759" s="30" t="str">
        <f>VLOOKUP(P759,'BASE TARIFA 2025'!C:D,2,0)</f>
        <v>WOMPI EJE CAFETERO</v>
      </c>
      <c r="R759" s="31">
        <f>VLOOKUP(P759,'BASE TARIFA 2025'!C:F,4,0)</f>
        <v>15709.5</v>
      </c>
    </row>
    <row r="760" spans="1:18" s="28" customFormat="1" ht="14.4" x14ac:dyDescent="0.3">
      <c r="A760" s="28">
        <v>74893</v>
      </c>
      <c r="B760" s="28" t="s">
        <v>4443</v>
      </c>
      <c r="C760" s="28">
        <v>1013654533</v>
      </c>
      <c r="D760" s="28" t="s">
        <v>4444</v>
      </c>
      <c r="E760" s="28" t="s">
        <v>4444</v>
      </c>
      <c r="F760" s="28" t="s">
        <v>4444</v>
      </c>
      <c r="G760" s="28" t="s">
        <v>4445</v>
      </c>
      <c r="H760" s="28" t="s">
        <v>4446</v>
      </c>
      <c r="I760" s="28" t="s">
        <v>4447</v>
      </c>
      <c r="J760" s="28" t="s">
        <v>88</v>
      </c>
      <c r="K760" s="28" t="s">
        <v>163</v>
      </c>
      <c r="L760" s="28" t="s">
        <v>163</v>
      </c>
      <c r="M760" s="28">
        <v>66170</v>
      </c>
      <c r="N760" s="29" t="s">
        <v>530</v>
      </c>
      <c r="O760" s="24">
        <f>VLOOKUP(A760,Hoja1!A:C,3,0)</f>
        <v>16</v>
      </c>
      <c r="P760" s="30" t="str">
        <f>VLOOKUP(M760,[1]TIPOLOGIAS!$A:$F,4,0)</f>
        <v>PEREIRA</v>
      </c>
      <c r="Q760" s="30" t="str">
        <f>VLOOKUP(P760,'BASE TARIFA 2025'!C:D,2,0)</f>
        <v>WOMPI EJE CAFETERO</v>
      </c>
      <c r="R760" s="31">
        <f>VLOOKUP(P760,'BASE TARIFA 2025'!C:F,4,0)</f>
        <v>15709.5</v>
      </c>
    </row>
    <row r="761" spans="1:18" s="28" customFormat="1" ht="14.4" x14ac:dyDescent="0.3">
      <c r="A761" s="28">
        <v>74970</v>
      </c>
      <c r="B761" s="28" t="s">
        <v>4448</v>
      </c>
      <c r="C761" s="28">
        <v>39802419</v>
      </c>
      <c r="D761" s="28" t="s">
        <v>302</v>
      </c>
      <c r="E761" s="28" t="s">
        <v>302</v>
      </c>
      <c r="F761" s="28" t="s">
        <v>4449</v>
      </c>
      <c r="G761" s="28" t="s">
        <v>303</v>
      </c>
      <c r="H761" s="28" t="s">
        <v>304</v>
      </c>
      <c r="I761" s="28" t="s">
        <v>305</v>
      </c>
      <c r="J761" s="28" t="s">
        <v>88</v>
      </c>
      <c r="K761" s="28" t="s">
        <v>163</v>
      </c>
      <c r="L761" s="28" t="s">
        <v>163</v>
      </c>
      <c r="M761" s="28">
        <v>66170</v>
      </c>
      <c r="N761" s="29" t="s">
        <v>589</v>
      </c>
      <c r="O761" s="24">
        <f>VLOOKUP(A761,Hoja1!A:C,3,0)</f>
        <v>8</v>
      </c>
      <c r="P761" s="30" t="str">
        <f>VLOOKUP(M761,[1]TIPOLOGIAS!$A:$F,4,0)</f>
        <v>PEREIRA</v>
      </c>
      <c r="Q761" s="30" t="str">
        <f>VLOOKUP(P761,'BASE TARIFA 2025'!C:D,2,0)</f>
        <v>WOMPI EJE CAFETERO</v>
      </c>
      <c r="R761" s="31">
        <f>VLOOKUP(P761,'BASE TARIFA 2025'!C:F,4,0)</f>
        <v>15709.5</v>
      </c>
    </row>
    <row r="762" spans="1:18" s="28" customFormat="1" ht="14.4" x14ac:dyDescent="0.3">
      <c r="A762" s="28">
        <v>74971</v>
      </c>
      <c r="B762" s="28" t="s">
        <v>4450</v>
      </c>
      <c r="C762" s="28">
        <v>23474065</v>
      </c>
      <c r="D762" s="28" t="s">
        <v>4451</v>
      </c>
      <c r="E762" s="28" t="s">
        <v>4451</v>
      </c>
      <c r="F762" s="28" t="s">
        <v>4451</v>
      </c>
      <c r="G762" s="28" t="s">
        <v>4452</v>
      </c>
      <c r="H762" s="28" t="s">
        <v>4453</v>
      </c>
      <c r="I762" s="28" t="s">
        <v>4454</v>
      </c>
      <c r="J762" s="28" t="s">
        <v>112</v>
      </c>
      <c r="K762" s="28" t="s">
        <v>4306</v>
      </c>
      <c r="L762" s="28" t="s">
        <v>4306</v>
      </c>
      <c r="M762" s="28">
        <v>85230</v>
      </c>
      <c r="N762" s="29" t="s">
        <v>756</v>
      </c>
      <c r="O762" s="24">
        <f>VLOOKUP(A762,Hoja1!A:C,3,0)</f>
        <v>8</v>
      </c>
      <c r="P762" s="30" t="str">
        <f>VLOOKUP(M762,[1]TIPOLOGIAS!$A:$F,4,0)</f>
        <v>YOPAL</v>
      </c>
      <c r="Q762" s="30" t="str">
        <f>VLOOKUP(P762,'BASE TARIFA 2025'!C:D,2,0)</f>
        <v>WOMPI ORIENTE</v>
      </c>
      <c r="R762" s="31">
        <f>VLOOKUP(P762,'BASE TARIFA 2025'!C:F,4,0)</f>
        <v>28277.100000000002</v>
      </c>
    </row>
    <row r="763" spans="1:18" s="28" customFormat="1" ht="14.4" x14ac:dyDescent="0.3">
      <c r="A763" s="28">
        <v>75125</v>
      </c>
      <c r="B763" s="28" t="s">
        <v>4455</v>
      </c>
      <c r="C763" s="28">
        <v>39644168</v>
      </c>
      <c r="E763" s="28" t="s">
        <v>4456</v>
      </c>
      <c r="F763" s="28" t="s">
        <v>4456</v>
      </c>
      <c r="G763" s="28" t="s">
        <v>4457</v>
      </c>
      <c r="H763" s="28" t="s">
        <v>4458</v>
      </c>
      <c r="I763" s="28" t="s">
        <v>4459</v>
      </c>
      <c r="J763" s="28" t="s">
        <v>113</v>
      </c>
      <c r="K763" s="28" t="s">
        <v>124</v>
      </c>
      <c r="L763" s="28" t="s">
        <v>124</v>
      </c>
      <c r="M763" s="28">
        <v>86749</v>
      </c>
      <c r="N763" s="29" t="s">
        <v>744</v>
      </c>
      <c r="O763" s="24">
        <f>VLOOKUP(A763,Hoja1!A:C,3,0)</f>
        <v>8</v>
      </c>
      <c r="P763" s="30" t="str">
        <f>VLOOKUP(M763,[1]TIPOLOGIAS!$A:$F,4,0)</f>
        <v>PASTO</v>
      </c>
      <c r="Q763" s="30" t="str">
        <f>VLOOKUP(P763,'BASE TARIFA 2025'!C:D,2,0)</f>
        <v>WOMPI SUROCCIDENTE</v>
      </c>
      <c r="R763" s="31">
        <f>VLOOKUP(P763,'BASE TARIFA 2025'!C:F,4,0)</f>
        <v>28277.100000000002</v>
      </c>
    </row>
    <row r="764" spans="1:18" s="28" customFormat="1" ht="14.4" x14ac:dyDescent="0.3">
      <c r="A764" s="28">
        <v>75112</v>
      </c>
      <c r="B764" s="28" t="s">
        <v>4460</v>
      </c>
      <c r="C764" s="28">
        <v>16744927</v>
      </c>
      <c r="D764" s="28" t="s">
        <v>4461</v>
      </c>
      <c r="E764" s="28" t="s">
        <v>4462</v>
      </c>
      <c r="F764" s="28" t="s">
        <v>4462</v>
      </c>
      <c r="G764" s="28" t="s">
        <v>4463</v>
      </c>
      <c r="H764" s="28" t="s">
        <v>4464</v>
      </c>
      <c r="I764" s="28" t="s">
        <v>4465</v>
      </c>
      <c r="J764" s="28" t="s">
        <v>113</v>
      </c>
      <c r="K764" s="28" t="s">
        <v>124</v>
      </c>
      <c r="L764" s="28" t="s">
        <v>124</v>
      </c>
      <c r="M764" s="28">
        <v>86749</v>
      </c>
      <c r="N764" s="29" t="s">
        <v>744</v>
      </c>
      <c r="O764" s="24">
        <f>VLOOKUP(A764,Hoja1!A:C,3,0)</f>
        <v>8</v>
      </c>
      <c r="P764" s="30" t="str">
        <f>VLOOKUP(M764,[1]TIPOLOGIAS!$A:$F,4,0)</f>
        <v>PASTO</v>
      </c>
      <c r="Q764" s="30" t="str">
        <f>VLOOKUP(P764,'BASE TARIFA 2025'!C:D,2,0)</f>
        <v>WOMPI SUROCCIDENTE</v>
      </c>
      <c r="R764" s="31">
        <f>VLOOKUP(P764,'BASE TARIFA 2025'!C:F,4,0)</f>
        <v>28277.100000000002</v>
      </c>
    </row>
    <row r="765" spans="1:18" s="28" customFormat="1" ht="14.4" x14ac:dyDescent="0.3">
      <c r="A765" s="28">
        <v>74242</v>
      </c>
      <c r="B765" s="28" t="s">
        <v>4466</v>
      </c>
      <c r="C765" s="28">
        <v>29813227</v>
      </c>
      <c r="D765" s="28" t="s">
        <v>4467</v>
      </c>
      <c r="E765" s="28" t="s">
        <v>4468</v>
      </c>
      <c r="F765" s="28" t="s">
        <v>4467</v>
      </c>
      <c r="G765" s="28" t="s">
        <v>4469</v>
      </c>
      <c r="H765" s="28" t="s">
        <v>4470</v>
      </c>
      <c r="I765" s="28" t="s">
        <v>4471</v>
      </c>
      <c r="J765" s="28" t="s">
        <v>113</v>
      </c>
      <c r="K765" s="28" t="s">
        <v>124</v>
      </c>
      <c r="L765" s="28" t="s">
        <v>124</v>
      </c>
      <c r="M765" s="28">
        <v>86749</v>
      </c>
      <c r="N765" s="29" t="s">
        <v>744</v>
      </c>
      <c r="O765" s="24">
        <f>VLOOKUP(A765,Hoja1!A:C,3,0)</f>
        <v>8</v>
      </c>
      <c r="P765" s="30" t="str">
        <f>VLOOKUP(M765,[1]TIPOLOGIAS!$A:$F,4,0)</f>
        <v>PASTO</v>
      </c>
      <c r="Q765" s="30" t="str">
        <f>VLOOKUP(P765,'BASE TARIFA 2025'!C:D,2,0)</f>
        <v>WOMPI SUROCCIDENTE</v>
      </c>
      <c r="R765" s="31">
        <f>VLOOKUP(P765,'BASE TARIFA 2025'!C:F,4,0)</f>
        <v>28277.100000000002</v>
      </c>
    </row>
    <row r="766" spans="1:18" s="28" customFormat="1" ht="14.4" x14ac:dyDescent="0.3">
      <c r="A766" s="28">
        <v>75302</v>
      </c>
      <c r="B766" s="28" t="s">
        <v>4472</v>
      </c>
      <c r="C766" s="28">
        <v>1113362086</v>
      </c>
      <c r="D766" s="28" t="s">
        <v>4473</v>
      </c>
      <c r="E766" s="28" t="s">
        <v>4474</v>
      </c>
      <c r="F766" s="28" t="s">
        <v>4474</v>
      </c>
      <c r="G766" s="28" t="s">
        <v>4475</v>
      </c>
      <c r="H766" s="28" t="s">
        <v>4476</v>
      </c>
      <c r="I766" s="28" t="s">
        <v>4477</v>
      </c>
      <c r="J766" s="28" t="s">
        <v>67</v>
      </c>
      <c r="K766" s="28" t="s">
        <v>125</v>
      </c>
      <c r="L766" s="28" t="s">
        <v>125</v>
      </c>
      <c r="M766" s="28">
        <v>5001</v>
      </c>
      <c r="N766" s="29" t="s">
        <v>744</v>
      </c>
      <c r="O766" s="24">
        <f>VLOOKUP(A766,Hoja1!A:C,3,0)</f>
        <v>8</v>
      </c>
      <c r="P766" s="30" t="str">
        <f>VLOOKUP(M766,[1]TIPOLOGIAS!$A:$F,4,0)</f>
        <v>MEDELLIN</v>
      </c>
      <c r="Q766" s="30" t="str">
        <f>VLOOKUP(P766,'BASE TARIFA 2025'!C:D,2,0)</f>
        <v>WOMPI NOROCCIDENTE</v>
      </c>
      <c r="R766" s="31">
        <f>VLOOKUP(P766,'BASE TARIFA 2025'!C:F,4,0)</f>
        <v>15709.5</v>
      </c>
    </row>
    <row r="767" spans="1:18" s="28" customFormat="1" ht="14.4" x14ac:dyDescent="0.3">
      <c r="A767" s="28">
        <v>75604</v>
      </c>
      <c r="B767" s="28" t="s">
        <v>4478</v>
      </c>
      <c r="C767" s="28">
        <v>4149841</v>
      </c>
      <c r="D767" s="28" t="s">
        <v>4479</v>
      </c>
      <c r="E767" s="28" t="s">
        <v>4480</v>
      </c>
      <c r="F767" s="28" t="s">
        <v>4480</v>
      </c>
      <c r="G767" s="28" t="s">
        <v>4481</v>
      </c>
      <c r="H767" s="28" t="s">
        <v>4482</v>
      </c>
      <c r="I767" s="28" t="s">
        <v>4483</v>
      </c>
      <c r="J767" s="28" t="s">
        <v>67</v>
      </c>
      <c r="K767" s="28" t="s">
        <v>125</v>
      </c>
      <c r="L767" s="28" t="s">
        <v>125</v>
      </c>
      <c r="M767" s="28">
        <v>5001</v>
      </c>
      <c r="N767" s="29" t="s">
        <v>589</v>
      </c>
      <c r="O767" s="24">
        <f>VLOOKUP(A767,Hoja1!A:C,3,0)</f>
        <v>8</v>
      </c>
      <c r="P767" s="30" t="str">
        <f>VLOOKUP(M767,[1]TIPOLOGIAS!$A:$F,4,0)</f>
        <v>MEDELLIN</v>
      </c>
      <c r="Q767" s="30" t="str">
        <f>VLOOKUP(P767,'BASE TARIFA 2025'!C:D,2,0)</f>
        <v>WOMPI NOROCCIDENTE</v>
      </c>
      <c r="R767" s="31">
        <f>VLOOKUP(P767,'BASE TARIFA 2025'!C:F,4,0)</f>
        <v>15709.5</v>
      </c>
    </row>
    <row r="768" spans="1:18" s="28" customFormat="1" ht="14.4" x14ac:dyDescent="0.3">
      <c r="A768" s="28">
        <v>75650</v>
      </c>
      <c r="B768" s="28" t="s">
        <v>4484</v>
      </c>
      <c r="C768" s="28">
        <v>1061533071</v>
      </c>
      <c r="D768" s="28" t="s">
        <v>4485</v>
      </c>
      <c r="E768" s="28" t="s">
        <v>4486</v>
      </c>
      <c r="F768" s="28" t="s">
        <v>4486</v>
      </c>
      <c r="G768" s="28" t="s">
        <v>4487</v>
      </c>
      <c r="H768" s="28" t="s">
        <v>4488</v>
      </c>
      <c r="I768" s="28" t="s">
        <v>4489</v>
      </c>
      <c r="J768" s="28" t="s">
        <v>67</v>
      </c>
      <c r="K768" s="28" t="s">
        <v>125</v>
      </c>
      <c r="L768" s="28" t="s">
        <v>125</v>
      </c>
      <c r="M768" s="28">
        <v>5001</v>
      </c>
      <c r="N768" s="29" t="s">
        <v>744</v>
      </c>
      <c r="O768" s="24">
        <f>VLOOKUP(A768,Hoja1!A:C,3,0)</f>
        <v>8</v>
      </c>
      <c r="P768" s="30" t="str">
        <f>VLOOKUP(M768,[1]TIPOLOGIAS!$A:$F,4,0)</f>
        <v>MEDELLIN</v>
      </c>
      <c r="Q768" s="30" t="str">
        <f>VLOOKUP(P768,'BASE TARIFA 2025'!C:D,2,0)</f>
        <v>WOMPI NOROCCIDENTE</v>
      </c>
      <c r="R768" s="31">
        <f>VLOOKUP(P768,'BASE TARIFA 2025'!C:F,4,0)</f>
        <v>15709.5</v>
      </c>
    </row>
    <row r="769" spans="1:18" s="28" customFormat="1" ht="14.4" x14ac:dyDescent="0.3">
      <c r="A769" s="28">
        <v>74801</v>
      </c>
      <c r="B769" s="28" t="s">
        <v>4490</v>
      </c>
      <c r="C769" s="28">
        <v>1109540710</v>
      </c>
      <c r="D769" s="28" t="s">
        <v>233</v>
      </c>
      <c r="E769" s="28" t="s">
        <v>233</v>
      </c>
      <c r="G769" s="28" t="s">
        <v>234</v>
      </c>
      <c r="H769" s="28" t="s">
        <v>235</v>
      </c>
      <c r="I769" s="28" t="s">
        <v>236</v>
      </c>
      <c r="J769" s="28" t="s">
        <v>67</v>
      </c>
      <c r="K769" s="28" t="s">
        <v>125</v>
      </c>
      <c r="L769" s="28" t="s">
        <v>125</v>
      </c>
      <c r="M769" s="28">
        <v>5001</v>
      </c>
      <c r="N769" s="29" t="s">
        <v>589</v>
      </c>
      <c r="O769" s="24">
        <f>VLOOKUP(A769,Hoja1!A:C,3,0)</f>
        <v>8</v>
      </c>
      <c r="P769" s="30" t="str">
        <f>VLOOKUP(M769,[1]TIPOLOGIAS!$A:$F,4,0)</f>
        <v>MEDELLIN</v>
      </c>
      <c r="Q769" s="30" t="str">
        <f>VLOOKUP(P769,'BASE TARIFA 2025'!C:D,2,0)</f>
        <v>WOMPI NOROCCIDENTE</v>
      </c>
      <c r="R769" s="31">
        <f>VLOOKUP(P769,'BASE TARIFA 2025'!C:F,4,0)</f>
        <v>15709.5</v>
      </c>
    </row>
    <row r="770" spans="1:18" s="28" customFormat="1" ht="14.4" x14ac:dyDescent="0.3">
      <c r="A770" s="28">
        <v>74802</v>
      </c>
      <c r="B770" s="28" t="s">
        <v>4491</v>
      </c>
      <c r="C770" s="28">
        <v>1144176944</v>
      </c>
      <c r="D770" s="28" t="s">
        <v>229</v>
      </c>
      <c r="E770" s="28" t="s">
        <v>229</v>
      </c>
      <c r="G770" s="28" t="s">
        <v>230</v>
      </c>
      <c r="H770" s="28" t="s">
        <v>231</v>
      </c>
      <c r="I770" s="28" t="s">
        <v>232</v>
      </c>
      <c r="J770" s="28" t="s">
        <v>67</v>
      </c>
      <c r="K770" s="28" t="s">
        <v>125</v>
      </c>
      <c r="L770" s="28" t="s">
        <v>125</v>
      </c>
      <c r="M770" s="28">
        <v>5001</v>
      </c>
      <c r="N770" s="29" t="s">
        <v>589</v>
      </c>
      <c r="O770" s="24">
        <f>VLOOKUP(A770,Hoja1!A:C,3,0)</f>
        <v>8</v>
      </c>
      <c r="P770" s="30" t="str">
        <f>VLOOKUP(M770,[1]TIPOLOGIAS!$A:$F,4,0)</f>
        <v>MEDELLIN</v>
      </c>
      <c r="Q770" s="30" t="str">
        <f>VLOOKUP(P770,'BASE TARIFA 2025'!C:D,2,0)</f>
        <v>WOMPI NOROCCIDENTE</v>
      </c>
      <c r="R770" s="31">
        <f>VLOOKUP(P770,'BASE TARIFA 2025'!C:F,4,0)</f>
        <v>15709.5</v>
      </c>
    </row>
    <row r="771" spans="1:18" s="28" customFormat="1" ht="14.4" x14ac:dyDescent="0.3">
      <c r="A771" s="28">
        <v>75933</v>
      </c>
      <c r="B771" s="28" t="s">
        <v>4492</v>
      </c>
      <c r="C771" s="28">
        <v>1127383873</v>
      </c>
      <c r="D771" s="28" t="s">
        <v>225</v>
      </c>
      <c r="E771" s="28" t="s">
        <v>225</v>
      </c>
      <c r="F771" s="28" t="s">
        <v>4493</v>
      </c>
      <c r="G771" s="28" t="s">
        <v>226</v>
      </c>
      <c r="H771" s="28" t="s">
        <v>227</v>
      </c>
      <c r="I771" s="28" t="s">
        <v>228</v>
      </c>
      <c r="J771" s="28" t="s">
        <v>67</v>
      </c>
      <c r="K771" s="28" t="s">
        <v>125</v>
      </c>
      <c r="L771" s="28" t="s">
        <v>125</v>
      </c>
      <c r="M771" s="28">
        <v>5001</v>
      </c>
      <c r="N771" s="29" t="s">
        <v>589</v>
      </c>
      <c r="O771" s="24">
        <f>VLOOKUP(A771,Hoja1!A:C,3,0)</f>
        <v>8</v>
      </c>
      <c r="P771" s="30" t="str">
        <f>VLOOKUP(M771,[1]TIPOLOGIAS!$A:$F,4,0)</f>
        <v>MEDELLIN</v>
      </c>
      <c r="Q771" s="30" t="str">
        <f>VLOOKUP(P771,'BASE TARIFA 2025'!C:D,2,0)</f>
        <v>WOMPI NOROCCIDENTE</v>
      </c>
      <c r="R771" s="31">
        <f>VLOOKUP(P771,'BASE TARIFA 2025'!C:F,4,0)</f>
        <v>15709.5</v>
      </c>
    </row>
    <row r="772" spans="1:18" s="28" customFormat="1" ht="14.4" x14ac:dyDescent="0.3">
      <c r="A772" s="28">
        <v>75948</v>
      </c>
      <c r="B772" s="28" t="s">
        <v>4494</v>
      </c>
      <c r="C772" s="28">
        <v>38556030</v>
      </c>
      <c r="D772" s="28" t="s">
        <v>4495</v>
      </c>
      <c r="E772" s="28" t="s">
        <v>69</v>
      </c>
      <c r="F772" s="28" t="s">
        <v>4496</v>
      </c>
      <c r="G772" s="28" t="s">
        <v>4497</v>
      </c>
      <c r="H772" s="28" t="s">
        <v>4498</v>
      </c>
      <c r="I772" s="28" t="s">
        <v>4499</v>
      </c>
      <c r="J772" s="28" t="s">
        <v>67</v>
      </c>
      <c r="K772" s="28" t="s">
        <v>185</v>
      </c>
      <c r="L772" s="28" t="s">
        <v>185</v>
      </c>
      <c r="M772" s="28">
        <v>5088</v>
      </c>
      <c r="N772" s="29" t="s">
        <v>638</v>
      </c>
      <c r="O772" s="24">
        <f>VLOOKUP(A772,Hoja1!A:C,3,0)</f>
        <v>8</v>
      </c>
      <c r="P772" s="30" t="str">
        <f>VLOOKUP(M772,[1]TIPOLOGIAS!$A:$F,4,0)</f>
        <v>MEDELLIN</v>
      </c>
      <c r="Q772" s="30" t="str">
        <f>VLOOKUP(P772,'BASE TARIFA 2025'!C:D,2,0)</f>
        <v>WOMPI NOROCCIDENTE</v>
      </c>
      <c r="R772" s="31">
        <f>VLOOKUP(P772,'BASE TARIFA 2025'!C:F,4,0)</f>
        <v>15709.5</v>
      </c>
    </row>
    <row r="773" spans="1:18" s="28" customFormat="1" ht="14.4" x14ac:dyDescent="0.3">
      <c r="A773" s="28">
        <v>76080</v>
      </c>
      <c r="B773" s="28" t="s">
        <v>4500</v>
      </c>
      <c r="C773" s="28">
        <v>900183060</v>
      </c>
      <c r="D773" s="28" t="s">
        <v>69</v>
      </c>
      <c r="E773" s="28" t="s">
        <v>4501</v>
      </c>
      <c r="F773" s="28" t="s">
        <v>4502</v>
      </c>
      <c r="G773" s="28" t="s">
        <v>4503</v>
      </c>
      <c r="H773" s="28" t="s">
        <v>4504</v>
      </c>
      <c r="I773" s="28" t="s">
        <v>4505</v>
      </c>
      <c r="J773" s="28" t="s">
        <v>67</v>
      </c>
      <c r="K773" s="28" t="s">
        <v>185</v>
      </c>
      <c r="L773" s="28" t="s">
        <v>185</v>
      </c>
      <c r="M773" s="28">
        <v>5088</v>
      </c>
      <c r="N773" s="29" t="s">
        <v>589</v>
      </c>
      <c r="O773" s="24">
        <f>VLOOKUP(A773,Hoja1!A:C,3,0)</f>
        <v>8</v>
      </c>
      <c r="P773" s="30" t="str">
        <f>VLOOKUP(M773,[1]TIPOLOGIAS!$A:$F,4,0)</f>
        <v>MEDELLIN</v>
      </c>
      <c r="Q773" s="30" t="str">
        <f>VLOOKUP(P773,'BASE TARIFA 2025'!C:D,2,0)</f>
        <v>WOMPI NOROCCIDENTE</v>
      </c>
      <c r="R773" s="31">
        <f>VLOOKUP(P773,'BASE TARIFA 2025'!C:F,4,0)</f>
        <v>15709.5</v>
      </c>
    </row>
    <row r="774" spans="1:18" s="28" customFormat="1" ht="14.4" x14ac:dyDescent="0.3">
      <c r="A774" s="28">
        <v>75782</v>
      </c>
      <c r="B774" s="28" t="s">
        <v>4506</v>
      </c>
      <c r="C774" s="28">
        <v>29121983</v>
      </c>
      <c r="D774" s="28" t="s">
        <v>69</v>
      </c>
      <c r="E774" s="28" t="s">
        <v>4507</v>
      </c>
      <c r="F774" s="28" t="s">
        <v>4507</v>
      </c>
      <c r="G774" s="28" t="s">
        <v>4508</v>
      </c>
      <c r="H774" s="28" t="s">
        <v>4509</v>
      </c>
      <c r="I774" s="28" t="s">
        <v>4510</v>
      </c>
      <c r="J774" s="28" t="s">
        <v>67</v>
      </c>
      <c r="K774" s="28" t="s">
        <v>185</v>
      </c>
      <c r="L774" s="28" t="s">
        <v>185</v>
      </c>
      <c r="M774" s="28">
        <v>5088</v>
      </c>
      <c r="N774" s="29" t="s">
        <v>589</v>
      </c>
      <c r="O774" s="24">
        <f>VLOOKUP(A774,Hoja1!A:C,3,0)</f>
        <v>8</v>
      </c>
      <c r="P774" s="30" t="str">
        <f>VLOOKUP(M774,[1]TIPOLOGIAS!$A:$F,4,0)</f>
        <v>MEDELLIN</v>
      </c>
      <c r="Q774" s="30" t="str">
        <f>VLOOKUP(P774,'BASE TARIFA 2025'!C:D,2,0)</f>
        <v>WOMPI NOROCCIDENTE</v>
      </c>
      <c r="R774" s="31">
        <f>VLOOKUP(P774,'BASE TARIFA 2025'!C:F,4,0)</f>
        <v>15709.5</v>
      </c>
    </row>
    <row r="775" spans="1:18" s="28" customFormat="1" ht="14.4" x14ac:dyDescent="0.3">
      <c r="A775" s="28">
        <v>75792</v>
      </c>
      <c r="B775" s="28" t="s">
        <v>4511</v>
      </c>
      <c r="C775" s="28">
        <v>94506037</v>
      </c>
      <c r="D775" s="28" t="s">
        <v>69</v>
      </c>
      <c r="E775" s="28" t="s">
        <v>4512</v>
      </c>
      <c r="F775" s="28" t="s">
        <v>4513</v>
      </c>
      <c r="G775" s="28" t="s">
        <v>4514</v>
      </c>
      <c r="H775" s="28" t="s">
        <v>4515</v>
      </c>
      <c r="I775" s="28" t="s">
        <v>4516</v>
      </c>
      <c r="J775" s="28" t="s">
        <v>67</v>
      </c>
      <c r="K775" s="28" t="s">
        <v>185</v>
      </c>
      <c r="L775" s="28" t="s">
        <v>185</v>
      </c>
      <c r="M775" s="28">
        <v>5088</v>
      </c>
      <c r="N775" s="29" t="s">
        <v>716</v>
      </c>
      <c r="O775" s="24">
        <f>VLOOKUP(A775,Hoja1!A:C,3,0)</f>
        <v>8</v>
      </c>
      <c r="P775" s="30" t="str">
        <f>VLOOKUP(M775,[1]TIPOLOGIAS!$A:$F,4,0)</f>
        <v>MEDELLIN</v>
      </c>
      <c r="Q775" s="30" t="str">
        <f>VLOOKUP(P775,'BASE TARIFA 2025'!C:D,2,0)</f>
        <v>WOMPI NOROCCIDENTE</v>
      </c>
      <c r="R775" s="31">
        <f>VLOOKUP(P775,'BASE TARIFA 2025'!C:F,4,0)</f>
        <v>15709.5</v>
      </c>
    </row>
    <row r="776" spans="1:18" s="28" customFormat="1" ht="14.4" x14ac:dyDescent="0.3">
      <c r="A776" s="28">
        <v>75908</v>
      </c>
      <c r="B776" s="28" t="s">
        <v>4517</v>
      </c>
      <c r="C776" s="28">
        <v>14139757</v>
      </c>
      <c r="D776" s="28" t="s">
        <v>4518</v>
      </c>
      <c r="E776" s="28" t="s">
        <v>4519</v>
      </c>
      <c r="F776" s="28" t="s">
        <v>4520</v>
      </c>
      <c r="G776" s="28" t="s">
        <v>4521</v>
      </c>
      <c r="H776" s="28" t="s">
        <v>4522</v>
      </c>
      <c r="I776" s="28" t="s">
        <v>4523</v>
      </c>
      <c r="J776" s="28" t="s">
        <v>67</v>
      </c>
      <c r="K776" s="28" t="s">
        <v>185</v>
      </c>
      <c r="L776" s="28" t="s">
        <v>185</v>
      </c>
      <c r="M776" s="28">
        <v>5088</v>
      </c>
      <c r="N776" s="29" t="s">
        <v>589</v>
      </c>
      <c r="O776" s="24">
        <f>VLOOKUP(A776,Hoja1!A:C,3,0)</f>
        <v>8</v>
      </c>
      <c r="P776" s="30" t="str">
        <f>VLOOKUP(M776,[1]TIPOLOGIAS!$A:$F,4,0)</f>
        <v>MEDELLIN</v>
      </c>
      <c r="Q776" s="30" t="str">
        <f>VLOOKUP(P776,'BASE TARIFA 2025'!C:D,2,0)</f>
        <v>WOMPI NOROCCIDENTE</v>
      </c>
      <c r="R776" s="31">
        <f>VLOOKUP(P776,'BASE TARIFA 2025'!C:F,4,0)</f>
        <v>15709.5</v>
      </c>
    </row>
    <row r="777" spans="1:18" s="28" customFormat="1" ht="14.4" x14ac:dyDescent="0.3">
      <c r="A777" s="28">
        <v>76581</v>
      </c>
      <c r="B777" s="28" t="s">
        <v>4524</v>
      </c>
      <c r="C777" s="28">
        <v>38680767</v>
      </c>
      <c r="D777" s="28" t="s">
        <v>4525</v>
      </c>
      <c r="E777" s="28" t="s">
        <v>4526</v>
      </c>
      <c r="F777" s="28" t="s">
        <v>4525</v>
      </c>
      <c r="G777" s="28" t="s">
        <v>4527</v>
      </c>
      <c r="H777" s="28" t="s">
        <v>4528</v>
      </c>
      <c r="I777" s="28" t="s">
        <v>4529</v>
      </c>
      <c r="J777" s="28" t="s">
        <v>88</v>
      </c>
      <c r="K777" s="28" t="s">
        <v>163</v>
      </c>
      <c r="L777" s="28" t="s">
        <v>163</v>
      </c>
      <c r="M777" s="28">
        <v>66170</v>
      </c>
      <c r="N777" s="29" t="s">
        <v>530</v>
      </c>
      <c r="O777" s="24">
        <f>VLOOKUP(A777,Hoja1!A:C,3,0)</f>
        <v>8</v>
      </c>
      <c r="P777" s="30" t="str">
        <f>VLOOKUP(M777,[1]TIPOLOGIAS!$A:$F,4,0)</f>
        <v>PEREIRA</v>
      </c>
      <c r="Q777" s="30" t="str">
        <f>VLOOKUP(P777,'BASE TARIFA 2025'!C:D,2,0)</f>
        <v>WOMPI EJE CAFETERO</v>
      </c>
      <c r="R777" s="31">
        <f>VLOOKUP(P777,'BASE TARIFA 2025'!C:F,4,0)</f>
        <v>15709.5</v>
      </c>
    </row>
    <row r="778" spans="1:18" s="28" customFormat="1" ht="14.4" x14ac:dyDescent="0.3">
      <c r="A778" s="28">
        <v>76940</v>
      </c>
      <c r="B778" s="28" t="s">
        <v>4530</v>
      </c>
      <c r="C778" s="28">
        <v>79659179</v>
      </c>
      <c r="D778" s="28" t="s">
        <v>4531</v>
      </c>
      <c r="E778" s="28" t="s">
        <v>4532</v>
      </c>
      <c r="F778" s="28" t="s">
        <v>4533</v>
      </c>
      <c r="G778" s="28" t="s">
        <v>4534</v>
      </c>
      <c r="H778" s="28" t="s">
        <v>4535</v>
      </c>
      <c r="I778" s="28" t="s">
        <v>4536</v>
      </c>
      <c r="J778" s="28" t="s">
        <v>88</v>
      </c>
      <c r="K778" s="28" t="s">
        <v>163</v>
      </c>
      <c r="L778" s="28" t="s">
        <v>163</v>
      </c>
      <c r="M778" s="28">
        <v>66170</v>
      </c>
      <c r="N778" s="29" t="s">
        <v>744</v>
      </c>
      <c r="O778" s="24">
        <f>VLOOKUP(A778,Hoja1!A:C,3,0)</f>
        <v>8</v>
      </c>
      <c r="P778" s="30" t="str">
        <f>VLOOKUP(M778,[1]TIPOLOGIAS!$A:$F,4,0)</f>
        <v>PEREIRA</v>
      </c>
      <c r="Q778" s="30" t="str">
        <f>VLOOKUP(P778,'BASE TARIFA 2025'!C:D,2,0)</f>
        <v>WOMPI EJE CAFETERO</v>
      </c>
      <c r="R778" s="31">
        <f>VLOOKUP(P778,'BASE TARIFA 2025'!C:F,4,0)</f>
        <v>15709.5</v>
      </c>
    </row>
    <row r="779" spans="1:18" s="28" customFormat="1" ht="14.4" x14ac:dyDescent="0.3">
      <c r="A779" s="28">
        <v>76790</v>
      </c>
      <c r="B779" s="28" t="s">
        <v>4537</v>
      </c>
      <c r="C779" s="28">
        <v>1007382479</v>
      </c>
      <c r="D779" s="28" t="s">
        <v>4538</v>
      </c>
      <c r="E779" s="28" t="s">
        <v>4539</v>
      </c>
      <c r="F779" s="28" t="s">
        <v>4538</v>
      </c>
      <c r="G779" s="28" t="s">
        <v>4540</v>
      </c>
      <c r="H779" s="28" t="s">
        <v>4541</v>
      </c>
      <c r="I779" s="28" t="s">
        <v>4542</v>
      </c>
      <c r="J779" s="28" t="s">
        <v>88</v>
      </c>
      <c r="K779" s="28" t="s">
        <v>163</v>
      </c>
      <c r="L779" s="28" t="s">
        <v>163</v>
      </c>
      <c r="M779" s="28">
        <v>66170</v>
      </c>
      <c r="N779" s="29" t="s">
        <v>530</v>
      </c>
      <c r="O779" s="24">
        <f>VLOOKUP(A779,Hoja1!A:C,3,0)</f>
        <v>8</v>
      </c>
      <c r="P779" s="30" t="str">
        <f>VLOOKUP(M779,[1]TIPOLOGIAS!$A:$F,4,0)</f>
        <v>PEREIRA</v>
      </c>
      <c r="Q779" s="30" t="str">
        <f>VLOOKUP(P779,'BASE TARIFA 2025'!C:D,2,0)</f>
        <v>WOMPI EJE CAFETERO</v>
      </c>
      <c r="R779" s="31">
        <f>VLOOKUP(P779,'BASE TARIFA 2025'!C:F,4,0)</f>
        <v>15709.5</v>
      </c>
    </row>
    <row r="780" spans="1:18" s="28" customFormat="1" ht="14.4" x14ac:dyDescent="0.3">
      <c r="A780" s="28">
        <v>76791</v>
      </c>
      <c r="B780" s="28" t="s">
        <v>4543</v>
      </c>
      <c r="C780" s="28">
        <v>1007226135</v>
      </c>
      <c r="D780" s="28" t="s">
        <v>4544</v>
      </c>
      <c r="E780" s="28" t="s">
        <v>4545</v>
      </c>
      <c r="F780" s="28" t="s">
        <v>4546</v>
      </c>
      <c r="G780" s="28" t="s">
        <v>4547</v>
      </c>
      <c r="H780" s="28" t="s">
        <v>4548</v>
      </c>
      <c r="I780" s="28" t="s">
        <v>4549</v>
      </c>
      <c r="J780" s="28" t="s">
        <v>88</v>
      </c>
      <c r="K780" s="28" t="s">
        <v>163</v>
      </c>
      <c r="L780" s="28" t="s">
        <v>163</v>
      </c>
      <c r="M780" s="28">
        <v>66170</v>
      </c>
      <c r="N780" s="29" t="s">
        <v>589</v>
      </c>
      <c r="O780" s="24">
        <f>VLOOKUP(A780,Hoja1!A:C,3,0)</f>
        <v>8</v>
      </c>
      <c r="P780" s="30" t="str">
        <f>VLOOKUP(M780,[1]TIPOLOGIAS!$A:$F,4,0)</f>
        <v>PEREIRA</v>
      </c>
      <c r="Q780" s="30" t="str">
        <f>VLOOKUP(P780,'BASE TARIFA 2025'!C:D,2,0)</f>
        <v>WOMPI EJE CAFETERO</v>
      </c>
      <c r="R780" s="31">
        <f>VLOOKUP(P780,'BASE TARIFA 2025'!C:F,4,0)</f>
        <v>15709.5</v>
      </c>
    </row>
    <row r="781" spans="1:18" s="28" customFormat="1" ht="14.4" x14ac:dyDescent="0.3">
      <c r="A781" s="28">
        <v>77005</v>
      </c>
      <c r="B781" s="28" t="s">
        <v>4550</v>
      </c>
      <c r="C781" s="28">
        <v>16536858</v>
      </c>
      <c r="D781" s="28" t="s">
        <v>4551</v>
      </c>
      <c r="E781" s="28" t="s">
        <v>4551</v>
      </c>
      <c r="F781" s="28" t="s">
        <v>4551</v>
      </c>
      <c r="G781" s="28" t="s">
        <v>4552</v>
      </c>
      <c r="H781" s="28" t="s">
        <v>4553</v>
      </c>
      <c r="I781" s="28" t="s">
        <v>4554</v>
      </c>
      <c r="J781" s="28" t="s">
        <v>88</v>
      </c>
      <c r="K781" s="28" t="s">
        <v>163</v>
      </c>
      <c r="L781" s="28" t="s">
        <v>163</v>
      </c>
      <c r="M781" s="28">
        <v>66170</v>
      </c>
      <c r="N781" s="29" t="s">
        <v>553</v>
      </c>
      <c r="O781" s="24">
        <f>VLOOKUP(A781,Hoja1!A:C,3,0)</f>
        <v>8</v>
      </c>
      <c r="P781" s="30" t="str">
        <f>VLOOKUP(M781,[1]TIPOLOGIAS!$A:$F,4,0)</f>
        <v>PEREIRA</v>
      </c>
      <c r="Q781" s="30" t="str">
        <f>VLOOKUP(P781,'BASE TARIFA 2025'!C:D,2,0)</f>
        <v>WOMPI EJE CAFETERO</v>
      </c>
      <c r="R781" s="31">
        <f>VLOOKUP(P781,'BASE TARIFA 2025'!C:F,4,0)</f>
        <v>15709.5</v>
      </c>
    </row>
    <row r="782" spans="1:18" s="28" customFormat="1" ht="14.4" x14ac:dyDescent="0.3">
      <c r="A782" s="28">
        <v>77222</v>
      </c>
      <c r="B782" s="28" t="s">
        <v>4555</v>
      </c>
      <c r="C782" s="28">
        <v>1144179705</v>
      </c>
      <c r="D782" s="28" t="s">
        <v>4556</v>
      </c>
      <c r="E782" s="28" t="s">
        <v>4556</v>
      </c>
      <c r="F782" s="28" t="s">
        <v>4556</v>
      </c>
      <c r="G782" s="28" t="s">
        <v>4557</v>
      </c>
      <c r="H782" s="28" t="s">
        <v>4558</v>
      </c>
      <c r="I782" s="28" t="s">
        <v>4559</v>
      </c>
      <c r="J782" s="28" t="s">
        <v>88</v>
      </c>
      <c r="K782" s="28" t="s">
        <v>163</v>
      </c>
      <c r="L782" s="28" t="s">
        <v>163</v>
      </c>
      <c r="M782" s="28">
        <v>66170</v>
      </c>
      <c r="N782" s="29" t="s">
        <v>553</v>
      </c>
      <c r="O782" s="24">
        <f>VLOOKUP(A782,Hoja1!A:C,3,0)</f>
        <v>16</v>
      </c>
      <c r="P782" s="30" t="str">
        <f>VLOOKUP(M782,[1]TIPOLOGIAS!$A:$F,4,0)</f>
        <v>PEREIRA</v>
      </c>
      <c r="Q782" s="30" t="str">
        <f>VLOOKUP(P782,'BASE TARIFA 2025'!C:D,2,0)</f>
        <v>WOMPI EJE CAFETERO</v>
      </c>
      <c r="R782" s="31">
        <f>VLOOKUP(P782,'BASE TARIFA 2025'!C:F,4,0)</f>
        <v>15709.5</v>
      </c>
    </row>
    <row r="783" spans="1:18" s="28" customFormat="1" ht="14.4" x14ac:dyDescent="0.3">
      <c r="A783" s="28">
        <v>76365</v>
      </c>
      <c r="B783" s="28" t="s">
        <v>4560</v>
      </c>
      <c r="C783" s="28">
        <v>6108964</v>
      </c>
      <c r="D783" s="28" t="s">
        <v>4561</v>
      </c>
      <c r="E783" s="28" t="s">
        <v>4562</v>
      </c>
      <c r="F783" s="28" t="s">
        <v>4561</v>
      </c>
      <c r="G783" s="28" t="s">
        <v>4563</v>
      </c>
      <c r="H783" s="28" t="s">
        <v>4564</v>
      </c>
      <c r="I783" s="28" t="s">
        <v>4565</v>
      </c>
      <c r="J783" s="28" t="s">
        <v>88</v>
      </c>
      <c r="K783" s="28" t="s">
        <v>163</v>
      </c>
      <c r="L783" s="28" t="s">
        <v>163</v>
      </c>
      <c r="M783" s="28">
        <v>66170</v>
      </c>
      <c r="N783" s="29" t="s">
        <v>744</v>
      </c>
      <c r="O783" s="24">
        <f>VLOOKUP(A783,Hoja1!A:C,3,0)</f>
        <v>8</v>
      </c>
      <c r="P783" s="30" t="str">
        <f>VLOOKUP(M783,[1]TIPOLOGIAS!$A:$F,4,0)</f>
        <v>PEREIRA</v>
      </c>
      <c r="Q783" s="30" t="str">
        <f>VLOOKUP(P783,'BASE TARIFA 2025'!C:D,2,0)</f>
        <v>WOMPI EJE CAFETERO</v>
      </c>
      <c r="R783" s="31">
        <f>VLOOKUP(P783,'BASE TARIFA 2025'!C:F,4,0)</f>
        <v>15709.5</v>
      </c>
    </row>
    <row r="784" spans="1:18" s="28" customFormat="1" ht="14.4" x14ac:dyDescent="0.3">
      <c r="A784" s="28">
        <v>76112</v>
      </c>
      <c r="B784" s="28" t="s">
        <v>4566</v>
      </c>
      <c r="C784" s="28">
        <v>65764053</v>
      </c>
      <c r="D784" s="28" t="s">
        <v>4567</v>
      </c>
      <c r="E784" s="28" t="s">
        <v>4568</v>
      </c>
      <c r="F784" s="28" t="s">
        <v>4568</v>
      </c>
      <c r="G784" s="28" t="s">
        <v>4569</v>
      </c>
      <c r="H784" s="28" t="s">
        <v>4570</v>
      </c>
      <c r="I784" s="28" t="s">
        <v>4571</v>
      </c>
      <c r="J784" s="28" t="s">
        <v>88</v>
      </c>
      <c r="K784" s="28" t="s">
        <v>163</v>
      </c>
      <c r="L784" s="28" t="s">
        <v>163</v>
      </c>
      <c r="M784" s="28">
        <v>66170</v>
      </c>
      <c r="N784" s="29" t="s">
        <v>655</v>
      </c>
      <c r="O784" s="24">
        <f>VLOOKUP(A784,Hoja1!A:C,3,0)</f>
        <v>8</v>
      </c>
      <c r="P784" s="30" t="str">
        <f>VLOOKUP(M784,[1]TIPOLOGIAS!$A:$F,4,0)</f>
        <v>PEREIRA</v>
      </c>
      <c r="Q784" s="30" t="str">
        <f>VLOOKUP(P784,'BASE TARIFA 2025'!C:D,2,0)</f>
        <v>WOMPI EJE CAFETERO</v>
      </c>
      <c r="R784" s="31">
        <f>VLOOKUP(P784,'BASE TARIFA 2025'!C:F,4,0)</f>
        <v>15709.5</v>
      </c>
    </row>
    <row r="785" spans="18:18" ht="15" customHeight="1" x14ac:dyDescent="0.3">
      <c r="R785" s="27">
        <f>SUM(R2:R784)</f>
        <v>17063658.899999902</v>
      </c>
    </row>
  </sheetData>
  <autoFilter ref="A1:R784" xr:uid="{00000000-0001-0000-0000-000000000000}"/>
  <conditionalFormatting sqref="A2:A784">
    <cfRule type="duplicateValues" dxfId="7" priority="28"/>
    <cfRule type="duplicateValues" dxfId="6" priority="29"/>
    <cfRule type="duplicateValues" dxfId="5" priority="30"/>
    <cfRule type="duplicateValues" dxfId="4" priority="31"/>
  </conditionalFormatting>
  <conditionalFormatting sqref="A785:A1048576 A1">
    <cfRule type="duplicateValues" dxfId="3" priority="10"/>
    <cfRule type="duplicateValues" dxfId="2" priority="15"/>
  </conditionalFormatting>
  <conditionalFormatting sqref="O1:R1">
    <cfRule type="duplicateValues" dxfId="1" priority="19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8736163078B46BA45051ACB50C0B2" ma:contentTypeVersion="16" ma:contentTypeDescription="Create a new document." ma:contentTypeScope="" ma:versionID="eba104363948eb0d5fc7aa876fbffee4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555926096f768082105fc6d9096f87f1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Props1.xml><?xml version="1.0" encoding="utf-8"?>
<ds:datastoreItem xmlns:ds="http://schemas.openxmlformats.org/officeDocument/2006/customXml" ds:itemID="{D6C5202A-FC63-4438-8913-DE4C94B5E0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DF4D6-E971-4A41-A498-762A505AC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CBD467-D7A5-4C7F-B140-59D5D2C85EB2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BASE TARIFA 2025</vt:lpstr>
      <vt:lpstr>TD</vt:lpstr>
      <vt:lpstr>Hoja1</vt:lpstr>
      <vt:lpstr>ENTREGA DE ROLLOS EN BODEGAS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Lini Hernández</dc:creator>
  <cp:keywords/>
  <dc:description/>
  <cp:lastModifiedBy>Lini Jhojana Hernandez Mora</cp:lastModifiedBy>
  <cp:revision/>
  <dcterms:created xsi:type="dcterms:W3CDTF">2025-09-05T13:38:40Z</dcterms:created>
  <dcterms:modified xsi:type="dcterms:W3CDTF">2026-01-14T20:02:43Z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